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p-063/Downloads/"/>
    </mc:Choice>
  </mc:AlternateContent>
  <xr:revisionPtr revIDLastSave="0" documentId="13_ncr:1_{60674635-601F-C94A-8B65-1702185830A2}" xr6:coauthVersionLast="47" xr6:coauthVersionMax="47" xr10:uidLastSave="{00000000-0000-0000-0000-000000000000}"/>
  <bookViews>
    <workbookView xWindow="15180" yWindow="660" windowWidth="19380" windowHeight="20980" tabRatio="595" xr2:uid="{00000000-000D-0000-FFFF-FFFF00000000}"/>
  </bookViews>
  <sheets>
    <sheet name="① 안내" sheetId="1" r:id="rId1"/>
    <sheet name="② 카테고리 정의" sheetId="2" r:id="rId2"/>
    <sheet name="③ 평가 입력" sheetId="3" r:id="rId3"/>
    <sheet name="④ 정성 평가" sheetId="4" r:id="rId4"/>
    <sheet name="⑤ 결과 대시보드" sheetId="5" r:id="rId5"/>
    <sheet name="⑥ 버전 비교" sheetId="6" r:id="rId6"/>
    <sheet name="⑦ 기타 사례 누적" sheetId="7" r:id="rId7"/>
    <sheet name="⑧ 평가자 일치율" sheetId="8" r:id="rId8"/>
    <sheet name="⑨ 본 평가 비교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26" i="9" l="1"/>
  <c r="AI325" i="9"/>
  <c r="AI324" i="9"/>
  <c r="AI323" i="9"/>
  <c r="AI322" i="9"/>
  <c r="AI321" i="9"/>
  <c r="AI320" i="9"/>
  <c r="AI319" i="9"/>
  <c r="AI318" i="9"/>
  <c r="AI317" i="9"/>
  <c r="AI316" i="9"/>
  <c r="AI315" i="9"/>
  <c r="AI314" i="9"/>
  <c r="AI313" i="9"/>
  <c r="AI312" i="9"/>
  <c r="AI311" i="9"/>
  <c r="AI310" i="9"/>
  <c r="AI309" i="9"/>
  <c r="AI308" i="9"/>
  <c r="AI307" i="9"/>
  <c r="AI306" i="9"/>
  <c r="AI305" i="9"/>
  <c r="AI304" i="9"/>
  <c r="AI303" i="9"/>
  <c r="AI302" i="9"/>
  <c r="AI301" i="9"/>
  <c r="AI300" i="9"/>
  <c r="AI299" i="9"/>
  <c r="AI298" i="9"/>
  <c r="AI297" i="9"/>
  <c r="AI296" i="9"/>
  <c r="AI295" i="9"/>
  <c r="AI294" i="9"/>
  <c r="AI293" i="9"/>
  <c r="AI292" i="9"/>
  <c r="AI291" i="9"/>
  <c r="AI290" i="9"/>
  <c r="AI289" i="9"/>
  <c r="AI288" i="9"/>
  <c r="AI287" i="9"/>
  <c r="AI286" i="9"/>
  <c r="AI285" i="9"/>
  <c r="AI284" i="9"/>
  <c r="AI283" i="9"/>
  <c r="AI282" i="9"/>
  <c r="AI281" i="9"/>
  <c r="AI280" i="9"/>
  <c r="AI279" i="9"/>
  <c r="AI278" i="9"/>
  <c r="AI277" i="9"/>
  <c r="AI276" i="9"/>
  <c r="AI275" i="9"/>
  <c r="AI274" i="9"/>
  <c r="AI273" i="9"/>
  <c r="AI272" i="9"/>
  <c r="AI271" i="9"/>
  <c r="AI270" i="9"/>
  <c r="AI269" i="9"/>
  <c r="AI268" i="9"/>
  <c r="AI267" i="9"/>
  <c r="AI266" i="9"/>
  <c r="AI265" i="9"/>
  <c r="AI264" i="9"/>
  <c r="AI263" i="9"/>
  <c r="AI262" i="9"/>
  <c r="AI261" i="9"/>
  <c r="AI260" i="9"/>
  <c r="AI259" i="9"/>
  <c r="AI258" i="9"/>
  <c r="AI257" i="9"/>
  <c r="AI256" i="9"/>
  <c r="AI255" i="9"/>
  <c r="AI254" i="9"/>
  <c r="AI253" i="9"/>
  <c r="AI252" i="9"/>
  <c r="AI251" i="9"/>
  <c r="AI250" i="9"/>
  <c r="AI249" i="9"/>
  <c r="AI248" i="9"/>
  <c r="AI247" i="9"/>
  <c r="AI246" i="9"/>
  <c r="AI245" i="9"/>
  <c r="AI244" i="9"/>
  <c r="AI243" i="9"/>
  <c r="AI242" i="9"/>
  <c r="AI241" i="9"/>
  <c r="AI240" i="9"/>
  <c r="AI239" i="9"/>
  <c r="AI238" i="9"/>
  <c r="AI237" i="9"/>
  <c r="AI236" i="9"/>
  <c r="AI235" i="9"/>
  <c r="AI234" i="9"/>
  <c r="AI233" i="9"/>
  <c r="AI232" i="9"/>
  <c r="AI231" i="9"/>
  <c r="AI230" i="9"/>
  <c r="AI229" i="9"/>
  <c r="AI228" i="9"/>
  <c r="AI227" i="9"/>
  <c r="AI226" i="9"/>
  <c r="AI225" i="9"/>
  <c r="AI224" i="9"/>
  <c r="AI223" i="9"/>
  <c r="AI222" i="9"/>
  <c r="AI221" i="9"/>
  <c r="AI220" i="9"/>
  <c r="AI219" i="9"/>
  <c r="AI218" i="9"/>
  <c r="AI217" i="9"/>
  <c r="AI216" i="9"/>
  <c r="AI215" i="9"/>
  <c r="AI214" i="9"/>
  <c r="AI213" i="9"/>
  <c r="AI212" i="9"/>
  <c r="AI211" i="9"/>
  <c r="AI210" i="9"/>
  <c r="AI209" i="9"/>
  <c r="AI208" i="9"/>
  <c r="AI207" i="9"/>
  <c r="AI206" i="9"/>
  <c r="AI205" i="9"/>
  <c r="AI204" i="9"/>
  <c r="AI203" i="9"/>
  <c r="AI202" i="9"/>
  <c r="AI201" i="9"/>
  <c r="AI200" i="9"/>
  <c r="AI199" i="9"/>
  <c r="AI198" i="9"/>
  <c r="AI197" i="9"/>
  <c r="AI196" i="9"/>
  <c r="AI195" i="9"/>
  <c r="AI194" i="9"/>
  <c r="AI193" i="9"/>
  <c r="AI192" i="9"/>
  <c r="AI191" i="9"/>
  <c r="AI190" i="9"/>
  <c r="AI189" i="9"/>
  <c r="AI188" i="9"/>
  <c r="AI187" i="9"/>
  <c r="AI348" i="9"/>
  <c r="AI347" i="9"/>
  <c r="AI346" i="9"/>
  <c r="AI345" i="9"/>
  <c r="AI332" i="9"/>
  <c r="AI331" i="9"/>
  <c r="AI330" i="9"/>
  <c r="AI329" i="9"/>
  <c r="AI328" i="9"/>
  <c r="AI327" i="9"/>
  <c r="AG348" i="9"/>
  <c r="AG347" i="9"/>
  <c r="AG346" i="9"/>
  <c r="AG345" i="9"/>
  <c r="AG342" i="9"/>
  <c r="AG341" i="9"/>
  <c r="AG340" i="9"/>
  <c r="AG339" i="9"/>
  <c r="AG338" i="9"/>
  <c r="AG337" i="9"/>
  <c r="AG336" i="9"/>
  <c r="AG335" i="9"/>
  <c r="AG334" i="9"/>
  <c r="AG333" i="9"/>
  <c r="AG332" i="9"/>
  <c r="AG331" i="9"/>
  <c r="AG330" i="9"/>
  <c r="AG329" i="9"/>
  <c r="AG328" i="9"/>
  <c r="AG327" i="9"/>
  <c r="AG326" i="9"/>
  <c r="AG325" i="9"/>
  <c r="AG324" i="9"/>
  <c r="AG323" i="9"/>
  <c r="AG322" i="9"/>
  <c r="AG321" i="9"/>
  <c r="AG320" i="9"/>
  <c r="AG319" i="9"/>
  <c r="AG318" i="9"/>
  <c r="AG317" i="9"/>
  <c r="AG316" i="9"/>
  <c r="AG315" i="9"/>
  <c r="AG314" i="9"/>
  <c r="AG313" i="9"/>
  <c r="AG312" i="9"/>
  <c r="AG311" i="9"/>
  <c r="AG310" i="9"/>
  <c r="AG309" i="9"/>
  <c r="AG308" i="9"/>
  <c r="AG307" i="9"/>
  <c r="AG306" i="9"/>
  <c r="AG305" i="9"/>
  <c r="AG304" i="9"/>
  <c r="AG303" i="9"/>
  <c r="AG302" i="9"/>
  <c r="AG301" i="9"/>
  <c r="AG300" i="9"/>
  <c r="AG299" i="9"/>
  <c r="AG298" i="9"/>
  <c r="AG297" i="9"/>
  <c r="AG296" i="9"/>
  <c r="AG295" i="9"/>
  <c r="AG294" i="9"/>
  <c r="AG293" i="9"/>
  <c r="AG292" i="9"/>
  <c r="AG291" i="9"/>
  <c r="AG290" i="9"/>
  <c r="AG289" i="9"/>
  <c r="AG288" i="9"/>
  <c r="AG287" i="9"/>
  <c r="AG286" i="9"/>
  <c r="AG285" i="9"/>
  <c r="AG284" i="9"/>
  <c r="AG283" i="9"/>
  <c r="AG282" i="9"/>
  <c r="AG281" i="9"/>
  <c r="AG280" i="9"/>
  <c r="AG279" i="9"/>
  <c r="AG278" i="9"/>
  <c r="AG277" i="9"/>
  <c r="AG276" i="9"/>
  <c r="AG275" i="9"/>
  <c r="AG274" i="9"/>
  <c r="AG273" i="9"/>
  <c r="AG272" i="9"/>
  <c r="AG271" i="9"/>
  <c r="AG270" i="9"/>
  <c r="AG269" i="9"/>
  <c r="AG268" i="9"/>
  <c r="AG267" i="9"/>
  <c r="AG266" i="9"/>
  <c r="AG265" i="9"/>
  <c r="AG264" i="9"/>
  <c r="AG263" i="9"/>
  <c r="AG262" i="9"/>
  <c r="AG261" i="9"/>
  <c r="AG260" i="9"/>
  <c r="AG259" i="9"/>
  <c r="AG258" i="9"/>
  <c r="AG257" i="9"/>
  <c r="AG256" i="9"/>
  <c r="AG255" i="9"/>
  <c r="AG254" i="9"/>
  <c r="AG253" i="9"/>
  <c r="AG252" i="9"/>
  <c r="AG251" i="9"/>
  <c r="AG250" i="9"/>
  <c r="AG249" i="9"/>
  <c r="AG248" i="9"/>
  <c r="AG247" i="9"/>
  <c r="AG246" i="9"/>
  <c r="AG245" i="9"/>
  <c r="AG244" i="9"/>
  <c r="AG243" i="9"/>
  <c r="AG242" i="9"/>
  <c r="AG241" i="9"/>
  <c r="AG240" i="9"/>
  <c r="AG239" i="9"/>
  <c r="AG238" i="9"/>
  <c r="AG237" i="9"/>
  <c r="AG236" i="9"/>
  <c r="AG235" i="9"/>
  <c r="AG234" i="9"/>
  <c r="AG233" i="9"/>
  <c r="AG232" i="9"/>
  <c r="AG231" i="9"/>
  <c r="AG230" i="9"/>
  <c r="AG229" i="9"/>
  <c r="AG228" i="9"/>
  <c r="AG227" i="9"/>
  <c r="AG226" i="9"/>
  <c r="AG225" i="9"/>
  <c r="AG224" i="9"/>
  <c r="AG223" i="9"/>
  <c r="AG222" i="9"/>
  <c r="AG221" i="9"/>
  <c r="AG220" i="9"/>
  <c r="AG219" i="9"/>
  <c r="AG218" i="9"/>
  <c r="AG217" i="9"/>
  <c r="AG216" i="9"/>
  <c r="AG215" i="9"/>
  <c r="AG214" i="9"/>
  <c r="AG213" i="9"/>
  <c r="AG212" i="9"/>
  <c r="AG211" i="9"/>
  <c r="AG210" i="9"/>
  <c r="AG209" i="9"/>
  <c r="AG208" i="9"/>
  <c r="AG207" i="9"/>
  <c r="AG206" i="9"/>
  <c r="AG205" i="9"/>
  <c r="AG204" i="9"/>
  <c r="AG203" i="9"/>
  <c r="AG202" i="9"/>
  <c r="AG201" i="9"/>
  <c r="AG200" i="9"/>
  <c r="AG199" i="9"/>
  <c r="AG198" i="9"/>
  <c r="AG197" i="9"/>
  <c r="AG196" i="9"/>
  <c r="AG195" i="9"/>
  <c r="AG194" i="9"/>
  <c r="AG193" i="9"/>
  <c r="AG192" i="9"/>
  <c r="AG191" i="9"/>
  <c r="AG190" i="9"/>
  <c r="AG189" i="9"/>
  <c r="AG188" i="9"/>
  <c r="AG187" i="9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B9" i="6"/>
  <c r="B8" i="6"/>
  <c r="B7" i="6"/>
  <c r="B6" i="6"/>
  <c r="B5" i="6"/>
  <c r="X349" i="3"/>
  <c r="V349" i="3"/>
  <c r="U349" i="3"/>
  <c r="T349" i="3"/>
  <c r="S349" i="3"/>
  <c r="W349" i="3" s="1"/>
  <c r="X348" i="3"/>
  <c r="V348" i="3"/>
  <c r="U348" i="3"/>
  <c r="T348" i="3"/>
  <c r="S348" i="3"/>
  <c r="W348" i="3" s="1"/>
  <c r="X347" i="3"/>
  <c r="V347" i="3"/>
  <c r="U347" i="3"/>
  <c r="T347" i="3"/>
  <c r="S347" i="3"/>
  <c r="W347" i="3" s="1"/>
  <c r="X346" i="3"/>
  <c r="V346" i="3"/>
  <c r="U346" i="3"/>
  <c r="T346" i="3"/>
  <c r="S346" i="3"/>
  <c r="W346" i="3" s="1"/>
  <c r="X345" i="3"/>
  <c r="V345" i="3"/>
  <c r="U345" i="3"/>
  <c r="T345" i="3"/>
  <c r="S345" i="3"/>
  <c r="W345" i="3" s="1"/>
  <c r="X344" i="3"/>
  <c r="V344" i="3"/>
  <c r="U344" i="3"/>
  <c r="T344" i="3"/>
  <c r="S344" i="3"/>
  <c r="W344" i="3" s="1"/>
  <c r="X343" i="3"/>
  <c r="V343" i="3"/>
  <c r="U343" i="3"/>
  <c r="T343" i="3"/>
  <c r="S343" i="3"/>
  <c r="W343" i="3" s="1"/>
  <c r="X342" i="3"/>
  <c r="V342" i="3"/>
  <c r="U342" i="3"/>
  <c r="T342" i="3"/>
  <c r="S342" i="3"/>
  <c r="W342" i="3" s="1"/>
  <c r="X341" i="3"/>
  <c r="V341" i="3"/>
  <c r="U341" i="3"/>
  <c r="T341" i="3"/>
  <c r="S341" i="3"/>
  <c r="W341" i="3" s="1"/>
  <c r="X340" i="3"/>
  <c r="V340" i="3"/>
  <c r="U340" i="3"/>
  <c r="T340" i="3"/>
  <c r="S340" i="3"/>
  <c r="W340" i="3" s="1"/>
  <c r="X339" i="3"/>
  <c r="V339" i="3"/>
  <c r="U339" i="3"/>
  <c r="T339" i="3"/>
  <c r="S339" i="3"/>
  <c r="W339" i="3" s="1"/>
  <c r="X338" i="3"/>
  <c r="V338" i="3"/>
  <c r="U338" i="3"/>
  <c r="T338" i="3"/>
  <c r="S338" i="3"/>
  <c r="W338" i="3" s="1"/>
  <c r="X337" i="3"/>
  <c r="V337" i="3"/>
  <c r="U337" i="3"/>
  <c r="T337" i="3"/>
  <c r="S337" i="3"/>
  <c r="W337" i="3" s="1"/>
  <c r="X336" i="3"/>
  <c r="V336" i="3"/>
  <c r="U336" i="3"/>
  <c r="T336" i="3"/>
  <c r="S336" i="3"/>
  <c r="W336" i="3" s="1"/>
  <c r="X335" i="3"/>
  <c r="V335" i="3"/>
  <c r="U335" i="3"/>
  <c r="T335" i="3"/>
  <c r="S335" i="3"/>
  <c r="W335" i="3" s="1"/>
  <c r="X334" i="3"/>
  <c r="V334" i="3"/>
  <c r="U334" i="3"/>
  <c r="T334" i="3"/>
  <c r="S334" i="3"/>
  <c r="W334" i="3" s="1"/>
  <c r="X333" i="3"/>
  <c r="V333" i="3"/>
  <c r="U333" i="3"/>
  <c r="T333" i="3"/>
  <c r="S333" i="3"/>
  <c r="X332" i="3"/>
  <c r="V332" i="3"/>
  <c r="U332" i="3"/>
  <c r="T332" i="3"/>
  <c r="S332" i="3"/>
  <c r="W332" i="3" s="1"/>
  <c r="X331" i="3"/>
  <c r="V331" i="3"/>
  <c r="U331" i="3"/>
  <c r="T331" i="3"/>
  <c r="S331" i="3"/>
  <c r="W331" i="3" s="1"/>
  <c r="X330" i="3"/>
  <c r="V330" i="3"/>
  <c r="U330" i="3"/>
  <c r="T330" i="3"/>
  <c r="S330" i="3"/>
  <c r="W330" i="3" s="1"/>
  <c r="X329" i="3"/>
  <c r="V329" i="3"/>
  <c r="U329" i="3"/>
  <c r="T329" i="3"/>
  <c r="S329" i="3"/>
  <c r="W329" i="3" s="1"/>
  <c r="X328" i="3"/>
  <c r="V328" i="3"/>
  <c r="U328" i="3"/>
  <c r="T328" i="3"/>
  <c r="S328" i="3"/>
  <c r="W328" i="3" s="1"/>
  <c r="X327" i="3"/>
  <c r="V327" i="3"/>
  <c r="U327" i="3"/>
  <c r="T327" i="3"/>
  <c r="S327" i="3"/>
  <c r="W327" i="3" s="1"/>
  <c r="X326" i="3"/>
  <c r="V326" i="3"/>
  <c r="U326" i="3"/>
  <c r="T326" i="3"/>
  <c r="S326" i="3"/>
  <c r="W326" i="3" s="1"/>
  <c r="X325" i="3"/>
  <c r="V325" i="3"/>
  <c r="U325" i="3"/>
  <c r="T325" i="3"/>
  <c r="S325" i="3"/>
  <c r="W325" i="3" s="1"/>
  <c r="X324" i="3"/>
  <c r="V324" i="3"/>
  <c r="U324" i="3"/>
  <c r="T324" i="3"/>
  <c r="S324" i="3"/>
  <c r="W324" i="3" s="1"/>
  <c r="X323" i="3"/>
  <c r="V323" i="3"/>
  <c r="U323" i="3"/>
  <c r="T323" i="3"/>
  <c r="S323" i="3"/>
  <c r="W323" i="3" s="1"/>
  <c r="X322" i="3"/>
  <c r="V322" i="3"/>
  <c r="U322" i="3"/>
  <c r="T322" i="3"/>
  <c r="S322" i="3"/>
  <c r="W322" i="3" s="1"/>
  <c r="X321" i="3"/>
  <c r="V321" i="3"/>
  <c r="U321" i="3"/>
  <c r="T321" i="3"/>
  <c r="S321" i="3"/>
  <c r="W321" i="3" s="1"/>
  <c r="X320" i="3"/>
  <c r="V320" i="3"/>
  <c r="U320" i="3"/>
  <c r="T320" i="3"/>
  <c r="S320" i="3"/>
  <c r="W320" i="3" s="1"/>
  <c r="X319" i="3"/>
  <c r="V319" i="3"/>
  <c r="U319" i="3"/>
  <c r="T319" i="3"/>
  <c r="S319" i="3"/>
  <c r="W319" i="3" s="1"/>
  <c r="X318" i="3"/>
  <c r="V318" i="3"/>
  <c r="U318" i="3"/>
  <c r="T318" i="3"/>
  <c r="S318" i="3"/>
  <c r="W318" i="3" s="1"/>
  <c r="X317" i="3"/>
  <c r="V317" i="3"/>
  <c r="U317" i="3"/>
  <c r="T317" i="3"/>
  <c r="S317" i="3"/>
  <c r="W317" i="3" s="1"/>
  <c r="X316" i="3"/>
  <c r="V316" i="3"/>
  <c r="U316" i="3"/>
  <c r="T316" i="3"/>
  <c r="S316" i="3"/>
  <c r="W316" i="3" s="1"/>
  <c r="X315" i="3"/>
  <c r="V315" i="3"/>
  <c r="U315" i="3"/>
  <c r="T315" i="3"/>
  <c r="S315" i="3"/>
  <c r="W315" i="3" s="1"/>
  <c r="X314" i="3"/>
  <c r="V314" i="3"/>
  <c r="U314" i="3"/>
  <c r="T314" i="3"/>
  <c r="S314" i="3"/>
  <c r="W314" i="3" s="1"/>
  <c r="X313" i="3"/>
  <c r="V313" i="3"/>
  <c r="U313" i="3"/>
  <c r="T313" i="3"/>
  <c r="S313" i="3"/>
  <c r="W313" i="3" s="1"/>
  <c r="X312" i="3"/>
  <c r="V312" i="3"/>
  <c r="U312" i="3"/>
  <c r="T312" i="3"/>
  <c r="S312" i="3"/>
  <c r="W312" i="3" s="1"/>
  <c r="X311" i="3"/>
  <c r="V311" i="3"/>
  <c r="U311" i="3"/>
  <c r="T311" i="3"/>
  <c r="S311" i="3"/>
  <c r="W311" i="3" s="1"/>
  <c r="X310" i="3"/>
  <c r="V310" i="3"/>
  <c r="U310" i="3"/>
  <c r="T310" i="3"/>
  <c r="S310" i="3"/>
  <c r="W310" i="3" s="1"/>
  <c r="X309" i="3"/>
  <c r="V309" i="3"/>
  <c r="U309" i="3"/>
  <c r="T309" i="3"/>
  <c r="S309" i="3"/>
  <c r="X308" i="3"/>
  <c r="V308" i="3"/>
  <c r="U308" i="3"/>
  <c r="T308" i="3"/>
  <c r="S308" i="3"/>
  <c r="W308" i="3" s="1"/>
  <c r="X307" i="3"/>
  <c r="V307" i="3"/>
  <c r="U307" i="3"/>
  <c r="T307" i="3"/>
  <c r="S307" i="3"/>
  <c r="W307" i="3" s="1"/>
  <c r="X306" i="3"/>
  <c r="V306" i="3"/>
  <c r="U306" i="3"/>
  <c r="T306" i="3"/>
  <c r="S306" i="3"/>
  <c r="W306" i="3" s="1"/>
  <c r="X305" i="3"/>
  <c r="V305" i="3"/>
  <c r="U305" i="3"/>
  <c r="T305" i="3"/>
  <c r="S305" i="3"/>
  <c r="W305" i="3" s="1"/>
  <c r="X304" i="3"/>
  <c r="V304" i="3"/>
  <c r="U304" i="3"/>
  <c r="T304" i="3"/>
  <c r="S304" i="3"/>
  <c r="W304" i="3" s="1"/>
  <c r="X303" i="3"/>
  <c r="V303" i="3"/>
  <c r="U303" i="3"/>
  <c r="T303" i="3"/>
  <c r="S303" i="3"/>
  <c r="W303" i="3" s="1"/>
  <c r="X302" i="3"/>
  <c r="V302" i="3"/>
  <c r="U302" i="3"/>
  <c r="T302" i="3"/>
  <c r="S302" i="3"/>
  <c r="W302" i="3" s="1"/>
  <c r="X301" i="3"/>
  <c r="V301" i="3"/>
  <c r="U301" i="3"/>
  <c r="T301" i="3"/>
  <c r="S301" i="3"/>
  <c r="W301" i="3" s="1"/>
  <c r="X300" i="3"/>
  <c r="V300" i="3"/>
  <c r="U300" i="3"/>
  <c r="T300" i="3"/>
  <c r="S300" i="3"/>
  <c r="W300" i="3" s="1"/>
  <c r="X299" i="3"/>
  <c r="V299" i="3"/>
  <c r="U299" i="3"/>
  <c r="T299" i="3"/>
  <c r="S299" i="3"/>
  <c r="W299" i="3" s="1"/>
  <c r="X298" i="3"/>
  <c r="V298" i="3"/>
  <c r="U298" i="3"/>
  <c r="T298" i="3"/>
  <c r="S298" i="3"/>
  <c r="W298" i="3" s="1"/>
  <c r="X297" i="3"/>
  <c r="V297" i="3"/>
  <c r="U297" i="3"/>
  <c r="T297" i="3"/>
  <c r="S297" i="3"/>
  <c r="W297" i="3" s="1"/>
  <c r="X296" i="3"/>
  <c r="V296" i="3"/>
  <c r="U296" i="3"/>
  <c r="T296" i="3"/>
  <c r="S296" i="3"/>
  <c r="W296" i="3" s="1"/>
  <c r="X295" i="3"/>
  <c r="V295" i="3"/>
  <c r="U295" i="3"/>
  <c r="T295" i="3"/>
  <c r="S295" i="3"/>
  <c r="W295" i="3" s="1"/>
  <c r="X294" i="3"/>
  <c r="V294" i="3"/>
  <c r="U294" i="3"/>
  <c r="T294" i="3"/>
  <c r="S294" i="3"/>
  <c r="W294" i="3" s="1"/>
  <c r="X293" i="3"/>
  <c r="V293" i="3"/>
  <c r="U293" i="3"/>
  <c r="T293" i="3"/>
  <c r="S293" i="3"/>
  <c r="W293" i="3" s="1"/>
  <c r="X292" i="3"/>
  <c r="V292" i="3"/>
  <c r="U292" i="3"/>
  <c r="T292" i="3"/>
  <c r="S292" i="3"/>
  <c r="W292" i="3" s="1"/>
  <c r="X291" i="3"/>
  <c r="V291" i="3"/>
  <c r="U291" i="3"/>
  <c r="T291" i="3"/>
  <c r="S291" i="3"/>
  <c r="W291" i="3" s="1"/>
  <c r="X290" i="3"/>
  <c r="V290" i="3"/>
  <c r="U290" i="3"/>
  <c r="T290" i="3"/>
  <c r="S290" i="3"/>
  <c r="W290" i="3" s="1"/>
  <c r="X289" i="3"/>
  <c r="V289" i="3"/>
  <c r="U289" i="3"/>
  <c r="T289" i="3"/>
  <c r="S289" i="3"/>
  <c r="W289" i="3" s="1"/>
  <c r="X288" i="3"/>
  <c r="V288" i="3"/>
  <c r="U288" i="3"/>
  <c r="T288" i="3"/>
  <c r="S288" i="3"/>
  <c r="W288" i="3" s="1"/>
  <c r="X287" i="3"/>
  <c r="V287" i="3"/>
  <c r="U287" i="3"/>
  <c r="T287" i="3"/>
  <c r="S287" i="3"/>
  <c r="W287" i="3" s="1"/>
  <c r="X286" i="3"/>
  <c r="V286" i="3"/>
  <c r="U286" i="3"/>
  <c r="T286" i="3"/>
  <c r="S286" i="3"/>
  <c r="W286" i="3" s="1"/>
  <c r="X285" i="3"/>
  <c r="V285" i="3"/>
  <c r="U285" i="3"/>
  <c r="T285" i="3"/>
  <c r="S285" i="3"/>
  <c r="W285" i="3" s="1"/>
  <c r="X284" i="3"/>
  <c r="V284" i="3"/>
  <c r="U284" i="3"/>
  <c r="T284" i="3"/>
  <c r="S284" i="3"/>
  <c r="W284" i="3" s="1"/>
  <c r="X283" i="3"/>
  <c r="V283" i="3"/>
  <c r="U283" i="3"/>
  <c r="T283" i="3"/>
  <c r="S283" i="3"/>
  <c r="W283" i="3" s="1"/>
  <c r="X282" i="3"/>
  <c r="V282" i="3"/>
  <c r="U282" i="3"/>
  <c r="T282" i="3"/>
  <c r="S282" i="3"/>
  <c r="W282" i="3" s="1"/>
  <c r="X281" i="3"/>
  <c r="V281" i="3"/>
  <c r="U281" i="3"/>
  <c r="T281" i="3"/>
  <c r="S281" i="3"/>
  <c r="W281" i="3" s="1"/>
  <c r="X280" i="3"/>
  <c r="V280" i="3"/>
  <c r="U280" i="3"/>
  <c r="T280" i="3"/>
  <c r="S280" i="3"/>
  <c r="W280" i="3" s="1"/>
  <c r="X279" i="3"/>
  <c r="V279" i="3"/>
  <c r="U279" i="3"/>
  <c r="T279" i="3"/>
  <c r="S279" i="3"/>
  <c r="W279" i="3" s="1"/>
  <c r="X278" i="3"/>
  <c r="V278" i="3"/>
  <c r="U278" i="3"/>
  <c r="T278" i="3"/>
  <c r="S278" i="3"/>
  <c r="W278" i="3" s="1"/>
  <c r="X277" i="3"/>
  <c r="V277" i="3"/>
  <c r="U277" i="3"/>
  <c r="T277" i="3"/>
  <c r="S277" i="3"/>
  <c r="W277" i="3" s="1"/>
  <c r="X276" i="3"/>
  <c r="V276" i="3"/>
  <c r="U276" i="3"/>
  <c r="T276" i="3"/>
  <c r="S276" i="3"/>
  <c r="W276" i="3" s="1"/>
  <c r="X275" i="3"/>
  <c r="V275" i="3"/>
  <c r="U275" i="3"/>
  <c r="T275" i="3"/>
  <c r="S275" i="3"/>
  <c r="W275" i="3" s="1"/>
  <c r="X274" i="3"/>
  <c r="V274" i="3"/>
  <c r="U274" i="3"/>
  <c r="T274" i="3"/>
  <c r="S274" i="3"/>
  <c r="W274" i="3" s="1"/>
  <c r="X273" i="3"/>
  <c r="V273" i="3"/>
  <c r="U273" i="3"/>
  <c r="T273" i="3"/>
  <c r="S273" i="3"/>
  <c r="W273" i="3" s="1"/>
  <c r="X272" i="3"/>
  <c r="V272" i="3"/>
  <c r="U272" i="3"/>
  <c r="T272" i="3"/>
  <c r="S272" i="3"/>
  <c r="W272" i="3" s="1"/>
  <c r="X271" i="3"/>
  <c r="V271" i="3"/>
  <c r="U271" i="3"/>
  <c r="T271" i="3"/>
  <c r="S271" i="3"/>
  <c r="W271" i="3" s="1"/>
  <c r="X270" i="3"/>
  <c r="V270" i="3"/>
  <c r="U270" i="3"/>
  <c r="T270" i="3"/>
  <c r="S270" i="3"/>
  <c r="W270" i="3" s="1"/>
  <c r="X269" i="3"/>
  <c r="V269" i="3"/>
  <c r="U269" i="3"/>
  <c r="T269" i="3"/>
  <c r="S269" i="3"/>
  <c r="W269" i="3" s="1"/>
  <c r="X268" i="3"/>
  <c r="V268" i="3"/>
  <c r="U268" i="3"/>
  <c r="T268" i="3"/>
  <c r="S268" i="3"/>
  <c r="W268" i="3" s="1"/>
  <c r="X267" i="3"/>
  <c r="V267" i="3"/>
  <c r="U267" i="3"/>
  <c r="T267" i="3"/>
  <c r="S267" i="3"/>
  <c r="W267" i="3" s="1"/>
  <c r="X266" i="3"/>
  <c r="V266" i="3"/>
  <c r="U266" i="3"/>
  <c r="T266" i="3"/>
  <c r="S266" i="3"/>
  <c r="W266" i="3" s="1"/>
  <c r="X265" i="3"/>
  <c r="V265" i="3"/>
  <c r="U265" i="3"/>
  <c r="T265" i="3"/>
  <c r="S265" i="3"/>
  <c r="W265" i="3" s="1"/>
  <c r="X264" i="3"/>
  <c r="V264" i="3"/>
  <c r="U264" i="3"/>
  <c r="T264" i="3"/>
  <c r="S264" i="3"/>
  <c r="W264" i="3" s="1"/>
  <c r="X263" i="3"/>
  <c r="V263" i="3"/>
  <c r="U263" i="3"/>
  <c r="T263" i="3"/>
  <c r="S263" i="3"/>
  <c r="W263" i="3" s="1"/>
  <c r="X262" i="3"/>
  <c r="V262" i="3"/>
  <c r="U262" i="3"/>
  <c r="T262" i="3"/>
  <c r="S262" i="3"/>
  <c r="W262" i="3" s="1"/>
  <c r="X261" i="3"/>
  <c r="V261" i="3"/>
  <c r="U261" i="3"/>
  <c r="T261" i="3"/>
  <c r="S261" i="3"/>
  <c r="W261" i="3" s="1"/>
  <c r="X260" i="3"/>
  <c r="V260" i="3"/>
  <c r="U260" i="3"/>
  <c r="T260" i="3"/>
  <c r="S260" i="3"/>
  <c r="W260" i="3" s="1"/>
  <c r="X259" i="3"/>
  <c r="V259" i="3"/>
  <c r="U259" i="3"/>
  <c r="T259" i="3"/>
  <c r="S259" i="3"/>
  <c r="W259" i="3" s="1"/>
  <c r="X258" i="3"/>
  <c r="V258" i="3"/>
  <c r="U258" i="3"/>
  <c r="T258" i="3"/>
  <c r="S258" i="3"/>
  <c r="W258" i="3" s="1"/>
  <c r="X257" i="3"/>
  <c r="V257" i="3"/>
  <c r="U257" i="3"/>
  <c r="T257" i="3"/>
  <c r="S257" i="3"/>
  <c r="W257" i="3" s="1"/>
  <c r="X256" i="3"/>
  <c r="V256" i="3"/>
  <c r="U256" i="3"/>
  <c r="T256" i="3"/>
  <c r="S256" i="3"/>
  <c r="W256" i="3" s="1"/>
  <c r="X255" i="3"/>
  <c r="V255" i="3"/>
  <c r="U255" i="3"/>
  <c r="T255" i="3"/>
  <c r="S255" i="3"/>
  <c r="W255" i="3" s="1"/>
  <c r="X254" i="3"/>
  <c r="V254" i="3"/>
  <c r="U254" i="3"/>
  <c r="T254" i="3"/>
  <c r="S254" i="3"/>
  <c r="W254" i="3" s="1"/>
  <c r="X253" i="3"/>
  <c r="V253" i="3"/>
  <c r="U253" i="3"/>
  <c r="T253" i="3"/>
  <c r="S253" i="3"/>
  <c r="W253" i="3" s="1"/>
  <c r="X252" i="3"/>
  <c r="V252" i="3"/>
  <c r="U252" i="3"/>
  <c r="T252" i="3"/>
  <c r="S252" i="3"/>
  <c r="W252" i="3" s="1"/>
  <c r="X251" i="3"/>
  <c r="V251" i="3"/>
  <c r="U251" i="3"/>
  <c r="T251" i="3"/>
  <c r="S251" i="3"/>
  <c r="W251" i="3" s="1"/>
  <c r="X250" i="3"/>
  <c r="V250" i="3"/>
  <c r="U250" i="3"/>
  <c r="T250" i="3"/>
  <c r="S250" i="3"/>
  <c r="W250" i="3" s="1"/>
  <c r="X249" i="3"/>
  <c r="V249" i="3"/>
  <c r="U249" i="3"/>
  <c r="T249" i="3"/>
  <c r="S249" i="3"/>
  <c r="W249" i="3" s="1"/>
  <c r="X248" i="3"/>
  <c r="V248" i="3"/>
  <c r="U248" i="3"/>
  <c r="T248" i="3"/>
  <c r="S248" i="3"/>
  <c r="W248" i="3" s="1"/>
  <c r="X247" i="3"/>
  <c r="V247" i="3"/>
  <c r="U247" i="3"/>
  <c r="T247" i="3"/>
  <c r="S247" i="3"/>
  <c r="W247" i="3" s="1"/>
  <c r="X246" i="3"/>
  <c r="V246" i="3"/>
  <c r="U246" i="3"/>
  <c r="T246" i="3"/>
  <c r="S246" i="3"/>
  <c r="W246" i="3" s="1"/>
  <c r="X245" i="3"/>
  <c r="V245" i="3"/>
  <c r="U245" i="3"/>
  <c r="T245" i="3"/>
  <c r="S245" i="3"/>
  <c r="W245" i="3" s="1"/>
  <c r="X244" i="3"/>
  <c r="V244" i="3"/>
  <c r="U244" i="3"/>
  <c r="T244" i="3"/>
  <c r="S244" i="3"/>
  <c r="W244" i="3" s="1"/>
  <c r="X243" i="3"/>
  <c r="V243" i="3"/>
  <c r="U243" i="3"/>
  <c r="T243" i="3"/>
  <c r="S243" i="3"/>
  <c r="W243" i="3" s="1"/>
  <c r="X242" i="3"/>
  <c r="V242" i="3"/>
  <c r="U242" i="3"/>
  <c r="T242" i="3"/>
  <c r="S242" i="3"/>
  <c r="W242" i="3" s="1"/>
  <c r="X241" i="3"/>
  <c r="V241" i="3"/>
  <c r="U241" i="3"/>
  <c r="T241" i="3"/>
  <c r="S241" i="3"/>
  <c r="W241" i="3" s="1"/>
  <c r="X240" i="3"/>
  <c r="V240" i="3"/>
  <c r="U240" i="3"/>
  <c r="T240" i="3"/>
  <c r="S240" i="3"/>
  <c r="W240" i="3" s="1"/>
  <c r="X239" i="3"/>
  <c r="V239" i="3"/>
  <c r="U239" i="3"/>
  <c r="T239" i="3"/>
  <c r="S239" i="3"/>
  <c r="W239" i="3" s="1"/>
  <c r="X238" i="3"/>
  <c r="V238" i="3"/>
  <c r="U238" i="3"/>
  <c r="T238" i="3"/>
  <c r="S238" i="3"/>
  <c r="W238" i="3" s="1"/>
  <c r="X237" i="3"/>
  <c r="V237" i="3"/>
  <c r="U237" i="3"/>
  <c r="T237" i="3"/>
  <c r="S237" i="3"/>
  <c r="W237" i="3" s="1"/>
  <c r="X236" i="3"/>
  <c r="V236" i="3"/>
  <c r="U236" i="3"/>
  <c r="T236" i="3"/>
  <c r="S236" i="3"/>
  <c r="W236" i="3" s="1"/>
  <c r="X235" i="3"/>
  <c r="V235" i="3"/>
  <c r="U235" i="3"/>
  <c r="T235" i="3"/>
  <c r="S235" i="3"/>
  <c r="W235" i="3" s="1"/>
  <c r="X234" i="3"/>
  <c r="V234" i="3"/>
  <c r="U234" i="3"/>
  <c r="T234" i="3"/>
  <c r="S234" i="3"/>
  <c r="W234" i="3" s="1"/>
  <c r="X233" i="3"/>
  <c r="V233" i="3"/>
  <c r="U233" i="3"/>
  <c r="T233" i="3"/>
  <c r="S233" i="3"/>
  <c r="W233" i="3" s="1"/>
  <c r="X232" i="3"/>
  <c r="V232" i="3"/>
  <c r="U232" i="3"/>
  <c r="T232" i="3"/>
  <c r="S232" i="3"/>
  <c r="W232" i="3" s="1"/>
  <c r="X231" i="3"/>
  <c r="V231" i="3"/>
  <c r="U231" i="3"/>
  <c r="T231" i="3"/>
  <c r="S231" i="3"/>
  <c r="X230" i="3"/>
  <c r="V230" i="3"/>
  <c r="U230" i="3"/>
  <c r="T230" i="3"/>
  <c r="S230" i="3"/>
  <c r="W230" i="3" s="1"/>
  <c r="X229" i="3"/>
  <c r="V229" i="3"/>
  <c r="U229" i="3"/>
  <c r="T229" i="3"/>
  <c r="S229" i="3"/>
  <c r="X228" i="3"/>
  <c r="V228" i="3"/>
  <c r="U228" i="3"/>
  <c r="T228" i="3"/>
  <c r="S228" i="3"/>
  <c r="W228" i="3" s="1"/>
  <c r="X227" i="3"/>
  <c r="V227" i="3"/>
  <c r="U227" i="3"/>
  <c r="T227" i="3"/>
  <c r="S227" i="3"/>
  <c r="X226" i="3"/>
  <c r="V226" i="3"/>
  <c r="U226" i="3"/>
  <c r="T226" i="3"/>
  <c r="S226" i="3"/>
  <c r="W226" i="3" s="1"/>
  <c r="X225" i="3"/>
  <c r="V225" i="3"/>
  <c r="U225" i="3"/>
  <c r="T225" i="3"/>
  <c r="S225" i="3"/>
  <c r="W225" i="3" s="1"/>
  <c r="X224" i="3"/>
  <c r="V224" i="3"/>
  <c r="U224" i="3"/>
  <c r="T224" i="3"/>
  <c r="S224" i="3"/>
  <c r="W224" i="3" s="1"/>
  <c r="X223" i="3"/>
  <c r="V223" i="3"/>
  <c r="U223" i="3"/>
  <c r="T223" i="3"/>
  <c r="S223" i="3"/>
  <c r="W223" i="3" s="1"/>
  <c r="X222" i="3"/>
  <c r="V222" i="3"/>
  <c r="U222" i="3"/>
  <c r="T222" i="3"/>
  <c r="S222" i="3"/>
  <c r="W222" i="3" s="1"/>
  <c r="X221" i="3"/>
  <c r="V221" i="3"/>
  <c r="U221" i="3"/>
  <c r="T221" i="3"/>
  <c r="S221" i="3"/>
  <c r="W221" i="3" s="1"/>
  <c r="X220" i="3"/>
  <c r="V220" i="3"/>
  <c r="U220" i="3"/>
  <c r="T220" i="3"/>
  <c r="S220" i="3"/>
  <c r="W220" i="3" s="1"/>
  <c r="X219" i="3"/>
  <c r="V219" i="3"/>
  <c r="U219" i="3"/>
  <c r="T219" i="3"/>
  <c r="S219" i="3"/>
  <c r="W219" i="3" s="1"/>
  <c r="X218" i="3"/>
  <c r="V218" i="3"/>
  <c r="U218" i="3"/>
  <c r="T218" i="3"/>
  <c r="S218" i="3"/>
  <c r="W218" i="3" s="1"/>
  <c r="X217" i="3"/>
  <c r="V217" i="3"/>
  <c r="U217" i="3"/>
  <c r="T217" i="3"/>
  <c r="S217" i="3"/>
  <c r="W217" i="3" s="1"/>
  <c r="X216" i="3"/>
  <c r="V216" i="3"/>
  <c r="U216" i="3"/>
  <c r="T216" i="3"/>
  <c r="S216" i="3"/>
  <c r="W216" i="3" s="1"/>
  <c r="X215" i="3"/>
  <c r="V215" i="3"/>
  <c r="U215" i="3"/>
  <c r="T215" i="3"/>
  <c r="S215" i="3"/>
  <c r="W215" i="3" s="1"/>
  <c r="X214" i="3"/>
  <c r="V214" i="3"/>
  <c r="U214" i="3"/>
  <c r="T214" i="3"/>
  <c r="S214" i="3"/>
  <c r="W214" i="3" s="1"/>
  <c r="X213" i="3"/>
  <c r="V213" i="3"/>
  <c r="U213" i="3"/>
  <c r="T213" i="3"/>
  <c r="S213" i="3"/>
  <c r="W213" i="3" s="1"/>
  <c r="X212" i="3"/>
  <c r="V212" i="3"/>
  <c r="U212" i="3"/>
  <c r="T212" i="3"/>
  <c r="S212" i="3"/>
  <c r="W212" i="3" s="1"/>
  <c r="X211" i="3"/>
  <c r="V211" i="3"/>
  <c r="U211" i="3"/>
  <c r="T211" i="3"/>
  <c r="S211" i="3"/>
  <c r="W211" i="3" s="1"/>
  <c r="X210" i="3"/>
  <c r="V210" i="3"/>
  <c r="U210" i="3"/>
  <c r="T210" i="3"/>
  <c r="S210" i="3"/>
  <c r="W210" i="3" s="1"/>
  <c r="X209" i="3"/>
  <c r="V209" i="3"/>
  <c r="U209" i="3"/>
  <c r="T209" i="3"/>
  <c r="S209" i="3"/>
  <c r="W209" i="3" s="1"/>
  <c r="X208" i="3"/>
  <c r="V208" i="3"/>
  <c r="U208" i="3"/>
  <c r="T208" i="3"/>
  <c r="S208" i="3"/>
  <c r="W208" i="3" s="1"/>
  <c r="X207" i="3"/>
  <c r="V207" i="3"/>
  <c r="U207" i="3"/>
  <c r="T207" i="3"/>
  <c r="S207" i="3"/>
  <c r="W207" i="3" s="1"/>
  <c r="X206" i="3"/>
  <c r="V206" i="3"/>
  <c r="U206" i="3"/>
  <c r="T206" i="3"/>
  <c r="S206" i="3"/>
  <c r="W206" i="3" s="1"/>
  <c r="X205" i="3"/>
  <c r="V205" i="3"/>
  <c r="U205" i="3"/>
  <c r="T205" i="3"/>
  <c r="S205" i="3"/>
  <c r="W205" i="3" s="1"/>
  <c r="X203" i="3"/>
  <c r="V203" i="3"/>
  <c r="U203" i="3"/>
  <c r="T203" i="3"/>
  <c r="S203" i="3"/>
  <c r="W203" i="3" s="1"/>
  <c r="X204" i="3"/>
  <c r="V204" i="3"/>
  <c r="U204" i="3"/>
  <c r="T204" i="3"/>
  <c r="S204" i="3"/>
  <c r="W204" i="3" s="1"/>
  <c r="AI351" i="9"/>
  <c r="AG351" i="9"/>
  <c r="AH351" i="9" s="1"/>
  <c r="AI350" i="9"/>
  <c r="AG350" i="9"/>
  <c r="AH350" i="9" s="1"/>
  <c r="AI349" i="9"/>
  <c r="AG349" i="9"/>
  <c r="AH349" i="9" s="1"/>
  <c r="AI344" i="9"/>
  <c r="AG344" i="9"/>
  <c r="AH344" i="9" s="1"/>
  <c r="AI343" i="9"/>
  <c r="AG343" i="9"/>
  <c r="AH343" i="9" s="1"/>
  <c r="AI342" i="9"/>
  <c r="AI341" i="9"/>
  <c r="AI340" i="9"/>
  <c r="AI339" i="9"/>
  <c r="AI338" i="9"/>
  <c r="AI337" i="9"/>
  <c r="AI336" i="9"/>
  <c r="AI335" i="9"/>
  <c r="AI334" i="9"/>
  <c r="AI333" i="9"/>
  <c r="AI186" i="9"/>
  <c r="AG186" i="9"/>
  <c r="AH186" i="9" s="1"/>
  <c r="AI185" i="9"/>
  <c r="AG185" i="9"/>
  <c r="AH185" i="9" s="1"/>
  <c r="AI184" i="9"/>
  <c r="AG184" i="9"/>
  <c r="AH184" i="9" s="1"/>
  <c r="AI183" i="9"/>
  <c r="AG183" i="9"/>
  <c r="AH183" i="9" s="1"/>
  <c r="AI182" i="9"/>
  <c r="AG182" i="9"/>
  <c r="AH182" i="9" s="1"/>
  <c r="AI181" i="9"/>
  <c r="AG181" i="9"/>
  <c r="AH181" i="9" s="1"/>
  <c r="AI180" i="9"/>
  <c r="AG180" i="9"/>
  <c r="AH180" i="9" s="1"/>
  <c r="AI179" i="9"/>
  <c r="AG179" i="9"/>
  <c r="AH179" i="9" s="1"/>
  <c r="AI178" i="9"/>
  <c r="AG178" i="9"/>
  <c r="AH178" i="9" s="1"/>
  <c r="AI177" i="9"/>
  <c r="AG177" i="9"/>
  <c r="AH177" i="9" s="1"/>
  <c r="AI176" i="9"/>
  <c r="AG176" i="9"/>
  <c r="AH176" i="9" s="1"/>
  <c r="AI175" i="9"/>
  <c r="AG175" i="9"/>
  <c r="AH175" i="9" s="1"/>
  <c r="AI174" i="9"/>
  <c r="AG174" i="9"/>
  <c r="AH174" i="9" s="1"/>
  <c r="AI173" i="9"/>
  <c r="AG173" i="9"/>
  <c r="AH173" i="9" s="1"/>
  <c r="AI172" i="9"/>
  <c r="AG172" i="9"/>
  <c r="AH172" i="9" s="1"/>
  <c r="AI171" i="9"/>
  <c r="AG171" i="9"/>
  <c r="AH171" i="9" s="1"/>
  <c r="AI170" i="9"/>
  <c r="AG170" i="9"/>
  <c r="AH170" i="9" s="1"/>
  <c r="AI169" i="9"/>
  <c r="AG169" i="9"/>
  <c r="AH169" i="9" s="1"/>
  <c r="AI168" i="9"/>
  <c r="AG168" i="9"/>
  <c r="AH168" i="9" s="1"/>
  <c r="AI167" i="9"/>
  <c r="AG167" i="9"/>
  <c r="AH167" i="9" s="1"/>
  <c r="AI166" i="9"/>
  <c r="AG166" i="9"/>
  <c r="AH166" i="9" s="1"/>
  <c r="AI165" i="9"/>
  <c r="AG165" i="9"/>
  <c r="AH165" i="9" s="1"/>
  <c r="AI164" i="9"/>
  <c r="AG164" i="9"/>
  <c r="AH164" i="9" s="1"/>
  <c r="AI163" i="9"/>
  <c r="AG163" i="9"/>
  <c r="AH163" i="9" s="1"/>
  <c r="AI162" i="9"/>
  <c r="AG162" i="9"/>
  <c r="AH162" i="9" s="1"/>
  <c r="AI161" i="9"/>
  <c r="AG161" i="9"/>
  <c r="AH161" i="9" s="1"/>
  <c r="AI160" i="9"/>
  <c r="AG160" i="9"/>
  <c r="AH160" i="9" s="1"/>
  <c r="AI159" i="9"/>
  <c r="AG159" i="9"/>
  <c r="AH159" i="9" s="1"/>
  <c r="AI158" i="9"/>
  <c r="AG158" i="9"/>
  <c r="AH158" i="9" s="1"/>
  <c r="AI157" i="9"/>
  <c r="AG157" i="9"/>
  <c r="AH157" i="9" s="1"/>
  <c r="AI156" i="9"/>
  <c r="AG156" i="9"/>
  <c r="AH156" i="9" s="1"/>
  <c r="AI155" i="9"/>
  <c r="AG155" i="9"/>
  <c r="AH155" i="9" s="1"/>
  <c r="AI154" i="9"/>
  <c r="AG154" i="9"/>
  <c r="AH154" i="9" s="1"/>
  <c r="AI153" i="9"/>
  <c r="AG153" i="9"/>
  <c r="AH153" i="9" s="1"/>
  <c r="AI152" i="9"/>
  <c r="AG152" i="9"/>
  <c r="AH152" i="9" s="1"/>
  <c r="AI151" i="9"/>
  <c r="AG151" i="9"/>
  <c r="AH151" i="9" s="1"/>
  <c r="AI150" i="9"/>
  <c r="AG150" i="9"/>
  <c r="AH150" i="9" s="1"/>
  <c r="AI149" i="9"/>
  <c r="AG149" i="9"/>
  <c r="AH149" i="9" s="1"/>
  <c r="AI148" i="9"/>
  <c r="AG148" i="9"/>
  <c r="AH148" i="9" s="1"/>
  <c r="AI147" i="9"/>
  <c r="AG147" i="9"/>
  <c r="AH147" i="9" s="1"/>
  <c r="AI146" i="9"/>
  <c r="AG146" i="9"/>
  <c r="AH146" i="9" s="1"/>
  <c r="AI145" i="9"/>
  <c r="AG145" i="9"/>
  <c r="AH145" i="9" s="1"/>
  <c r="AI144" i="9"/>
  <c r="AG144" i="9"/>
  <c r="AH144" i="9" s="1"/>
  <c r="AI143" i="9"/>
  <c r="AG143" i="9"/>
  <c r="AH143" i="9" s="1"/>
  <c r="AI142" i="9"/>
  <c r="AG142" i="9"/>
  <c r="AH142" i="9" s="1"/>
  <c r="AI141" i="9"/>
  <c r="AG141" i="9"/>
  <c r="AH141" i="9" s="1"/>
  <c r="AI140" i="9"/>
  <c r="AG140" i="9"/>
  <c r="AH140" i="9" s="1"/>
  <c r="AI139" i="9"/>
  <c r="AG139" i="9"/>
  <c r="AH139" i="9" s="1"/>
  <c r="AI138" i="9"/>
  <c r="AG138" i="9"/>
  <c r="AH138" i="9" s="1"/>
  <c r="AI137" i="9"/>
  <c r="AG137" i="9"/>
  <c r="AH137" i="9" s="1"/>
  <c r="AI136" i="9"/>
  <c r="AG136" i="9"/>
  <c r="AH136" i="9" s="1"/>
  <c r="AI135" i="9"/>
  <c r="AG135" i="9"/>
  <c r="AH135" i="9" s="1"/>
  <c r="AI134" i="9"/>
  <c r="AG134" i="9"/>
  <c r="AH134" i="9" s="1"/>
  <c r="AI133" i="9"/>
  <c r="AG133" i="9"/>
  <c r="AH133" i="9" s="1"/>
  <c r="AI132" i="9"/>
  <c r="AG132" i="9"/>
  <c r="AH132" i="9" s="1"/>
  <c r="AI131" i="9"/>
  <c r="AG131" i="9"/>
  <c r="AH131" i="9" s="1"/>
  <c r="AI130" i="9"/>
  <c r="AG130" i="9"/>
  <c r="AH130" i="9" s="1"/>
  <c r="AI129" i="9"/>
  <c r="AG129" i="9"/>
  <c r="AH129" i="9" s="1"/>
  <c r="AI128" i="9"/>
  <c r="AG128" i="9"/>
  <c r="AH128" i="9" s="1"/>
  <c r="AI127" i="9"/>
  <c r="AG127" i="9"/>
  <c r="AH127" i="9" s="1"/>
  <c r="AI126" i="9"/>
  <c r="AG126" i="9"/>
  <c r="AH126" i="9" s="1"/>
  <c r="AI125" i="9"/>
  <c r="AG125" i="9"/>
  <c r="AH125" i="9" s="1"/>
  <c r="AI124" i="9"/>
  <c r="AG124" i="9"/>
  <c r="AH124" i="9" s="1"/>
  <c r="AI123" i="9"/>
  <c r="AG123" i="9"/>
  <c r="AH123" i="9" s="1"/>
  <c r="AI122" i="9"/>
  <c r="AG122" i="9"/>
  <c r="AH122" i="9" s="1"/>
  <c r="AI121" i="9"/>
  <c r="AG121" i="9"/>
  <c r="AH121" i="9" s="1"/>
  <c r="AI120" i="9"/>
  <c r="AG120" i="9"/>
  <c r="AH120" i="9" s="1"/>
  <c r="AI119" i="9"/>
  <c r="AG119" i="9"/>
  <c r="AH119" i="9" s="1"/>
  <c r="AI118" i="9"/>
  <c r="AG118" i="9"/>
  <c r="AH118" i="9" s="1"/>
  <c r="AI117" i="9"/>
  <c r="AG117" i="9"/>
  <c r="AH117" i="9" s="1"/>
  <c r="AI116" i="9"/>
  <c r="AG116" i="9"/>
  <c r="AH116" i="9" s="1"/>
  <c r="AI115" i="9"/>
  <c r="AG115" i="9"/>
  <c r="AH115" i="9" s="1"/>
  <c r="AI114" i="9"/>
  <c r="AG114" i="9"/>
  <c r="AH114" i="9" s="1"/>
  <c r="AI113" i="9"/>
  <c r="AG113" i="9"/>
  <c r="AH113" i="9" s="1"/>
  <c r="AI112" i="9"/>
  <c r="AG112" i="9"/>
  <c r="AH112" i="9" s="1"/>
  <c r="AI111" i="9"/>
  <c r="AG111" i="9"/>
  <c r="AH111" i="9" s="1"/>
  <c r="AI110" i="9"/>
  <c r="AG110" i="9"/>
  <c r="AH110" i="9" s="1"/>
  <c r="AI109" i="9"/>
  <c r="AG109" i="9"/>
  <c r="AH109" i="9" s="1"/>
  <c r="AI108" i="9"/>
  <c r="AG108" i="9"/>
  <c r="AH108" i="9" s="1"/>
  <c r="AI107" i="9"/>
  <c r="AG107" i="9"/>
  <c r="AH107" i="9" s="1"/>
  <c r="AI106" i="9"/>
  <c r="AG106" i="9"/>
  <c r="AH106" i="9" s="1"/>
  <c r="AI105" i="9"/>
  <c r="AG105" i="9"/>
  <c r="AH105" i="9" s="1"/>
  <c r="AI104" i="9"/>
  <c r="AG104" i="9"/>
  <c r="AH104" i="9" s="1"/>
  <c r="AI103" i="9"/>
  <c r="AG103" i="9"/>
  <c r="AH103" i="9" s="1"/>
  <c r="AI102" i="9"/>
  <c r="AG102" i="9"/>
  <c r="AH102" i="9" s="1"/>
  <c r="AI101" i="9"/>
  <c r="AG101" i="9"/>
  <c r="AH101" i="9" s="1"/>
  <c r="AI100" i="9"/>
  <c r="AG100" i="9"/>
  <c r="AH100" i="9" s="1"/>
  <c r="AI99" i="9"/>
  <c r="AG99" i="9"/>
  <c r="AH99" i="9" s="1"/>
  <c r="AI98" i="9"/>
  <c r="AG98" i="9"/>
  <c r="AH98" i="9" s="1"/>
  <c r="AI97" i="9"/>
  <c r="AG97" i="9"/>
  <c r="AH97" i="9" s="1"/>
  <c r="AI96" i="9"/>
  <c r="AG96" i="9"/>
  <c r="AH96" i="9" s="1"/>
  <c r="AI95" i="9"/>
  <c r="AG95" i="9"/>
  <c r="AH95" i="9" s="1"/>
  <c r="AI94" i="9"/>
  <c r="AG94" i="9"/>
  <c r="AH94" i="9" s="1"/>
  <c r="AI93" i="9"/>
  <c r="AG93" i="9"/>
  <c r="AH93" i="9" s="1"/>
  <c r="AI92" i="9"/>
  <c r="AG92" i="9"/>
  <c r="AH92" i="9" s="1"/>
  <c r="AI91" i="9"/>
  <c r="AG91" i="9"/>
  <c r="AH91" i="9" s="1"/>
  <c r="AI90" i="9"/>
  <c r="AG90" i="9"/>
  <c r="AH90" i="9" s="1"/>
  <c r="AI89" i="9"/>
  <c r="AG89" i="9"/>
  <c r="AH89" i="9" s="1"/>
  <c r="AI88" i="9"/>
  <c r="AG88" i="9"/>
  <c r="AH88" i="9" s="1"/>
  <c r="AI87" i="9"/>
  <c r="AG87" i="9"/>
  <c r="AH87" i="9" s="1"/>
  <c r="AI86" i="9"/>
  <c r="AG86" i="9"/>
  <c r="AH86" i="9" s="1"/>
  <c r="AI85" i="9"/>
  <c r="AG85" i="9"/>
  <c r="AH85" i="9" s="1"/>
  <c r="AI84" i="9"/>
  <c r="AG84" i="9"/>
  <c r="AH84" i="9" s="1"/>
  <c r="AI83" i="9"/>
  <c r="AG83" i="9"/>
  <c r="AH83" i="9" s="1"/>
  <c r="AI82" i="9"/>
  <c r="AG82" i="9"/>
  <c r="AH82" i="9" s="1"/>
  <c r="AI81" i="9"/>
  <c r="AG81" i="9"/>
  <c r="AH81" i="9" s="1"/>
  <c r="AI80" i="9"/>
  <c r="AG80" i="9"/>
  <c r="AH80" i="9" s="1"/>
  <c r="AI79" i="9"/>
  <c r="AG79" i="9"/>
  <c r="AH79" i="9" s="1"/>
  <c r="AI78" i="9"/>
  <c r="AG78" i="9"/>
  <c r="AH78" i="9" s="1"/>
  <c r="AI77" i="9"/>
  <c r="AG77" i="9"/>
  <c r="AH77" i="9" s="1"/>
  <c r="AI76" i="9"/>
  <c r="AG76" i="9"/>
  <c r="AH76" i="9" s="1"/>
  <c r="AI75" i="9"/>
  <c r="AG75" i="9"/>
  <c r="AH75" i="9" s="1"/>
  <c r="AI74" i="9"/>
  <c r="AG74" i="9"/>
  <c r="AH74" i="9" s="1"/>
  <c r="AI73" i="9"/>
  <c r="AG73" i="9"/>
  <c r="AH73" i="9" s="1"/>
  <c r="AI72" i="9"/>
  <c r="AG72" i="9"/>
  <c r="AH72" i="9" s="1"/>
  <c r="AI71" i="9"/>
  <c r="AG71" i="9"/>
  <c r="AH71" i="9" s="1"/>
  <c r="AI70" i="9"/>
  <c r="AG70" i="9"/>
  <c r="AH70" i="9" s="1"/>
  <c r="AI69" i="9"/>
  <c r="AG69" i="9"/>
  <c r="AH69" i="9" s="1"/>
  <c r="AI68" i="9"/>
  <c r="AG68" i="9"/>
  <c r="AH68" i="9" s="1"/>
  <c r="AI67" i="9"/>
  <c r="AG67" i="9"/>
  <c r="AH67" i="9" s="1"/>
  <c r="AI66" i="9"/>
  <c r="AG66" i="9"/>
  <c r="AH66" i="9" s="1"/>
  <c r="AI65" i="9"/>
  <c r="AG65" i="9"/>
  <c r="AH65" i="9" s="1"/>
  <c r="AI64" i="9"/>
  <c r="AG64" i="9"/>
  <c r="AH64" i="9" s="1"/>
  <c r="AI63" i="9"/>
  <c r="AG63" i="9"/>
  <c r="AH63" i="9" s="1"/>
  <c r="AI62" i="9"/>
  <c r="AG62" i="9"/>
  <c r="AH62" i="9" s="1"/>
  <c r="AI61" i="9"/>
  <c r="AG61" i="9"/>
  <c r="AH61" i="9" s="1"/>
  <c r="AI60" i="9"/>
  <c r="AG60" i="9"/>
  <c r="AH60" i="9" s="1"/>
  <c r="AI59" i="9"/>
  <c r="AG59" i="9"/>
  <c r="AH59" i="9" s="1"/>
  <c r="AI58" i="9"/>
  <c r="AG58" i="9"/>
  <c r="AH58" i="9" s="1"/>
  <c r="AI57" i="9"/>
  <c r="AG57" i="9"/>
  <c r="AH57" i="9" s="1"/>
  <c r="AI56" i="9"/>
  <c r="AG56" i="9"/>
  <c r="AH56" i="9" s="1"/>
  <c r="AI55" i="9"/>
  <c r="AG55" i="9"/>
  <c r="AH55" i="9" s="1"/>
  <c r="AI54" i="9"/>
  <c r="AG54" i="9"/>
  <c r="AH54" i="9" s="1"/>
  <c r="AI53" i="9"/>
  <c r="AG53" i="9"/>
  <c r="AH53" i="9" s="1"/>
  <c r="AI52" i="9"/>
  <c r="AG52" i="9"/>
  <c r="AH52" i="9" s="1"/>
  <c r="AI51" i="9"/>
  <c r="AG51" i="9"/>
  <c r="AH51" i="9" s="1"/>
  <c r="AI50" i="9"/>
  <c r="AG50" i="9"/>
  <c r="AH50" i="9" s="1"/>
  <c r="AI49" i="9"/>
  <c r="AG49" i="9"/>
  <c r="AH49" i="9" s="1"/>
  <c r="AI48" i="9"/>
  <c r="AG48" i="9"/>
  <c r="AH48" i="9" s="1"/>
  <c r="AI47" i="9"/>
  <c r="AG47" i="9"/>
  <c r="AH47" i="9" s="1"/>
  <c r="AI46" i="9"/>
  <c r="AG46" i="9"/>
  <c r="AH46" i="9" s="1"/>
  <c r="AI45" i="9"/>
  <c r="AG45" i="9"/>
  <c r="AH45" i="9" s="1"/>
  <c r="AI44" i="9"/>
  <c r="AG44" i="9"/>
  <c r="AH44" i="9" s="1"/>
  <c r="AI43" i="9"/>
  <c r="AG43" i="9"/>
  <c r="AH43" i="9" s="1"/>
  <c r="AI42" i="9"/>
  <c r="AG42" i="9"/>
  <c r="AH42" i="9" s="1"/>
  <c r="AI41" i="9"/>
  <c r="AG41" i="9"/>
  <c r="AH41" i="9" s="1"/>
  <c r="AI40" i="9"/>
  <c r="AG40" i="9"/>
  <c r="AH40" i="9" s="1"/>
  <c r="AI39" i="9"/>
  <c r="AG39" i="9"/>
  <c r="AH39" i="9" s="1"/>
  <c r="AI38" i="9"/>
  <c r="AG38" i="9"/>
  <c r="AH38" i="9" s="1"/>
  <c r="AI37" i="9"/>
  <c r="AG37" i="9"/>
  <c r="AH37" i="9" s="1"/>
  <c r="AI36" i="9"/>
  <c r="AG36" i="9"/>
  <c r="AH36" i="9" s="1"/>
  <c r="AI35" i="9"/>
  <c r="AG35" i="9"/>
  <c r="AH35" i="9" s="1"/>
  <c r="AI34" i="9"/>
  <c r="AG34" i="9"/>
  <c r="AH34" i="9" s="1"/>
  <c r="AI33" i="9"/>
  <c r="AG33" i="9"/>
  <c r="AH33" i="9" s="1"/>
  <c r="AI32" i="9"/>
  <c r="AG32" i="9"/>
  <c r="AH32" i="9" s="1"/>
  <c r="AI31" i="9"/>
  <c r="AG31" i="9"/>
  <c r="AH31" i="9" s="1"/>
  <c r="AI30" i="9"/>
  <c r="AG30" i="9"/>
  <c r="AH30" i="9" s="1"/>
  <c r="AI29" i="9"/>
  <c r="AG29" i="9"/>
  <c r="AH29" i="9" s="1"/>
  <c r="AI28" i="9"/>
  <c r="AG28" i="9"/>
  <c r="AH28" i="9" s="1"/>
  <c r="AI27" i="9"/>
  <c r="AG27" i="9"/>
  <c r="AH27" i="9" s="1"/>
  <c r="AI26" i="9"/>
  <c r="AG26" i="9"/>
  <c r="AH26" i="9" s="1"/>
  <c r="AI25" i="9"/>
  <c r="AG25" i="9"/>
  <c r="AH25" i="9" s="1"/>
  <c r="AI24" i="9"/>
  <c r="AG24" i="9"/>
  <c r="AH24" i="9" s="1"/>
  <c r="AI23" i="9"/>
  <c r="AG23" i="9"/>
  <c r="AH23" i="9" s="1"/>
  <c r="AI22" i="9"/>
  <c r="AG22" i="9"/>
  <c r="AH22" i="9" s="1"/>
  <c r="AI21" i="9"/>
  <c r="AG21" i="9"/>
  <c r="AH21" i="9" s="1"/>
  <c r="AI20" i="9"/>
  <c r="AG20" i="9"/>
  <c r="AH20" i="9" s="1"/>
  <c r="AI19" i="9"/>
  <c r="AG19" i="9"/>
  <c r="AH19" i="9" s="1"/>
  <c r="AI18" i="9"/>
  <c r="AG18" i="9"/>
  <c r="AH18" i="9" s="1"/>
  <c r="AI17" i="9"/>
  <c r="AG17" i="9"/>
  <c r="AH17" i="9" s="1"/>
  <c r="AI16" i="9"/>
  <c r="AG16" i="9"/>
  <c r="AH16" i="9" s="1"/>
  <c r="AI15" i="9"/>
  <c r="AG15" i="9"/>
  <c r="AH15" i="9" s="1"/>
  <c r="AI14" i="9"/>
  <c r="AG14" i="9"/>
  <c r="AH14" i="9" s="1"/>
  <c r="AI13" i="9"/>
  <c r="AG13" i="9"/>
  <c r="AH13" i="9" s="1"/>
  <c r="AI12" i="9"/>
  <c r="AG12" i="9"/>
  <c r="AH12" i="9" s="1"/>
  <c r="AI11" i="9"/>
  <c r="AG11" i="9"/>
  <c r="AH11" i="9" s="1"/>
  <c r="AI10" i="9"/>
  <c r="AG10" i="9"/>
  <c r="AH10" i="9" s="1"/>
  <c r="AI9" i="9"/>
  <c r="AG9" i="9"/>
  <c r="AH9" i="9" s="1"/>
  <c r="AI8" i="9"/>
  <c r="AG8" i="9"/>
  <c r="AH8" i="9" s="1"/>
  <c r="AI7" i="9"/>
  <c r="AG7" i="9"/>
  <c r="AH7" i="9" s="1"/>
  <c r="AI6" i="9"/>
  <c r="AG6" i="9"/>
  <c r="AH6" i="9" s="1"/>
  <c r="AI5" i="9"/>
  <c r="AG5" i="9"/>
  <c r="H9" i="6"/>
  <c r="H8" i="6"/>
  <c r="H7" i="6"/>
  <c r="H6" i="6"/>
  <c r="H5" i="6"/>
  <c r="C29" i="5"/>
  <c r="D29" i="5" s="1"/>
  <c r="C28" i="5"/>
  <c r="D28" i="5" s="1"/>
  <c r="C27" i="5"/>
  <c r="D27" i="5" s="1"/>
  <c r="C26" i="5"/>
  <c r="D26" i="5" s="1"/>
  <c r="C25" i="5"/>
  <c r="D25" i="5" s="1"/>
  <c r="C24" i="5"/>
  <c r="D24" i="5" s="1"/>
  <c r="C23" i="5"/>
  <c r="D23" i="5" s="1"/>
  <c r="C22" i="5"/>
  <c r="D22" i="5" s="1"/>
  <c r="C21" i="5"/>
  <c r="D21" i="5" s="1"/>
  <c r="C20" i="5"/>
  <c r="D20" i="5" s="1"/>
  <c r="C19" i="5"/>
  <c r="D19" i="5" s="1"/>
  <c r="C18" i="5"/>
  <c r="D18" i="5" s="1"/>
  <c r="C17" i="5"/>
  <c r="D17" i="5" s="1"/>
  <c r="C16" i="5"/>
  <c r="D16" i="5" s="1"/>
  <c r="I34" i="4"/>
  <c r="H34" i="4"/>
  <c r="G34" i="4"/>
  <c r="F34" i="4"/>
  <c r="E34" i="4"/>
  <c r="D34" i="4"/>
  <c r="C34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X202" i="3"/>
  <c r="V202" i="3"/>
  <c r="U202" i="3"/>
  <c r="T202" i="3"/>
  <c r="S202" i="3"/>
  <c r="W202" i="3" s="1"/>
  <c r="X201" i="3"/>
  <c r="V201" i="3"/>
  <c r="U201" i="3"/>
  <c r="T201" i="3"/>
  <c r="S201" i="3"/>
  <c r="W201" i="3" s="1"/>
  <c r="X200" i="3"/>
  <c r="V200" i="3"/>
  <c r="U200" i="3"/>
  <c r="T200" i="3"/>
  <c r="S200" i="3"/>
  <c r="W200" i="3" s="1"/>
  <c r="X199" i="3"/>
  <c r="V199" i="3"/>
  <c r="U199" i="3"/>
  <c r="T199" i="3"/>
  <c r="S199" i="3"/>
  <c r="W199" i="3" s="1"/>
  <c r="X198" i="3"/>
  <c r="V198" i="3"/>
  <c r="U198" i="3"/>
  <c r="T198" i="3"/>
  <c r="S198" i="3"/>
  <c r="W198" i="3" s="1"/>
  <c r="X197" i="3"/>
  <c r="V197" i="3"/>
  <c r="U197" i="3"/>
  <c r="T197" i="3"/>
  <c r="S197" i="3"/>
  <c r="W197" i="3" s="1"/>
  <c r="X196" i="3"/>
  <c r="V196" i="3"/>
  <c r="U196" i="3"/>
  <c r="T196" i="3"/>
  <c r="S196" i="3"/>
  <c r="W196" i="3" s="1"/>
  <c r="X195" i="3"/>
  <c r="V195" i="3"/>
  <c r="U195" i="3"/>
  <c r="T195" i="3"/>
  <c r="S195" i="3"/>
  <c r="X194" i="3"/>
  <c r="V194" i="3"/>
  <c r="U194" i="3"/>
  <c r="T194" i="3"/>
  <c r="S194" i="3"/>
  <c r="W194" i="3" s="1"/>
  <c r="X193" i="3"/>
  <c r="V193" i="3"/>
  <c r="U193" i="3"/>
  <c r="T193" i="3"/>
  <c r="S193" i="3"/>
  <c r="X192" i="3"/>
  <c r="V192" i="3"/>
  <c r="U192" i="3"/>
  <c r="T192" i="3"/>
  <c r="S192" i="3"/>
  <c r="W192" i="3" s="1"/>
  <c r="X191" i="3"/>
  <c r="V191" i="3"/>
  <c r="U191" i="3"/>
  <c r="T191" i="3"/>
  <c r="S191" i="3"/>
  <c r="X190" i="3"/>
  <c r="V190" i="3"/>
  <c r="U190" i="3"/>
  <c r="T190" i="3"/>
  <c r="S190" i="3"/>
  <c r="W190" i="3" s="1"/>
  <c r="X189" i="3"/>
  <c r="V189" i="3"/>
  <c r="U189" i="3"/>
  <c r="T189" i="3"/>
  <c r="S189" i="3"/>
  <c r="X188" i="3"/>
  <c r="V188" i="3"/>
  <c r="U188" i="3"/>
  <c r="T188" i="3"/>
  <c r="S188" i="3"/>
  <c r="W188" i="3" s="1"/>
  <c r="X187" i="3"/>
  <c r="V187" i="3"/>
  <c r="U187" i="3"/>
  <c r="T187" i="3"/>
  <c r="S187" i="3"/>
  <c r="W187" i="3" s="1"/>
  <c r="X186" i="3"/>
  <c r="V186" i="3"/>
  <c r="U186" i="3"/>
  <c r="T186" i="3"/>
  <c r="S186" i="3"/>
  <c r="W186" i="3" s="1"/>
  <c r="X185" i="3"/>
  <c r="V185" i="3"/>
  <c r="U185" i="3"/>
  <c r="T185" i="3"/>
  <c r="S185" i="3"/>
  <c r="W185" i="3" s="1"/>
  <c r="X184" i="3"/>
  <c r="V184" i="3"/>
  <c r="U184" i="3"/>
  <c r="T184" i="3"/>
  <c r="S184" i="3"/>
  <c r="W184" i="3" s="1"/>
  <c r="X183" i="3"/>
  <c r="V183" i="3"/>
  <c r="U183" i="3"/>
  <c r="T183" i="3"/>
  <c r="S183" i="3"/>
  <c r="W183" i="3" s="1"/>
  <c r="X182" i="3"/>
  <c r="V182" i="3"/>
  <c r="U182" i="3"/>
  <c r="T182" i="3"/>
  <c r="S182" i="3"/>
  <c r="W182" i="3" s="1"/>
  <c r="X181" i="3"/>
  <c r="V181" i="3"/>
  <c r="U181" i="3"/>
  <c r="T181" i="3"/>
  <c r="S181" i="3"/>
  <c r="W181" i="3" s="1"/>
  <c r="X180" i="3"/>
  <c r="V180" i="3"/>
  <c r="U180" i="3"/>
  <c r="T180" i="3"/>
  <c r="S180" i="3"/>
  <c r="W180" i="3" s="1"/>
  <c r="X179" i="3"/>
  <c r="V179" i="3"/>
  <c r="U179" i="3"/>
  <c r="T179" i="3"/>
  <c r="S179" i="3"/>
  <c r="W179" i="3" s="1"/>
  <c r="X178" i="3"/>
  <c r="V178" i="3"/>
  <c r="U178" i="3"/>
  <c r="T178" i="3"/>
  <c r="S178" i="3"/>
  <c r="W178" i="3" s="1"/>
  <c r="X177" i="3"/>
  <c r="V177" i="3"/>
  <c r="U177" i="3"/>
  <c r="T177" i="3"/>
  <c r="S177" i="3"/>
  <c r="W177" i="3" s="1"/>
  <c r="X176" i="3"/>
  <c r="V176" i="3"/>
  <c r="U176" i="3"/>
  <c r="T176" i="3"/>
  <c r="S176" i="3"/>
  <c r="W176" i="3" s="1"/>
  <c r="X175" i="3"/>
  <c r="V175" i="3"/>
  <c r="U175" i="3"/>
  <c r="T175" i="3"/>
  <c r="S175" i="3"/>
  <c r="W175" i="3" s="1"/>
  <c r="X174" i="3"/>
  <c r="V174" i="3"/>
  <c r="U174" i="3"/>
  <c r="T174" i="3"/>
  <c r="S174" i="3"/>
  <c r="W174" i="3" s="1"/>
  <c r="X173" i="3"/>
  <c r="V173" i="3"/>
  <c r="U173" i="3"/>
  <c r="T173" i="3"/>
  <c r="S173" i="3"/>
  <c r="W173" i="3" s="1"/>
  <c r="X172" i="3"/>
  <c r="V172" i="3"/>
  <c r="U172" i="3"/>
  <c r="T172" i="3"/>
  <c r="S172" i="3"/>
  <c r="W172" i="3" s="1"/>
  <c r="X171" i="3"/>
  <c r="V171" i="3"/>
  <c r="U171" i="3"/>
  <c r="T171" i="3"/>
  <c r="S171" i="3"/>
  <c r="X170" i="3"/>
  <c r="V170" i="3"/>
  <c r="U170" i="3"/>
  <c r="T170" i="3"/>
  <c r="S170" i="3"/>
  <c r="W170" i="3" s="1"/>
  <c r="X169" i="3"/>
  <c r="V169" i="3"/>
  <c r="U169" i="3"/>
  <c r="T169" i="3"/>
  <c r="S169" i="3"/>
  <c r="X168" i="3"/>
  <c r="V168" i="3"/>
  <c r="U168" i="3"/>
  <c r="T168" i="3"/>
  <c r="S168" i="3"/>
  <c r="W168" i="3" s="1"/>
  <c r="X167" i="3"/>
  <c r="V167" i="3"/>
  <c r="U167" i="3"/>
  <c r="T167" i="3"/>
  <c r="S167" i="3"/>
  <c r="X166" i="3"/>
  <c r="V166" i="3"/>
  <c r="U166" i="3"/>
  <c r="T166" i="3"/>
  <c r="S166" i="3"/>
  <c r="W166" i="3" s="1"/>
  <c r="X165" i="3"/>
  <c r="V165" i="3"/>
  <c r="U165" i="3"/>
  <c r="T165" i="3"/>
  <c r="S165" i="3"/>
  <c r="X164" i="3"/>
  <c r="V164" i="3"/>
  <c r="U164" i="3"/>
  <c r="T164" i="3"/>
  <c r="S164" i="3"/>
  <c r="W164" i="3" s="1"/>
  <c r="X163" i="3"/>
  <c r="V163" i="3"/>
  <c r="U163" i="3"/>
  <c r="T163" i="3"/>
  <c r="S163" i="3"/>
  <c r="W163" i="3" s="1"/>
  <c r="X162" i="3"/>
  <c r="V162" i="3"/>
  <c r="U162" i="3"/>
  <c r="T162" i="3"/>
  <c r="S162" i="3"/>
  <c r="W162" i="3" s="1"/>
  <c r="X161" i="3"/>
  <c r="V161" i="3"/>
  <c r="U161" i="3"/>
  <c r="T161" i="3"/>
  <c r="S161" i="3"/>
  <c r="W161" i="3" s="1"/>
  <c r="X160" i="3"/>
  <c r="V160" i="3"/>
  <c r="U160" i="3"/>
  <c r="T160" i="3"/>
  <c r="S160" i="3"/>
  <c r="W160" i="3" s="1"/>
  <c r="X159" i="3"/>
  <c r="V159" i="3"/>
  <c r="U159" i="3"/>
  <c r="T159" i="3"/>
  <c r="S159" i="3"/>
  <c r="W159" i="3" s="1"/>
  <c r="X158" i="3"/>
  <c r="V158" i="3"/>
  <c r="U158" i="3"/>
  <c r="T158" i="3"/>
  <c r="S158" i="3"/>
  <c r="W158" i="3" s="1"/>
  <c r="X157" i="3"/>
  <c r="V157" i="3"/>
  <c r="U157" i="3"/>
  <c r="T157" i="3"/>
  <c r="S157" i="3"/>
  <c r="W157" i="3" s="1"/>
  <c r="X156" i="3"/>
  <c r="V156" i="3"/>
  <c r="U156" i="3"/>
  <c r="T156" i="3"/>
  <c r="S156" i="3"/>
  <c r="W156" i="3" s="1"/>
  <c r="X155" i="3"/>
  <c r="V155" i="3"/>
  <c r="U155" i="3"/>
  <c r="T155" i="3"/>
  <c r="S155" i="3"/>
  <c r="W155" i="3" s="1"/>
  <c r="X154" i="3"/>
  <c r="V154" i="3"/>
  <c r="U154" i="3"/>
  <c r="T154" i="3"/>
  <c r="S154" i="3"/>
  <c r="W154" i="3" s="1"/>
  <c r="X153" i="3"/>
  <c r="V153" i="3"/>
  <c r="U153" i="3"/>
  <c r="T153" i="3"/>
  <c r="S153" i="3"/>
  <c r="W153" i="3" s="1"/>
  <c r="X152" i="3"/>
  <c r="V152" i="3"/>
  <c r="U152" i="3"/>
  <c r="T152" i="3"/>
  <c r="S152" i="3"/>
  <c r="W152" i="3" s="1"/>
  <c r="X151" i="3"/>
  <c r="V151" i="3"/>
  <c r="U151" i="3"/>
  <c r="T151" i="3"/>
  <c r="S151" i="3"/>
  <c r="W151" i="3" s="1"/>
  <c r="X150" i="3"/>
  <c r="V150" i="3"/>
  <c r="U150" i="3"/>
  <c r="T150" i="3"/>
  <c r="S150" i="3"/>
  <c r="W150" i="3" s="1"/>
  <c r="X149" i="3"/>
  <c r="V149" i="3"/>
  <c r="U149" i="3"/>
  <c r="T149" i="3"/>
  <c r="S149" i="3"/>
  <c r="W149" i="3" s="1"/>
  <c r="X148" i="3"/>
  <c r="V148" i="3"/>
  <c r="U148" i="3"/>
  <c r="T148" i="3"/>
  <c r="S148" i="3"/>
  <c r="W148" i="3" s="1"/>
  <c r="X147" i="3"/>
  <c r="V147" i="3"/>
  <c r="U147" i="3"/>
  <c r="T147" i="3"/>
  <c r="S147" i="3"/>
  <c r="X146" i="3"/>
  <c r="V146" i="3"/>
  <c r="U146" i="3"/>
  <c r="T146" i="3"/>
  <c r="S146" i="3"/>
  <c r="W146" i="3" s="1"/>
  <c r="X145" i="3"/>
  <c r="V145" i="3"/>
  <c r="U145" i="3"/>
  <c r="T145" i="3"/>
  <c r="S145" i="3"/>
  <c r="X144" i="3"/>
  <c r="V144" i="3"/>
  <c r="U144" i="3"/>
  <c r="T144" i="3"/>
  <c r="S144" i="3"/>
  <c r="W144" i="3" s="1"/>
  <c r="X143" i="3"/>
  <c r="V143" i="3"/>
  <c r="U143" i="3"/>
  <c r="T143" i="3"/>
  <c r="S143" i="3"/>
  <c r="X142" i="3"/>
  <c r="V142" i="3"/>
  <c r="U142" i="3"/>
  <c r="T142" i="3"/>
  <c r="S142" i="3"/>
  <c r="W142" i="3" s="1"/>
  <c r="X141" i="3"/>
  <c r="V141" i="3"/>
  <c r="U141" i="3"/>
  <c r="T141" i="3"/>
  <c r="S141" i="3"/>
  <c r="X140" i="3"/>
  <c r="V140" i="3"/>
  <c r="U140" i="3"/>
  <c r="T140" i="3"/>
  <c r="S140" i="3"/>
  <c r="W140" i="3" s="1"/>
  <c r="X139" i="3"/>
  <c r="V139" i="3"/>
  <c r="U139" i="3"/>
  <c r="T139" i="3"/>
  <c r="S139" i="3"/>
  <c r="W139" i="3" s="1"/>
  <c r="X138" i="3"/>
  <c r="V138" i="3"/>
  <c r="U138" i="3"/>
  <c r="T138" i="3"/>
  <c r="S138" i="3"/>
  <c r="W138" i="3" s="1"/>
  <c r="X137" i="3"/>
  <c r="V137" i="3"/>
  <c r="U137" i="3"/>
  <c r="T137" i="3"/>
  <c r="S137" i="3"/>
  <c r="W137" i="3" s="1"/>
  <c r="X136" i="3"/>
  <c r="V136" i="3"/>
  <c r="U136" i="3"/>
  <c r="T136" i="3"/>
  <c r="S136" i="3"/>
  <c r="W136" i="3" s="1"/>
  <c r="X135" i="3"/>
  <c r="V135" i="3"/>
  <c r="U135" i="3"/>
  <c r="T135" i="3"/>
  <c r="S135" i="3"/>
  <c r="W135" i="3" s="1"/>
  <c r="X134" i="3"/>
  <c r="V134" i="3"/>
  <c r="U134" i="3"/>
  <c r="T134" i="3"/>
  <c r="S134" i="3"/>
  <c r="W134" i="3" s="1"/>
  <c r="X133" i="3"/>
  <c r="V133" i="3"/>
  <c r="U133" i="3"/>
  <c r="T133" i="3"/>
  <c r="S133" i="3"/>
  <c r="W133" i="3" s="1"/>
  <c r="X132" i="3"/>
  <c r="V132" i="3"/>
  <c r="U132" i="3"/>
  <c r="T132" i="3"/>
  <c r="S132" i="3"/>
  <c r="W132" i="3" s="1"/>
  <c r="X131" i="3"/>
  <c r="V131" i="3"/>
  <c r="U131" i="3"/>
  <c r="T131" i="3"/>
  <c r="S131" i="3"/>
  <c r="W131" i="3" s="1"/>
  <c r="X130" i="3"/>
  <c r="V130" i="3"/>
  <c r="U130" i="3"/>
  <c r="T130" i="3"/>
  <c r="S130" i="3"/>
  <c r="W130" i="3" s="1"/>
  <c r="X129" i="3"/>
  <c r="V129" i="3"/>
  <c r="U129" i="3"/>
  <c r="T129" i="3"/>
  <c r="S129" i="3"/>
  <c r="W129" i="3" s="1"/>
  <c r="X128" i="3"/>
  <c r="V128" i="3"/>
  <c r="U128" i="3"/>
  <c r="T128" i="3"/>
  <c r="S128" i="3"/>
  <c r="W128" i="3" s="1"/>
  <c r="X127" i="3"/>
  <c r="V127" i="3"/>
  <c r="U127" i="3"/>
  <c r="T127" i="3"/>
  <c r="S127" i="3"/>
  <c r="W127" i="3" s="1"/>
  <c r="X126" i="3"/>
  <c r="V126" i="3"/>
  <c r="U126" i="3"/>
  <c r="T126" i="3"/>
  <c r="S126" i="3"/>
  <c r="W126" i="3" s="1"/>
  <c r="X125" i="3"/>
  <c r="V125" i="3"/>
  <c r="U125" i="3"/>
  <c r="T125" i="3"/>
  <c r="S125" i="3"/>
  <c r="W125" i="3" s="1"/>
  <c r="X124" i="3"/>
  <c r="V124" i="3"/>
  <c r="U124" i="3"/>
  <c r="T124" i="3"/>
  <c r="S124" i="3"/>
  <c r="W124" i="3" s="1"/>
  <c r="X123" i="3"/>
  <c r="V123" i="3"/>
  <c r="U123" i="3"/>
  <c r="T123" i="3"/>
  <c r="S123" i="3"/>
  <c r="X122" i="3"/>
  <c r="V122" i="3"/>
  <c r="U122" i="3"/>
  <c r="T122" i="3"/>
  <c r="S122" i="3"/>
  <c r="W122" i="3" s="1"/>
  <c r="X121" i="3"/>
  <c r="V121" i="3"/>
  <c r="U121" i="3"/>
  <c r="T121" i="3"/>
  <c r="S121" i="3"/>
  <c r="X120" i="3"/>
  <c r="V120" i="3"/>
  <c r="U120" i="3"/>
  <c r="T120" i="3"/>
  <c r="S120" i="3"/>
  <c r="W120" i="3" s="1"/>
  <c r="X119" i="3"/>
  <c r="V119" i="3"/>
  <c r="U119" i="3"/>
  <c r="T119" i="3"/>
  <c r="S119" i="3"/>
  <c r="X118" i="3"/>
  <c r="V118" i="3"/>
  <c r="U118" i="3"/>
  <c r="T118" i="3"/>
  <c r="S118" i="3"/>
  <c r="W118" i="3" s="1"/>
  <c r="X117" i="3"/>
  <c r="V117" i="3"/>
  <c r="U117" i="3"/>
  <c r="T117" i="3"/>
  <c r="S117" i="3"/>
  <c r="X116" i="3"/>
  <c r="V116" i="3"/>
  <c r="U116" i="3"/>
  <c r="T116" i="3"/>
  <c r="S116" i="3"/>
  <c r="W116" i="3" s="1"/>
  <c r="X115" i="3"/>
  <c r="V115" i="3"/>
  <c r="U115" i="3"/>
  <c r="T115" i="3"/>
  <c r="S115" i="3"/>
  <c r="W115" i="3" s="1"/>
  <c r="X114" i="3"/>
  <c r="V114" i="3"/>
  <c r="U114" i="3"/>
  <c r="T114" i="3"/>
  <c r="S114" i="3"/>
  <c r="W114" i="3" s="1"/>
  <c r="X113" i="3"/>
  <c r="V113" i="3"/>
  <c r="U113" i="3"/>
  <c r="T113" i="3"/>
  <c r="S113" i="3"/>
  <c r="W113" i="3" s="1"/>
  <c r="X112" i="3"/>
  <c r="V112" i="3"/>
  <c r="U112" i="3"/>
  <c r="T112" i="3"/>
  <c r="S112" i="3"/>
  <c r="W112" i="3" s="1"/>
  <c r="X111" i="3"/>
  <c r="V111" i="3"/>
  <c r="U111" i="3"/>
  <c r="T111" i="3"/>
  <c r="S111" i="3"/>
  <c r="W111" i="3" s="1"/>
  <c r="X110" i="3"/>
  <c r="V110" i="3"/>
  <c r="U110" i="3"/>
  <c r="T110" i="3"/>
  <c r="S110" i="3"/>
  <c r="W110" i="3" s="1"/>
  <c r="X109" i="3"/>
  <c r="V109" i="3"/>
  <c r="U109" i="3"/>
  <c r="T109" i="3"/>
  <c r="S109" i="3"/>
  <c r="W109" i="3" s="1"/>
  <c r="X108" i="3"/>
  <c r="V108" i="3"/>
  <c r="U108" i="3"/>
  <c r="T108" i="3"/>
  <c r="S108" i="3"/>
  <c r="W108" i="3" s="1"/>
  <c r="X107" i="3"/>
  <c r="V107" i="3"/>
  <c r="U107" i="3"/>
  <c r="T107" i="3"/>
  <c r="S107" i="3"/>
  <c r="W107" i="3" s="1"/>
  <c r="X106" i="3"/>
  <c r="V106" i="3"/>
  <c r="U106" i="3"/>
  <c r="T106" i="3"/>
  <c r="S106" i="3"/>
  <c r="W106" i="3" s="1"/>
  <c r="X105" i="3"/>
  <c r="V105" i="3"/>
  <c r="U105" i="3"/>
  <c r="T105" i="3"/>
  <c r="S105" i="3"/>
  <c r="W105" i="3" s="1"/>
  <c r="X104" i="3"/>
  <c r="V104" i="3"/>
  <c r="U104" i="3"/>
  <c r="T104" i="3"/>
  <c r="S104" i="3"/>
  <c r="W104" i="3" s="1"/>
  <c r="X103" i="3"/>
  <c r="V103" i="3"/>
  <c r="U103" i="3"/>
  <c r="T103" i="3"/>
  <c r="S103" i="3"/>
  <c r="W103" i="3" s="1"/>
  <c r="X102" i="3"/>
  <c r="V102" i="3"/>
  <c r="U102" i="3"/>
  <c r="T102" i="3"/>
  <c r="S102" i="3"/>
  <c r="W102" i="3" s="1"/>
  <c r="X101" i="3"/>
  <c r="V101" i="3"/>
  <c r="U101" i="3"/>
  <c r="T101" i="3"/>
  <c r="S101" i="3"/>
  <c r="W101" i="3" s="1"/>
  <c r="X100" i="3"/>
  <c r="V100" i="3"/>
  <c r="U100" i="3"/>
  <c r="T100" i="3"/>
  <c r="S100" i="3"/>
  <c r="W100" i="3" s="1"/>
  <c r="X99" i="3"/>
  <c r="V99" i="3"/>
  <c r="U99" i="3"/>
  <c r="T99" i="3"/>
  <c r="S99" i="3"/>
  <c r="X98" i="3"/>
  <c r="V98" i="3"/>
  <c r="U98" i="3"/>
  <c r="T98" i="3"/>
  <c r="S98" i="3"/>
  <c r="W98" i="3" s="1"/>
  <c r="X97" i="3"/>
  <c r="V97" i="3"/>
  <c r="U97" i="3"/>
  <c r="T97" i="3"/>
  <c r="S97" i="3"/>
  <c r="X96" i="3"/>
  <c r="V96" i="3"/>
  <c r="U96" i="3"/>
  <c r="T96" i="3"/>
  <c r="S96" i="3"/>
  <c r="W96" i="3" s="1"/>
  <c r="X95" i="3"/>
  <c r="V95" i="3"/>
  <c r="U95" i="3"/>
  <c r="T95" i="3"/>
  <c r="S95" i="3"/>
  <c r="X94" i="3"/>
  <c r="V94" i="3"/>
  <c r="U94" i="3"/>
  <c r="T94" i="3"/>
  <c r="S94" i="3"/>
  <c r="W94" i="3" s="1"/>
  <c r="X93" i="3"/>
  <c r="V93" i="3"/>
  <c r="U93" i="3"/>
  <c r="T93" i="3"/>
  <c r="S93" i="3"/>
  <c r="X92" i="3"/>
  <c r="V92" i="3"/>
  <c r="U92" i="3"/>
  <c r="T92" i="3"/>
  <c r="S92" i="3"/>
  <c r="W92" i="3" s="1"/>
  <c r="X91" i="3"/>
  <c r="V91" i="3"/>
  <c r="U91" i="3"/>
  <c r="T91" i="3"/>
  <c r="S91" i="3"/>
  <c r="W91" i="3" s="1"/>
  <c r="X90" i="3"/>
  <c r="V90" i="3"/>
  <c r="U90" i="3"/>
  <c r="T90" i="3"/>
  <c r="S90" i="3"/>
  <c r="W90" i="3" s="1"/>
  <c r="X89" i="3"/>
  <c r="V89" i="3"/>
  <c r="U89" i="3"/>
  <c r="T89" i="3"/>
  <c r="S89" i="3"/>
  <c r="W89" i="3" s="1"/>
  <c r="X88" i="3"/>
  <c r="V88" i="3"/>
  <c r="U88" i="3"/>
  <c r="T88" i="3"/>
  <c r="S88" i="3"/>
  <c r="W88" i="3" s="1"/>
  <c r="X87" i="3"/>
  <c r="V87" i="3"/>
  <c r="U87" i="3"/>
  <c r="T87" i="3"/>
  <c r="S87" i="3"/>
  <c r="W87" i="3" s="1"/>
  <c r="X86" i="3"/>
  <c r="V86" i="3"/>
  <c r="U86" i="3"/>
  <c r="T86" i="3"/>
  <c r="S86" i="3"/>
  <c r="W86" i="3" s="1"/>
  <c r="X85" i="3"/>
  <c r="V85" i="3"/>
  <c r="U85" i="3"/>
  <c r="T85" i="3"/>
  <c r="S85" i="3"/>
  <c r="W85" i="3" s="1"/>
  <c r="X84" i="3"/>
  <c r="V84" i="3"/>
  <c r="U84" i="3"/>
  <c r="T84" i="3"/>
  <c r="S84" i="3"/>
  <c r="W84" i="3" s="1"/>
  <c r="X83" i="3"/>
  <c r="V83" i="3"/>
  <c r="U83" i="3"/>
  <c r="T83" i="3"/>
  <c r="S83" i="3"/>
  <c r="W83" i="3" s="1"/>
  <c r="X82" i="3"/>
  <c r="V82" i="3"/>
  <c r="U82" i="3"/>
  <c r="T82" i="3"/>
  <c r="S82" i="3"/>
  <c r="W82" i="3" s="1"/>
  <c r="X81" i="3"/>
  <c r="V81" i="3"/>
  <c r="U81" i="3"/>
  <c r="T81" i="3"/>
  <c r="S81" i="3"/>
  <c r="W81" i="3" s="1"/>
  <c r="X80" i="3"/>
  <c r="V80" i="3"/>
  <c r="U80" i="3"/>
  <c r="T80" i="3"/>
  <c r="S80" i="3"/>
  <c r="W80" i="3" s="1"/>
  <c r="X79" i="3"/>
  <c r="V79" i="3"/>
  <c r="U79" i="3"/>
  <c r="T79" i="3"/>
  <c r="S79" i="3"/>
  <c r="W79" i="3" s="1"/>
  <c r="X78" i="3"/>
  <c r="V78" i="3"/>
  <c r="U78" i="3"/>
  <c r="T78" i="3"/>
  <c r="S78" i="3"/>
  <c r="W78" i="3" s="1"/>
  <c r="X77" i="3"/>
  <c r="V77" i="3"/>
  <c r="U77" i="3"/>
  <c r="T77" i="3"/>
  <c r="S77" i="3"/>
  <c r="W77" i="3" s="1"/>
  <c r="X76" i="3"/>
  <c r="V76" i="3"/>
  <c r="U76" i="3"/>
  <c r="T76" i="3"/>
  <c r="S76" i="3"/>
  <c r="W76" i="3" s="1"/>
  <c r="X75" i="3"/>
  <c r="V75" i="3"/>
  <c r="U75" i="3"/>
  <c r="T75" i="3"/>
  <c r="S75" i="3"/>
  <c r="X74" i="3"/>
  <c r="V74" i="3"/>
  <c r="U74" i="3"/>
  <c r="T74" i="3"/>
  <c r="S74" i="3"/>
  <c r="W74" i="3" s="1"/>
  <c r="X73" i="3"/>
  <c r="V73" i="3"/>
  <c r="U73" i="3"/>
  <c r="T73" i="3"/>
  <c r="S73" i="3"/>
  <c r="X72" i="3"/>
  <c r="V72" i="3"/>
  <c r="U72" i="3"/>
  <c r="T72" i="3"/>
  <c r="S72" i="3"/>
  <c r="W72" i="3" s="1"/>
  <c r="X71" i="3"/>
  <c r="V71" i="3"/>
  <c r="U71" i="3"/>
  <c r="T71" i="3"/>
  <c r="S71" i="3"/>
  <c r="X70" i="3"/>
  <c r="V70" i="3"/>
  <c r="U70" i="3"/>
  <c r="T70" i="3"/>
  <c r="S70" i="3"/>
  <c r="W70" i="3" s="1"/>
  <c r="X69" i="3"/>
  <c r="V69" i="3"/>
  <c r="U69" i="3"/>
  <c r="T69" i="3"/>
  <c r="S69" i="3"/>
  <c r="X68" i="3"/>
  <c r="V68" i="3"/>
  <c r="U68" i="3"/>
  <c r="T68" i="3"/>
  <c r="S68" i="3"/>
  <c r="W68" i="3" s="1"/>
  <c r="X67" i="3"/>
  <c r="V67" i="3"/>
  <c r="U67" i="3"/>
  <c r="T67" i="3"/>
  <c r="S67" i="3"/>
  <c r="W67" i="3" s="1"/>
  <c r="X66" i="3"/>
  <c r="V66" i="3"/>
  <c r="U66" i="3"/>
  <c r="T66" i="3"/>
  <c r="S66" i="3"/>
  <c r="W66" i="3" s="1"/>
  <c r="X65" i="3"/>
  <c r="V65" i="3"/>
  <c r="U65" i="3"/>
  <c r="T65" i="3"/>
  <c r="S65" i="3"/>
  <c r="W65" i="3" s="1"/>
  <c r="X64" i="3"/>
  <c r="V64" i="3"/>
  <c r="U64" i="3"/>
  <c r="T64" i="3"/>
  <c r="S64" i="3"/>
  <c r="W64" i="3" s="1"/>
  <c r="X63" i="3"/>
  <c r="V63" i="3"/>
  <c r="U63" i="3"/>
  <c r="T63" i="3"/>
  <c r="S63" i="3"/>
  <c r="W63" i="3" s="1"/>
  <c r="X62" i="3"/>
  <c r="V62" i="3"/>
  <c r="U62" i="3"/>
  <c r="T62" i="3"/>
  <c r="S62" i="3"/>
  <c r="W62" i="3" s="1"/>
  <c r="X61" i="3"/>
  <c r="V61" i="3"/>
  <c r="U61" i="3"/>
  <c r="T61" i="3"/>
  <c r="S61" i="3"/>
  <c r="W61" i="3" s="1"/>
  <c r="X60" i="3"/>
  <c r="V60" i="3"/>
  <c r="U60" i="3"/>
  <c r="T60" i="3"/>
  <c r="S60" i="3"/>
  <c r="W60" i="3" s="1"/>
  <c r="X59" i="3"/>
  <c r="V59" i="3"/>
  <c r="U59" i="3"/>
  <c r="T59" i="3"/>
  <c r="S59" i="3"/>
  <c r="W59" i="3" s="1"/>
  <c r="X58" i="3"/>
  <c r="V58" i="3"/>
  <c r="U58" i="3"/>
  <c r="T58" i="3"/>
  <c r="S58" i="3"/>
  <c r="W58" i="3" s="1"/>
  <c r="X57" i="3"/>
  <c r="V57" i="3"/>
  <c r="U57" i="3"/>
  <c r="T57" i="3"/>
  <c r="S57" i="3"/>
  <c r="W57" i="3" s="1"/>
  <c r="X56" i="3"/>
  <c r="V56" i="3"/>
  <c r="U56" i="3"/>
  <c r="T56" i="3"/>
  <c r="S56" i="3"/>
  <c r="W56" i="3" s="1"/>
  <c r="X55" i="3"/>
  <c r="V55" i="3"/>
  <c r="U55" i="3"/>
  <c r="T55" i="3"/>
  <c r="S55" i="3"/>
  <c r="W55" i="3" s="1"/>
  <c r="X54" i="3"/>
  <c r="V54" i="3"/>
  <c r="U54" i="3"/>
  <c r="T54" i="3"/>
  <c r="S54" i="3"/>
  <c r="W54" i="3" s="1"/>
  <c r="X53" i="3"/>
  <c r="V53" i="3"/>
  <c r="U53" i="3"/>
  <c r="T53" i="3"/>
  <c r="S53" i="3"/>
  <c r="W53" i="3" s="1"/>
  <c r="X52" i="3"/>
  <c r="V52" i="3"/>
  <c r="U52" i="3"/>
  <c r="T52" i="3"/>
  <c r="S52" i="3"/>
  <c r="W52" i="3" s="1"/>
  <c r="X51" i="3"/>
  <c r="V51" i="3"/>
  <c r="U51" i="3"/>
  <c r="T51" i="3"/>
  <c r="S51" i="3"/>
  <c r="X50" i="3"/>
  <c r="V50" i="3"/>
  <c r="U50" i="3"/>
  <c r="T50" i="3"/>
  <c r="S50" i="3"/>
  <c r="W50" i="3" s="1"/>
  <c r="X49" i="3"/>
  <c r="V49" i="3"/>
  <c r="U49" i="3"/>
  <c r="T49" i="3"/>
  <c r="S49" i="3"/>
  <c r="X48" i="3"/>
  <c r="V48" i="3"/>
  <c r="U48" i="3"/>
  <c r="T48" i="3"/>
  <c r="S48" i="3"/>
  <c r="W48" i="3" s="1"/>
  <c r="X47" i="3"/>
  <c r="V47" i="3"/>
  <c r="U47" i="3"/>
  <c r="T47" i="3"/>
  <c r="S47" i="3"/>
  <c r="X46" i="3"/>
  <c r="V46" i="3"/>
  <c r="U46" i="3"/>
  <c r="T46" i="3"/>
  <c r="S46" i="3"/>
  <c r="W46" i="3" s="1"/>
  <c r="X45" i="3"/>
  <c r="V45" i="3"/>
  <c r="U45" i="3"/>
  <c r="T45" i="3"/>
  <c r="S45" i="3"/>
  <c r="X44" i="3"/>
  <c r="V44" i="3"/>
  <c r="U44" i="3"/>
  <c r="T44" i="3"/>
  <c r="S44" i="3"/>
  <c r="W44" i="3" s="1"/>
  <c r="X43" i="3"/>
  <c r="V43" i="3"/>
  <c r="U43" i="3"/>
  <c r="T43" i="3"/>
  <c r="S43" i="3"/>
  <c r="W43" i="3" s="1"/>
  <c r="X42" i="3"/>
  <c r="V42" i="3"/>
  <c r="U42" i="3"/>
  <c r="T42" i="3"/>
  <c r="S42" i="3"/>
  <c r="W42" i="3" s="1"/>
  <c r="X41" i="3"/>
  <c r="V41" i="3"/>
  <c r="U41" i="3"/>
  <c r="T41" i="3"/>
  <c r="S41" i="3"/>
  <c r="W41" i="3" s="1"/>
  <c r="X40" i="3"/>
  <c r="V40" i="3"/>
  <c r="U40" i="3"/>
  <c r="T40" i="3"/>
  <c r="S40" i="3"/>
  <c r="W40" i="3" s="1"/>
  <c r="X39" i="3"/>
  <c r="V39" i="3"/>
  <c r="U39" i="3"/>
  <c r="T39" i="3"/>
  <c r="S39" i="3"/>
  <c r="W39" i="3" s="1"/>
  <c r="X38" i="3"/>
  <c r="V38" i="3"/>
  <c r="U38" i="3"/>
  <c r="T38" i="3"/>
  <c r="S38" i="3"/>
  <c r="W38" i="3" s="1"/>
  <c r="X37" i="3"/>
  <c r="V37" i="3"/>
  <c r="U37" i="3"/>
  <c r="T37" i="3"/>
  <c r="S37" i="3"/>
  <c r="W37" i="3" s="1"/>
  <c r="X36" i="3"/>
  <c r="V36" i="3"/>
  <c r="U36" i="3"/>
  <c r="T36" i="3"/>
  <c r="S36" i="3"/>
  <c r="W36" i="3" s="1"/>
  <c r="X35" i="3"/>
  <c r="V35" i="3"/>
  <c r="U35" i="3"/>
  <c r="T35" i="3"/>
  <c r="S35" i="3"/>
  <c r="W35" i="3" s="1"/>
  <c r="X34" i="3"/>
  <c r="V34" i="3"/>
  <c r="U34" i="3"/>
  <c r="T34" i="3"/>
  <c r="S34" i="3"/>
  <c r="W34" i="3" s="1"/>
  <c r="X33" i="3"/>
  <c r="V33" i="3"/>
  <c r="U33" i="3"/>
  <c r="T33" i="3"/>
  <c r="S33" i="3"/>
  <c r="W33" i="3" s="1"/>
  <c r="X32" i="3"/>
  <c r="V32" i="3"/>
  <c r="U32" i="3"/>
  <c r="T32" i="3"/>
  <c r="S32" i="3"/>
  <c r="W32" i="3" s="1"/>
  <c r="X31" i="3"/>
  <c r="V31" i="3"/>
  <c r="U31" i="3"/>
  <c r="T31" i="3"/>
  <c r="S31" i="3"/>
  <c r="W31" i="3" s="1"/>
  <c r="X30" i="3"/>
  <c r="V30" i="3"/>
  <c r="U30" i="3"/>
  <c r="T30" i="3"/>
  <c r="S30" i="3"/>
  <c r="W30" i="3" s="1"/>
  <c r="X29" i="3"/>
  <c r="V29" i="3"/>
  <c r="U29" i="3"/>
  <c r="T29" i="3"/>
  <c r="S29" i="3"/>
  <c r="W29" i="3" s="1"/>
  <c r="X28" i="3"/>
  <c r="V28" i="3"/>
  <c r="U28" i="3"/>
  <c r="T28" i="3"/>
  <c r="S28" i="3"/>
  <c r="W28" i="3" s="1"/>
  <c r="X27" i="3"/>
  <c r="V27" i="3"/>
  <c r="U27" i="3"/>
  <c r="T27" i="3"/>
  <c r="S27" i="3"/>
  <c r="X26" i="3"/>
  <c r="V26" i="3"/>
  <c r="U26" i="3"/>
  <c r="T26" i="3"/>
  <c r="S26" i="3"/>
  <c r="W26" i="3" s="1"/>
  <c r="X25" i="3"/>
  <c r="V25" i="3"/>
  <c r="U25" i="3"/>
  <c r="T25" i="3"/>
  <c r="S25" i="3"/>
  <c r="X24" i="3"/>
  <c r="V24" i="3"/>
  <c r="U24" i="3"/>
  <c r="T24" i="3"/>
  <c r="S24" i="3"/>
  <c r="W24" i="3" s="1"/>
  <c r="X23" i="3"/>
  <c r="V23" i="3"/>
  <c r="U23" i="3"/>
  <c r="T23" i="3"/>
  <c r="S23" i="3"/>
  <c r="X22" i="3"/>
  <c r="V22" i="3"/>
  <c r="U22" i="3"/>
  <c r="T22" i="3"/>
  <c r="S22" i="3"/>
  <c r="W22" i="3" s="1"/>
  <c r="X21" i="3"/>
  <c r="V21" i="3"/>
  <c r="U21" i="3"/>
  <c r="T21" i="3"/>
  <c r="S21" i="3"/>
  <c r="X20" i="3"/>
  <c r="V20" i="3"/>
  <c r="U20" i="3"/>
  <c r="T20" i="3"/>
  <c r="S20" i="3"/>
  <c r="W20" i="3" s="1"/>
  <c r="X19" i="3"/>
  <c r="V19" i="3"/>
  <c r="U19" i="3"/>
  <c r="T19" i="3"/>
  <c r="S19" i="3"/>
  <c r="W19" i="3" s="1"/>
  <c r="X18" i="3"/>
  <c r="V18" i="3"/>
  <c r="U18" i="3"/>
  <c r="T18" i="3"/>
  <c r="S18" i="3"/>
  <c r="W18" i="3" s="1"/>
  <c r="X17" i="3"/>
  <c r="V17" i="3"/>
  <c r="U17" i="3"/>
  <c r="T17" i="3"/>
  <c r="S17" i="3"/>
  <c r="W17" i="3" s="1"/>
  <c r="X16" i="3"/>
  <c r="V16" i="3"/>
  <c r="U16" i="3"/>
  <c r="T16" i="3"/>
  <c r="S16" i="3"/>
  <c r="W16" i="3" s="1"/>
  <c r="X15" i="3"/>
  <c r="V15" i="3"/>
  <c r="U15" i="3"/>
  <c r="T15" i="3"/>
  <c r="S15" i="3"/>
  <c r="W15" i="3" s="1"/>
  <c r="X14" i="3"/>
  <c r="V14" i="3"/>
  <c r="U14" i="3"/>
  <c r="T14" i="3"/>
  <c r="S14" i="3"/>
  <c r="W14" i="3" s="1"/>
  <c r="X13" i="3"/>
  <c r="V13" i="3"/>
  <c r="U13" i="3"/>
  <c r="T13" i="3"/>
  <c r="S13" i="3"/>
  <c r="W13" i="3" s="1"/>
  <c r="X12" i="3"/>
  <c r="V12" i="3"/>
  <c r="U12" i="3"/>
  <c r="T12" i="3"/>
  <c r="S12" i="3"/>
  <c r="W12" i="3" s="1"/>
  <c r="X11" i="3"/>
  <c r="V11" i="3"/>
  <c r="U11" i="3"/>
  <c r="T11" i="3"/>
  <c r="S11" i="3"/>
  <c r="W11" i="3" s="1"/>
  <c r="X10" i="3"/>
  <c r="V10" i="3"/>
  <c r="U10" i="3"/>
  <c r="T10" i="3"/>
  <c r="S10" i="3"/>
  <c r="W10" i="3" s="1"/>
  <c r="X9" i="3"/>
  <c r="V9" i="3"/>
  <c r="U9" i="3"/>
  <c r="T9" i="3"/>
  <c r="S9" i="3"/>
  <c r="W9" i="3" s="1"/>
  <c r="X8" i="3"/>
  <c r="V8" i="3"/>
  <c r="U8" i="3"/>
  <c r="T8" i="3"/>
  <c r="S8" i="3"/>
  <c r="W8" i="3" s="1"/>
  <c r="X7" i="3"/>
  <c r="V7" i="3"/>
  <c r="U7" i="3"/>
  <c r="T7" i="3"/>
  <c r="S7" i="3"/>
  <c r="W7" i="3" s="1"/>
  <c r="X6" i="3"/>
  <c r="V6" i="3"/>
  <c r="U6" i="3"/>
  <c r="T6" i="3"/>
  <c r="S6" i="3"/>
  <c r="W6" i="3" s="1"/>
  <c r="X5" i="3"/>
  <c r="V5" i="3"/>
  <c r="U5" i="3"/>
  <c r="T5" i="3"/>
  <c r="S5" i="3"/>
  <c r="W5" i="3" s="1"/>
  <c r="X4" i="3"/>
  <c r="V4" i="3"/>
  <c r="U4" i="3"/>
  <c r="T4" i="3"/>
  <c r="S4" i="3"/>
  <c r="W4" i="3" s="1"/>
  <c r="X3" i="3"/>
  <c r="V3" i="3"/>
  <c r="U3" i="3"/>
  <c r="T3" i="3"/>
  <c r="S3" i="3"/>
  <c r="C61" i="8" l="1"/>
  <c r="D61" i="8" s="1"/>
  <c r="AH273" i="9"/>
  <c r="AH348" i="9"/>
  <c r="AH347" i="9"/>
  <c r="AH346" i="9"/>
  <c r="AH345" i="9"/>
  <c r="AH342" i="9"/>
  <c r="AH335" i="9"/>
  <c r="AH334" i="9"/>
  <c r="AH341" i="9"/>
  <c r="AH340" i="9"/>
  <c r="AH338" i="9"/>
  <c r="AH337" i="9"/>
  <c r="AH332" i="9"/>
  <c r="AH331" i="9"/>
  <c r="AH336" i="9"/>
  <c r="AH333" i="9"/>
  <c r="AH339" i="9"/>
  <c r="AH330" i="9"/>
  <c r="AH329" i="9"/>
  <c r="AH326" i="9"/>
  <c r="AH325" i="9"/>
  <c r="AH324" i="9"/>
  <c r="AH322" i="9"/>
  <c r="AH319" i="9"/>
  <c r="AH321" i="9"/>
  <c r="AH318" i="9"/>
  <c r="AH328" i="9"/>
  <c r="AH327" i="9"/>
  <c r="AH323" i="9"/>
  <c r="AH320" i="9"/>
  <c r="AH317" i="9"/>
  <c r="AH316" i="9"/>
  <c r="AH313" i="9"/>
  <c r="AH308" i="9"/>
  <c r="AH307" i="9"/>
  <c r="AH315" i="9"/>
  <c r="AH314" i="9"/>
  <c r="AH310" i="9"/>
  <c r="AH306" i="9"/>
  <c r="AH304" i="9"/>
  <c r="AH312" i="9"/>
  <c r="AH311" i="9"/>
  <c r="AH309" i="9"/>
  <c r="AH305" i="9"/>
  <c r="AH303" i="9"/>
  <c r="AH295" i="9"/>
  <c r="AH291" i="9"/>
  <c r="AH302" i="9"/>
  <c r="AH299" i="9"/>
  <c r="AH294" i="9"/>
  <c r="AH293" i="9"/>
  <c r="AH297" i="9"/>
  <c r="AH296" i="9"/>
  <c r="AH292" i="9"/>
  <c r="AH301" i="9"/>
  <c r="AH300" i="9"/>
  <c r="AH298" i="9"/>
  <c r="AH290" i="9"/>
  <c r="AH288" i="9"/>
  <c r="AH286" i="9"/>
  <c r="AH283" i="9"/>
  <c r="AH281" i="9"/>
  <c r="AH279" i="9"/>
  <c r="AH289" i="9"/>
  <c r="AH285" i="9"/>
  <c r="AH282" i="9"/>
  <c r="AH280" i="9"/>
  <c r="AH278" i="9"/>
  <c r="AH287" i="9"/>
  <c r="AH284" i="9"/>
  <c r="AH277" i="9"/>
  <c r="AH276" i="9"/>
  <c r="AH275" i="9"/>
  <c r="AH274" i="9"/>
  <c r="AH272" i="9"/>
  <c r="AH269" i="9"/>
  <c r="AH268" i="9"/>
  <c r="AH267" i="9"/>
  <c r="AH266" i="9"/>
  <c r="AH265" i="9"/>
  <c r="AH271" i="9"/>
  <c r="AH270" i="9"/>
  <c r="AH264" i="9"/>
  <c r="AH263" i="9"/>
  <c r="AH260" i="9"/>
  <c r="AH257" i="9"/>
  <c r="AH262" i="9"/>
  <c r="AH259" i="9"/>
  <c r="AH258" i="9"/>
  <c r="AH256" i="9"/>
  <c r="AH255" i="9"/>
  <c r="AH254" i="9"/>
  <c r="AH261" i="9"/>
  <c r="AH253" i="9"/>
  <c r="AH252" i="9"/>
  <c r="AH251" i="9"/>
  <c r="AH247" i="9"/>
  <c r="AH245" i="9"/>
  <c r="AH243" i="9"/>
  <c r="AH240" i="9"/>
  <c r="AH249" i="9"/>
  <c r="AH248" i="9"/>
  <c r="AH250" i="9"/>
  <c r="AH246" i="9"/>
  <c r="AH244" i="9"/>
  <c r="AH242" i="9"/>
  <c r="AH239" i="9"/>
  <c r="AH241" i="9"/>
  <c r="AH238" i="9"/>
  <c r="AH231" i="9"/>
  <c r="AH228" i="9"/>
  <c r="AH237" i="9"/>
  <c r="AH236" i="9"/>
  <c r="AH230" i="9"/>
  <c r="AH227" i="9"/>
  <c r="AH234" i="9"/>
  <c r="AH229" i="9"/>
  <c r="AH226" i="9"/>
  <c r="AH235" i="9"/>
  <c r="AH233" i="9"/>
  <c r="AH232" i="9"/>
  <c r="AH225" i="9"/>
  <c r="AH219" i="9"/>
  <c r="AH218" i="9"/>
  <c r="AH215" i="9"/>
  <c r="AH224" i="9"/>
  <c r="AH222" i="9"/>
  <c r="AH221" i="9"/>
  <c r="AH216" i="9"/>
  <c r="AH213" i="9"/>
  <c r="AH223" i="9"/>
  <c r="AH220" i="9"/>
  <c r="AH217" i="9"/>
  <c r="AH214" i="9"/>
  <c r="AH212" i="9"/>
  <c r="AH206" i="9"/>
  <c r="AH205" i="9"/>
  <c r="AH211" i="9"/>
  <c r="AH210" i="9"/>
  <c r="AH207" i="9"/>
  <c r="AH204" i="9"/>
  <c r="AH201" i="9"/>
  <c r="AH200" i="9"/>
  <c r="AH203" i="9"/>
  <c r="AH202" i="9"/>
  <c r="AH209" i="9"/>
  <c r="AH208" i="9"/>
  <c r="AH199" i="9"/>
  <c r="AH195" i="9"/>
  <c r="AH192" i="9"/>
  <c r="AH190" i="9"/>
  <c r="AH197" i="9"/>
  <c r="AH196" i="9"/>
  <c r="AH198" i="9"/>
  <c r="AH189" i="9"/>
  <c r="AH188" i="9"/>
  <c r="AH187" i="9"/>
  <c r="AH194" i="9"/>
  <c r="AH193" i="9"/>
  <c r="AH191" i="9"/>
  <c r="C357" i="9"/>
  <c r="C355" i="9"/>
  <c r="D355" i="9" s="1"/>
  <c r="C354" i="9"/>
  <c r="C8" i="5"/>
  <c r="E26" i="6"/>
  <c r="E24" i="6"/>
  <c r="E23" i="6"/>
  <c r="G23" i="6" s="1"/>
  <c r="E19" i="6"/>
  <c r="G19" i="6" s="1"/>
  <c r="E18" i="6"/>
  <c r="E15" i="6"/>
  <c r="G15" i="6" s="1"/>
  <c r="E25" i="6"/>
  <c r="G25" i="6" s="1"/>
  <c r="E22" i="6"/>
  <c r="E21" i="6"/>
  <c r="G21" i="6" s="1"/>
  <c r="E20" i="6"/>
  <c r="E17" i="6"/>
  <c r="G17" i="6" s="1"/>
  <c r="E16" i="6"/>
  <c r="E14" i="6"/>
  <c r="E13" i="6"/>
  <c r="G13" i="6" s="1"/>
  <c r="D8" i="6"/>
  <c r="F8" i="6" s="1"/>
  <c r="D5" i="6"/>
  <c r="F5" i="6" s="1"/>
  <c r="D9" i="6"/>
  <c r="D7" i="6"/>
  <c r="F7" i="6" s="1"/>
  <c r="D6" i="6"/>
  <c r="J34" i="4"/>
  <c r="B32" i="5" s="1"/>
  <c r="W93" i="3"/>
  <c r="W333" i="3"/>
  <c r="W169" i="3"/>
  <c r="W167" i="3"/>
  <c r="W69" i="3"/>
  <c r="W45" i="3"/>
  <c r="W309" i="3"/>
  <c r="W141" i="3"/>
  <c r="W123" i="3"/>
  <c r="W117" i="3"/>
  <c r="W21" i="3"/>
  <c r="W51" i="3"/>
  <c r="W231" i="3"/>
  <c r="W147" i="3"/>
  <c r="W143" i="3"/>
  <c r="W95" i="3"/>
  <c r="W47" i="3"/>
  <c r="W3" i="3"/>
  <c r="W229" i="3"/>
  <c r="W227" i="3"/>
  <c r="W171" i="3"/>
  <c r="W145" i="3"/>
  <c r="W119" i="3"/>
  <c r="W75" i="3"/>
  <c r="W195" i="3"/>
  <c r="W193" i="3"/>
  <c r="W191" i="3"/>
  <c r="W189" i="3"/>
  <c r="W165" i="3"/>
  <c r="W121" i="3"/>
  <c r="W99" i="3"/>
  <c r="W97" i="3"/>
  <c r="W71" i="3"/>
  <c r="W49" i="3"/>
  <c r="W27" i="3"/>
  <c r="W25" i="3"/>
  <c r="W73" i="3"/>
  <c r="W23" i="3"/>
  <c r="C9" i="5"/>
  <c r="D9" i="5" s="1"/>
  <c r="C10" i="5"/>
  <c r="D10" i="5" s="1"/>
  <c r="C11" i="5"/>
  <c r="D11" i="5" s="1"/>
  <c r="C60" i="8"/>
  <c r="AH5" i="9"/>
  <c r="C62" i="8" l="1"/>
  <c r="D62" i="8" s="1"/>
  <c r="C356" i="9"/>
  <c r="D356" i="9" s="1"/>
  <c r="G26" i="6"/>
  <c r="F26" i="6"/>
  <c r="G24" i="6"/>
  <c r="F24" i="6"/>
  <c r="F18" i="6"/>
  <c r="G18" i="6"/>
  <c r="F22" i="6"/>
  <c r="G22" i="6"/>
  <c r="G20" i="6"/>
  <c r="F20" i="6"/>
  <c r="G16" i="6"/>
  <c r="F16" i="6"/>
  <c r="G14" i="6"/>
  <c r="F14" i="6"/>
  <c r="F15" i="6"/>
  <c r="F19" i="6"/>
  <c r="F23" i="6"/>
  <c r="F13" i="6"/>
  <c r="F17" i="6"/>
  <c r="F21" i="6"/>
  <c r="F25" i="6"/>
  <c r="E7" i="6"/>
  <c r="E9" i="6"/>
  <c r="F9" i="6"/>
  <c r="F6" i="6"/>
  <c r="E6" i="6"/>
  <c r="E5" i="6"/>
  <c r="E8" i="6"/>
  <c r="C12" i="5"/>
  <c r="D12" i="5" s="1"/>
  <c r="D32" i="5"/>
  <c r="D8" i="5"/>
  <c r="B35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tc={0BA6C981-64B8-44EA-A864-4E94F4B9E875}</author>
    <author>tc={7F8BBC97-B33D-4A68-AB5E-C419D5D7DB56}</author>
    <author>tc={75593C6E-9269-4D6A-9457-76F2D27F447A}</author>
    <author>tc={E93630EF-33D6-4C34-AC40-2C963EED3902}</author>
    <author>tc={5A91BECA-D08A-4AE7-8D73-AC6ADA4E1429}</author>
    <author>tc={E6A8FD55-D722-4A7B-9BEF-79663EC4E1DF}</author>
    <author>tc={4D49BC3D-32AA-4101-9EFF-6FC8ED9671E5}</author>
    <author>tc={3125904A-BF8C-4EF6-955F-F0E137214329}</author>
    <author>tc={8F0A651E-D52B-448F-9265-B27396A98DA2}</author>
    <author>tc={E3B7CAAB-15C2-46D7-9312-49CEE72ED7D1}</author>
    <author>tc={5124809E-D6FB-4E52-996E-DF07996148B5}</author>
    <author>tc={2CC2FF8F-0D91-4608-B191-FEE5B150E330}</author>
    <author>tc={119B4096-2EDD-43FD-AEA6-189453E62B93}</author>
    <author>tc={6BD96069-2FC9-4FF4-B209-54E4B8E18D9A}</author>
    <author>tc={796A663A-87DF-4E8C-A7DD-A6BAF10F1D60}</author>
    <author>tc={EB41D819-5D4C-4A32-8018-741406CE65ED}</author>
    <author>tc={F17FC4DE-5FE6-4A16-9109-AA447DC95A7D}</author>
    <author>tc={8BF61ED2-706F-40AC-8FA5-37D12EF6F43A}</author>
    <author>tc={B3B2F368-3E2F-41D7-A5BA-49A76527DDB2}</author>
    <author>tc={1B85948D-31FB-4B85-93E6-8D8B433D03EA}</author>
    <author>tc={486B7B81-059B-4B03-86A1-95A5B49E903E}</author>
    <author>tc={4A0752F2-26B6-4966-92F1-144333D0B899}</author>
    <author>tc={E2925F08-6351-4D08-B64A-7B44ADE0FDEE}</author>
    <author>tc={FB11EE83-9B60-43A8-90C2-ACC102F67F81}</author>
  </authors>
  <commentList>
    <comment ref="J8" authorId="0" shapeId="0" xr:uid="{0BA6C981-64B8-44EA-A864-4E94F4B9E87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여기서는 반복 패턴이 중요합니다! 톤 때문에요.. 그냥 exact same 말구 same 만 해도 괜찮아서 ai 표현 flagging 했습니다</t>
      </text>
    </comment>
    <comment ref="J9" authorId="1" shapeId="0" xr:uid="{7F8BBC97-B33D-4A68-AB5E-C419D5D7DB5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직역 문제이기도 하고 다시보니까 세계관 오류이기도 합니다 (단어선정). Young punk가 비유는 아니여서 이부분은 솔찍히 동의 못합니다</t>
      </text>
    </comment>
    <comment ref="J10" authorId="2" shapeId="0" xr:uid="{75593C6E-9269-4D6A-9457-76F2D27F447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직역으로 인한 문장붕괴라서 동의합니다!</t>
      </text>
    </comment>
    <comment ref="J11" authorId="3" shapeId="0" xr:uid="{E93630EF-33D6-4C34-AC40-2C963EED390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의미왜곡 된 부분은 없구 문장이 부자연스럽고 직역티가납니다. 사실 문장흐름 오류도 있네요 장황함</t>
      </text>
    </comment>
    <comment ref="J12" authorId="4" shapeId="0" xr:uid="{5A91BECA-D08A-4AE7-8D73-AC6ADA4E142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뉘앙스 차이는 잘 모르겠지만 swallowed his temper 가 직역/단어선정문제</t>
      </text>
    </comment>
    <comment ref="J13" authorId="5" shapeId="0" xr:uid="{E6A8FD55-D722-4A7B-9BEF-79663EC4E1D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대명사 사용안해서 12, 의미왜곡이나 화자혼동은 아닌데 the elder 때문에 그렇게 선택한거같습니다</t>
      </text>
    </comment>
    <comment ref="J14" authorId="6" shapeId="0" xr:uid="{4D49BC3D-32AA-4101-9EFF-6FC8ED9671E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핵심플롯 왜곡이라고 선택한 이유가 번약이 "마수가 노릴 가능성"을 누락해서 그런거같은데 위에 이미 언급된 부분이라 직역이라고 봅니다</t>
      </text>
    </comment>
    <comment ref="J15" authorId="7" shapeId="0" xr:uid="{3125904A-BF8C-4EF6-955F-F0E13721432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명백한 대사태그 오류입니다</t>
      </text>
    </comment>
    <comment ref="J16" authorId="8" shapeId="0" xr:uid="{8F0A651E-D52B-448F-9265-B27396A98DA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질문인데 앞에 is that 없어서 문법오류입니다</t>
      </text>
    </comment>
    <comment ref="J17" authorId="9" shapeId="0" xr:uid="{E3B7CAAB-15C2-46D7-9312-49CEE72ED7D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가볍게를 말그대로 lightly 로 번역해서 직역입니다</t>
      </text>
    </comment>
    <comment ref="J18" authorId="10" shapeId="0" xr:uid="{5124809E-D6FB-4E52-996E-DF07996148B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미터 그대로 사용해서 직역한거같은데 스타일가이드에 숫자/단위표기 카테고리 있습니다</t>
      </text>
    </comment>
    <comment ref="J19" authorId="11" shapeId="0" xr:uid="{2CC2FF8F-0D91-4608-B191-FEE5B150E33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대사태그 오류기도 하고 "선언했다"가 누락됐으니까 오역이기도 합니다 (:</t>
      </text>
    </comment>
    <comment ref="J20" authorId="12" shapeId="0" xr:uid="{119B4096-2EDD-43FD-AEA6-189453E62B9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관용적이지 못하고 어색하기도 해서 2가 좋을꺼같습니다</t>
      </text>
    </comment>
    <comment ref="J21" authorId="13" shapeId="0" xr:uid="{6BD96069-2FC9-4FF4-B209-54E4B8E18D9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단순 뉘앙스 문제가 아니고 직역때문에 표현이 부자연스럽고 2번째 문장이 뚝 끊깁니다 (부자연스러운 전개 오류이기도 합니다)</t>
      </text>
    </comment>
    <comment ref="J22" authorId="14" shapeId="0" xr:uid="{796A663A-87DF-4E8C-A7DD-A6BAF10F1D6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이전 문장에 이미 마당 나와서 삭제해도 되고 직역때문에 문장이 조금 지저분합니다</t>
      </text>
    </comment>
    <comment ref="J23" authorId="15" shapeId="0" xr:uid="{EB41D819-5D4C-4A32-8018-741406CE65E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옛날말투에 omg 안써서 장르위반입니다. Oh my god에 쉼표 사용한건 문법오류구요</t>
      </text>
    </comment>
    <comment ref="J25" authorId="16" shapeId="0" xr:uid="{F17FC4DE-5FE6-4A16-9109-AA447DC95A7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중복만 선택해도 문제없습니다!</t>
      </text>
    </comment>
    <comment ref="J26" authorId="17" shapeId="0" xr:uid="{8BF61ED2-706F-40AC-8FA5-37D12EF6F43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대문자 오류고 마님이 대감마님 남자 my lord 맞으니까 강도 1입니다</t>
      </text>
    </comment>
    <comment ref="J27" authorId="18" shapeId="0" xr:uid="{B3B2F368-3E2F-41D7-A5BA-49A76527DDB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“살아남은" 이라는 단어가 없고 실제로 계속 집에 있어서 죽다 살아난게 아닌 무사입니다. Surviving 은 오역입니다. 직역은 딱히 없는걸로 보입니다</t>
      </text>
    </comment>
    <comment ref="J28" authorId="19" shapeId="0" xr:uid="{1B85948D-31FB-4B85-93E6-8D8B433D03E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직역으로 인한 문장붕괴!</t>
      </text>
    </comment>
    <comment ref="J29" authorId="20" shapeId="0" xr:uid="{486B7B81-059B-4B03-86A1-95A5B49E903E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불완전한 문장 + 발끝 reach his toes 표현 관용적이지 않기도 하고 영어화자가 거의 안쓰는 표현도 맞아서 직역강도 동의합니다 </t>
      </text>
    </comment>
    <comment ref="J30" authorId="21" shapeId="0" xr:uid="{4A0752F2-26B6-4966-92F1-144333D0B89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명백한 서술규칙 오류입니다. 서술에 호칭 잘못쓴거니까요</t>
      </text>
    </comment>
    <comment ref="J32" authorId="22" shapeId="0" xr:uid="{E2925F08-6351-4D08-B64A-7B44ADE0FDE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말줄임표 스타일가이드 오류입니다</t>
      </text>
    </comment>
    <comment ref="J33" authorId="23" shapeId="0" xr:uid="{FB11EE83-9B60-43A8-90C2-ACC102F67F8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뉘앙스 오류가 아니라 직역이랑 장황함 문제입니다 (문법 수동태 문제도 있네요)</t>
      </text>
    </comment>
  </commentList>
</comments>
</file>

<file path=xl/sharedStrings.xml><?xml version="1.0" encoding="utf-8"?>
<sst xmlns="http://schemas.openxmlformats.org/spreadsheetml/2006/main" count="613" uniqueCount="458">
  <si>
    <t>#</t>
  </si>
  <si>
    <t>카테고리</t>
  </si>
  <si>
    <t>정의</t>
  </si>
  <si>
    <t>한→영 특화 포인트</t>
  </si>
  <si>
    <t>강도 1 예시</t>
  </si>
  <si>
    <t>강도 2 예시</t>
  </si>
  <si>
    <t>강도 3 예시</t>
  </si>
  <si>
    <t>집계 그룹</t>
  </si>
  <si>
    <t>1</t>
  </si>
  <si>
    <t>오타·표기 오류</t>
  </si>
  <si>
    <t>오탈자, 단어 누락, 잘못된 철자 (accent 누락 포함, 예: naïve에 일반 i 사용), 말더듬 철자</t>
  </si>
  <si>
    <t>미국식 영어 철자, CMOS 기준 표기, accent 처리</t>
  </si>
  <si>
    <t>경미한 오탈자 1곳</t>
  </si>
  <si>
    <t>복수 단어 철자 오류</t>
  </si>
  <si>
    <t>인명·지명 오기로 독자 혼란</t>
  </si>
  <si>
    <t>형식 오류</t>
  </si>
  <si>
    <t>2</t>
  </si>
  <si>
    <t>문법·문장 구조 오류</t>
  </si>
  <si>
    <t>dangling modifier, 병렬 구조 불일치, 시제 일관성, 조동사 오용</t>
  </si>
  <si>
    <t>한국어 SOV 어순 잔존으로 영어 문법이 깨지는 경우</t>
  </si>
  <si>
    <t>쉼표 위치 부적절</t>
  </si>
  <si>
    <t>현수 수식어·병렬 구조 명확한 오류</t>
  </si>
  <si>
    <t>문장 구조 붕괴로 의미 파악 불가</t>
  </si>
  <si>
    <t>3</t>
  </si>
  <si>
    <t>오역</t>
  </si>
  <si>
    <t>의미 왜곡, 발화자 혼동, 누락, 한국어 다의어 문맥 미반영</t>
  </si>
  <si>
    <t>한국어 다의어를 문맥과 다르게 옮기는 경우, 화자 착각</t>
  </si>
  <si>
    <t>뉘앙스 미세 차이</t>
  </si>
  <si>
    <t>의미 일부 왜곡 또는 화자 혼동</t>
  </si>
  <si>
    <t>핵심 플롯 왜곡, 캐릭터 관계 오인</t>
  </si>
  <si>
    <t>의미 오류</t>
  </si>
  <si>
    <t>4</t>
  </si>
  <si>
    <t>톤·감정 왜곡</t>
  </si>
  <si>
    <t>캐릭터 감정 과장/축소, 장면 분위기 불일치 (예: 부드러운 장면에 rage·seized 사용)</t>
  </si>
  <si>
    <t>원문 톤 왜곡, 감정 과장/축소</t>
  </si>
  <si>
    <t>약간의 톤 차이</t>
  </si>
  <si>
    <t>감정 명확히 과장 또는 축소</t>
  </si>
  <si>
    <t>원문과 정반대 감정 전달</t>
  </si>
  <si>
    <t>5</t>
  </si>
  <si>
    <t>호칭·경칭 오류</t>
  </si>
  <si>
    <t>작품 내 사회적 지위·계급에 맞는 호칭 선택, 서술에서 호칭 사용 금지(가이드 규칙)</t>
  </si>
  <si>
    <t>호칭 대소문자 경미한 흔들림</t>
  </si>
  <si>
    <t>신분에 안 맞는 호칭 사용</t>
  </si>
  <si>
    <t>권력 관계 완전히 붕괴되는 호칭 오류</t>
  </si>
  <si>
    <t>6</t>
  </si>
  <si>
    <t>직역체·부자연스러움</t>
  </si>
  <si>
    <t>"처음부터 영어로 쓰인 소설처럼 읽혀야 한다"는 가이드 핵심 원칙 위반</t>
  </si>
  <si>
    <t>직역 티가 명확, 관용적이지 않음</t>
  </si>
  <si>
    <t>영어 화자가 거의 쓰지 않는 문장</t>
  </si>
  <si>
    <t>7</t>
  </si>
  <si>
    <t>AI 특유 과잉 표현</t>
  </si>
  <si>
    <t>predatory smile, a surge of, devoid of 등 반복적 AI 투 표현, 불필요한 수식어 과다</t>
  </si>
  <si>
    <t>가이드에서 명시적으로 삭제·수정 지시한 AI 표현 패턴</t>
  </si>
  <si>
    <t>AI 표현 1~2개 잔존</t>
  </si>
  <si>
    <t>AI 표현 다수 반복 사용</t>
  </si>
  <si>
    <t>문단 전체가 AI 투로 캐릭터성·톤 훼손</t>
  </si>
  <si>
    <t>8</t>
  </si>
  <si>
    <t>대사 태그·화자 구분</t>
  </si>
  <si>
    <t>화자 불분명, spoke 사용, 대사-행동 분리 부적절, 문단 구조 오류</t>
  </si>
  <si>
    <t>화자 바뀔 때 새 문단 미사용, 행동을 대사 태그로 통합 안 함, 대사 서식 오류</t>
  </si>
  <si>
    <t>대사 태그 경미한 부적절</t>
  </si>
  <si>
    <t>화자 구분 안 되는 문단 구조</t>
  </si>
  <si>
    <t>대화 흐름 완전히 깨짐</t>
  </si>
  <si>
    <t>9</t>
  </si>
  <si>
    <t>비유·관용어 현지화</t>
  </si>
  <si>
    <t>한국어 비유·속담·사자성어의 직역, 영어권에서 안 통하는 비유, 의성어·의태어 처리, 차별적·무감한 표현 (vegetable·homeless 등), 사회적 민감도 미고려</t>
  </si>
  <si>
    <t>한국어 비유 직역 + 문화적 감수성 통합 카테고리</t>
  </si>
  <si>
    <t>한국어 비유 직역으로 의미 전달 부족 또는 민감한 표현</t>
  </si>
  <si>
    <t>비유 직역·감수성 위반으로 장면 붕괴</t>
  </si>
  <si>
    <t>10</t>
  </si>
  <si>
    <t>설정·세계관 위반</t>
  </si>
  <si>
    <t>용어집 미반영, 시대 부적합 어휘 (시대물에 현대어), 호칭 일관성, 동일 인물·용어·표현 불일치, 대소문자 표기 불통일</t>
  </si>
  <si>
    <t>설정 + 일관성 통합 카테고리</t>
  </si>
  <si>
    <t>용어집 명확히 누락 또는 일관성 깨짐</t>
  </si>
  <si>
    <t>세계관 핵심 설정 위반, 독자 혼란</t>
  </si>
  <si>
    <t>11</t>
  </si>
  <si>
    <t>스타일 가이드·표기</t>
  </si>
  <si>
    <t>Oxford comma, curly quotes, em-dash/en-dash, 야드파운드법, 시간·날짜 표기, 물결표 금지</t>
  </si>
  <si>
    <t>경미한 구두점 오류</t>
  </si>
  <si>
    <t>가이드 명백 위반</t>
  </si>
  <si>
    <t>가독성 심각 저하</t>
  </si>
  <si>
    <t>12</t>
  </si>
  <si>
    <t>문장 흐름·중복</t>
  </si>
  <si>
    <t>불필요한 반복, 장황한 문장, 정보 중복, 대명사 처리</t>
  </si>
  <si>
    <t>한국어 특유의 반복 묘사를 영어에서 정리하지 못함</t>
  </si>
  <si>
    <t>경미한 반복</t>
  </si>
  <si>
    <t>명확한 정보 중복 또는 장황함</t>
  </si>
  <si>
    <t>문단 전체가 같은 내용 반복</t>
  </si>
  <si>
    <t>흐름 오류</t>
  </si>
  <si>
    <t>13</t>
  </si>
  <si>
    <t>서술 규칙</t>
  </si>
  <si>
    <t>14</t>
  </si>
  <si>
    <t>기타</t>
  </si>
  <si>
    <t>위 항목에 포함되지 않으나 번역 품질에 영향</t>
  </si>
  <si>
    <t>신규 카테고리 후보 누적용. ⑦ 시트에 사례 기록</t>
  </si>
  <si>
    <t>경미한 기타 문제</t>
  </si>
  <si>
    <t>명확한 기타 문제</t>
  </si>
  <si>
    <t>심각한 기타 문제</t>
  </si>
  <si>
    <t>강도 점수 기준</t>
  </si>
  <si>
    <t>점수</t>
  </si>
  <si>
    <t>의미</t>
  </si>
  <si>
    <t>판정 기준</t>
  </si>
  <si>
    <t>0</t>
  </si>
  <si>
    <t>문제 없음</t>
  </si>
  <si>
    <t>수정 불필요</t>
  </si>
  <si>
    <t>경미</t>
  </si>
  <si>
    <t>다듬으면 좋으나 의미 전달 OK</t>
  </si>
  <si>
    <t>보통</t>
  </si>
  <si>
    <t>검수자가 명확히 수정해야 함</t>
  </si>
  <si>
    <t>치명</t>
  </si>
  <si>
    <t>독자 이해 실패, 캐릭터 붕괴 등</t>
  </si>
  <si>
    <t>한→영 소설 MT 평가표</t>
  </si>
  <si>
    <t>한→영 웹소설 번역 프롬프트 평가를 위한 평가표입니다. 운영 가이드·매뉴얼과 함께 사용하세요.</t>
  </si>
  <si>
    <t>시트 구성</t>
  </si>
  <si>
    <t>① 안내</t>
  </si>
  <si>
    <t>본 시트. 평가 기준·운영 방식 요약</t>
  </si>
  <si>
    <t>② 카테고리 정의</t>
  </si>
  <si>
    <t>14개 카테고리의 정의·예시·강도 점수 기준</t>
  </si>
  <si>
    <t>③ 평가 입력</t>
  </si>
  <si>
    <t>문장 단위 평가 입력 시트 (메인 작업 시트)</t>
  </si>
  <si>
    <t>④ 정성 평가</t>
  </si>
  <si>
    <t>장면 단위 정성 7항목 평가</t>
  </si>
  <si>
    <t>⑤ 결과 대시보드</t>
  </si>
  <si>
    <t>정량·정성 결과 자동 산출</t>
  </si>
  <si>
    <t>⑥ 버전 비교</t>
  </si>
  <si>
    <t>직전 버전 대비 변화량·나빠진 항목 추적</t>
  </si>
  <si>
    <t>⑦ 기타 사례 누적</t>
  </si>
  <si>
    <t>"기타" 분류 사례 모아 신규 카테고리 검토</t>
  </si>
  <si>
    <t>⑧ 평가자 일치율</t>
  </si>
  <si>
    <t>본 평가 전 평가자 기준 맞추기</t>
  </si>
  <si>
    <t>⑨ 본 평가 비교</t>
  </si>
  <si>
    <t>두 평가자 결과 자동 비교·합산</t>
  </si>
  <si>
    <t>정량 기준</t>
  </si>
  <si>
    <t>전체 문장 중 수정한 문장 비율</t>
  </si>
  <si>
    <t>≤ 50% — 카테고리 1~14 전체 (강도 ≥1)</t>
  </si>
  <si>
    <t>의미 오류 수정률</t>
  </si>
  <si>
    <t>≤ 20% — 카테고리 3·4·5·6·7·9·10</t>
  </si>
  <si>
    <t>형식 오류 수정률</t>
  </si>
  <si>
    <t>≤ 15% — 카테고리 1·2·8·11·13</t>
  </si>
  <si>
    <t>흐름 오류 발생률</t>
  </si>
  <si>
    <t>≤ 10% — 카테고리 12</t>
  </si>
  <si>
    <t>수정 없이 넘긴 문장 비율</t>
  </si>
  <si>
    <t>≥ 30% — 카테고리 1~14 모두 강도 0인 문장</t>
  </si>
  <si>
    <t>기타 (14번)</t>
  </si>
  <si>
    <t>총 수정률에만 포함, 의미·형식·흐름 어느 그룹에도 속하지 않음</t>
  </si>
  <si>
    <t>나빠진 항목 표시</t>
  </si>
  <si>
    <t>직전 버전 대비 어떤 카테고리든 +2%p 이상 늘어나면 표시</t>
  </si>
  <si>
    <t>결과 흔들림 검사</t>
  </si>
  <si>
    <t>동일 프롬프트 2~3회 반복 시 차이 ≤ 5%p</t>
  </si>
  <si>
    <t>작품·문장 번호</t>
  </si>
  <si>
    <t>원문 (한국어)</t>
  </si>
  <si>
    <t>MT본 (영어)</t>
  </si>
  <si>
    <t>검수본 (수정 결과)</t>
  </si>
  <si>
    <t>카테고리별 강도 (0~3)</t>
  </si>
  <si>
    <t>문장 단위 집계</t>
  </si>
  <si>
    <t>비고</t>
  </si>
  <si>
    <t>1.오타</t>
  </si>
  <si>
    <t>2.문법</t>
  </si>
  <si>
    <t>3.오역</t>
  </si>
  <si>
    <t>4.톤감정</t>
  </si>
  <si>
    <t>5.호칭</t>
  </si>
  <si>
    <t>6.직역</t>
  </si>
  <si>
    <t>7.AI표현</t>
  </si>
  <si>
    <t>8.대사태그</t>
  </si>
  <si>
    <t>9.비유관용</t>
  </si>
  <si>
    <t>10.설정</t>
  </si>
  <si>
    <t>11.스타일</t>
  </si>
  <si>
    <t>12.흐름중복</t>
  </si>
  <si>
    <t>13.서술규칙</t>
  </si>
  <si>
    <t>14.기타</t>
  </si>
  <si>
    <t>수정여부</t>
  </si>
  <si>
    <t>의미오류</t>
  </si>
  <si>
    <t>형식오류</t>
  </si>
  <si>
    <t>흐름오류</t>
  </si>
  <si>
    <t>미수정</t>
  </si>
  <si>
    <t>강도합</t>
  </si>
  <si>
    <t>장면 단위 정성 평가 (각 항목 0~2점)</t>
  </si>
  <si>
    <t>장면 ID</t>
  </si>
  <si>
    <t>장면 설명</t>
  </si>
  <si>
    <t>대사 흐름</t>
  </si>
  <si>
    <t>속마음·이탤릭</t>
  </si>
  <si>
    <t>설정 반영</t>
  </si>
  <si>
    <t>의역 품질</t>
  </si>
  <si>
    <t>문장 구성</t>
  </si>
  <si>
    <t>검수자 만족도(0~5)</t>
  </si>
  <si>
    <t>검수 시간(분)</t>
  </si>
  <si>
    <t>% 점수로 변환</t>
  </si>
  <si>
    <t>평균/합계</t>
  </si>
  <si>
    <t>결과 대시보드</t>
  </si>
  <si>
    <t>프롬프트 버전</t>
  </si>
  <si>
    <t>평가 일자</t>
  </si>
  <si>
    <t>정량 지표</t>
  </si>
  <si>
    <t>지표</t>
  </si>
  <si>
    <t>기준</t>
  </si>
  <si>
    <t>실제 값</t>
  </si>
  <si>
    <t>판정</t>
  </si>
  <si>
    <t>전체 수정률 (%)</t>
  </si>
  <si>
    <t>≤ 50</t>
  </si>
  <si>
    <t>의미 오류 수정률 (%)</t>
  </si>
  <si>
    <t>≤ 20</t>
  </si>
  <si>
    <t>형식 오류 수정률 (%)</t>
  </si>
  <si>
    <t>≤ 15</t>
  </si>
  <si>
    <t>흐름 오류 발생률 (%)</t>
  </si>
  <si>
    <t>≤ 10</t>
  </si>
  <si>
    <t>수정 없이 넘긴 비율 (%)</t>
  </si>
  <si>
    <t>≥ 30</t>
  </si>
  <si>
    <t>카테고리별 발생률 (강도≥1 문장 비율)</t>
  </si>
  <si>
    <t>발생 건수</t>
  </si>
  <si>
    <t>발생률 (%)</t>
  </si>
  <si>
    <t>오타·표기</t>
  </si>
  <si>
    <t>문법·구조</t>
  </si>
  <si>
    <t>톤·감정</t>
  </si>
  <si>
    <t>호칭·경칭</t>
  </si>
  <si>
    <t>직역체</t>
  </si>
  <si>
    <t>AI 과잉표현</t>
  </si>
  <si>
    <t>대사 태그</t>
  </si>
  <si>
    <t>비유·관용어</t>
  </si>
  <si>
    <t>설정·세계관</t>
  </si>
  <si>
    <t>스타일·표기</t>
  </si>
  <si>
    <t>흐름·중복</t>
  </si>
  <si>
    <t>정성 평가 가산점</t>
  </si>
  <si>
    <t>평균 % 점수 (가산점)</t>
  </si>
  <si>
    <t>실질 수정률 (%)</t>
  </si>
  <si>
    <t>최종 판정</t>
  </si>
  <si>
    <t>버전 비교 (v1 기준값 vs v1.x 개선안)</t>
  </si>
  <si>
    <t>각 버전의 ⑤ 결과 대시보드 수치를 수동으로 옮겨 적습니다. 변화량(현재−v1)이 2%p 이상 나빠지면 "나빠짐" 표시가 자동으로 나타납니다.</t>
  </si>
  <si>
    <t>v1 (기준값)</t>
  </si>
  <si>
    <t>v1.x (현재)</t>
  </si>
  <si>
    <t>변화량 (현재−v1)</t>
  </si>
  <si>
    <t>방향</t>
  </si>
  <si>
    <t>나빠짐 표시</t>
  </si>
  <si>
    <t>v2 기준</t>
  </si>
  <si>
    <t>총 수정률 (%)</t>
  </si>
  <si>
    <t>카테고리별 발생률 비교 (%)</t>
  </si>
  <si>
    <t>v1</t>
  </si>
  <si>
    <t>v1.x</t>
  </si>
  <si>
    <t>변화량</t>
  </si>
  <si>
    <t>나빠짐</t>
  </si>
  <si>
    <t>"기타" 분류 사례 누적 (신규 카테고리 후보 발굴용)</t>
  </si>
  <si>
    <t>일자</t>
  </si>
  <si>
    <t>버전</t>
  </si>
  <si>
    <t>원문</t>
  </si>
  <si>
    <t>MT본</t>
  </si>
  <si>
    <t>문제 패턴 요약</t>
  </si>
  <si>
    <t>분류 후보</t>
  </si>
  <si>
    <t>평가자 일치율 측정 (본 평가 진입 전 필수)</t>
  </si>
  <si>
    <t>평가자 2명이 동일한 30문장을 따로 평가한 결과를 입력하면 일치율이 자동 계산됩니다. 카테고리 일치율 70% 이상이 본 평가 진입 조건입니다.</t>
  </si>
  <si>
    <t>평가자 A 이름</t>
  </si>
  <si>
    <t>평가자 B 이름</t>
  </si>
  <si>
    <t>측정 일자</t>
  </si>
  <si>
    <t>문장 #</t>
  </si>
  <si>
    <t>평가자 A</t>
  </si>
  <si>
    <t>평가자 B</t>
  </si>
  <si>
    <t>카테고리 일치</t>
  </si>
  <si>
    <t>강도 일치</t>
  </si>
  <si>
    <t>어긋난 사유</t>
  </si>
  <si>
    <t>강도</t>
  </si>
  <si>
    <t>일치율 결과</t>
  </si>
  <si>
    <t>평가 완료 문장 수</t>
  </si>
  <si>
    <t>30개 권장</t>
  </si>
  <si>
    <t>참고</t>
  </si>
  <si>
    <t>카테고리 일치율 (%)</t>
  </si>
  <si>
    <t>≥ 70%</t>
  </si>
  <si>
    <t>강도 일치율 (%)</t>
  </si>
  <si>
    <t>≥ 60%</t>
  </si>
  <si>
    <t>본 평가 결과 비교 (평가자 A · B 결과 자동 비교 및 합산)</t>
  </si>
  <si>
    <t>검수본</t>
  </si>
  <si>
    <t>평가자 A — 카테고리별 강도 (0~3)</t>
  </si>
  <si>
    <t>평가자 B — 카테고리별 강도 (0~3)</t>
  </si>
  <si>
    <t>합의 권장 강도</t>
  </si>
  <si>
    <t>본 평가 일치율 결과</t>
  </si>
  <si>
    <t>600 권장</t>
  </si>
  <si>
    <t>합의 필요 문장 수</t>
  </si>
  <si>
    <t>회의 대상</t>
  </si>
  <si>
    <t>대명사 중복</t>
  </si>
  <si>
    <t>대명사</t>
  </si>
  <si>
    <t>현대어</t>
  </si>
  <si>
    <t>어순</t>
  </si>
  <si>
    <t>wash over</t>
  </si>
  <si>
    <t>sheer</t>
  </si>
  <si>
    <t>exact same</t>
  </si>
  <si>
    <t>amused 단어선정</t>
  </si>
  <si>
    <t>perhaps 오역</t>
  </si>
  <si>
    <t>어순 (of course 맨 끝에)</t>
  </si>
  <si>
    <t>어순, 논리적 전개</t>
  </si>
  <si>
    <t>방금 태도치고 said 너무 평범함</t>
  </si>
  <si>
    <t>That monster is most likely to target you 등</t>
  </si>
  <si>
    <t>agitation 단어선정</t>
  </si>
  <si>
    <t>라부스 대사</t>
  </si>
  <si>
    <t>위에 대사태그 추가하면 여기서 대명사 사용</t>
  </si>
  <si>
    <t>if the boy died, they would lose all of that 등</t>
  </si>
  <si>
    <t>"... I don't know what to do," Turan replied with biting sarcasm, guessing the elder's true intentions. "If you're done…"</t>
  </si>
  <si>
    <t>I don't know what to do 표현 선정</t>
  </si>
  <si>
    <t>kind 단어선정</t>
  </si>
  <si>
    <t>Is that 추가 (질문형)</t>
  </si>
  <si>
    <t>lightly 직역</t>
  </si>
  <si>
    <t>라부스의 몸 possessive "the old man's body"</t>
  </si>
  <si>
    <t>여기 surged는 소굿친 있어서 괜찮아요</t>
  </si>
  <si>
    <t>구두점 (CMOS 기준), 대시·말줄임표, 숫자·단위 표기, 이탤릭체, 딩커스</t>
  </si>
  <si>
    <t>and said, 추가</t>
  </si>
  <si>
    <t>At the second command 부분을 위 대사 태그로 변경</t>
  </si>
  <si>
    <t>massive 중복</t>
  </si>
  <si>
    <t>helplessly 단어선정/위치</t>
  </si>
  <si>
    <t>불필요한 …</t>
  </si>
  <si>
    <t>the stone tore through the air with a piercing whistle 등</t>
  </si>
  <si>
    <t>아래 문장이랑 합쳐야함</t>
  </si>
  <si>
    <t>good</t>
  </si>
  <si>
    <t>directly 삭제</t>
  </si>
  <si>
    <t>비유 살짝 어색
의성어/의태어 그대로 번역</t>
  </si>
  <si>
    <t>불필요한 의성어/의태어</t>
  </si>
  <si>
    <t>the village fools 표현 선정 / dragged it 논리적전개</t>
  </si>
  <si>
    <t>massive, dragging 중복</t>
  </si>
  <si>
    <t>it &gt; this</t>
  </si>
  <si>
    <t>명확성부족</t>
  </si>
  <si>
    <t>a &gt; the</t>
  </si>
  <si>
    <t>어순, 불필요한 comma</t>
  </si>
  <si>
    <t>어순, 불필요한 commas</t>
  </si>
  <si>
    <t>어순, 불필요한 em-dash</t>
  </si>
  <si>
    <t>stomped their feet 표현선정</t>
  </si>
  <si>
    <t>the very</t>
  </si>
  <si>
    <t>hands and feet 표현선정</t>
  </si>
  <si>
    <t>deliberately = on purpose</t>
  </si>
  <si>
    <t>불필요한 … / 화자불분명</t>
  </si>
  <si>
    <t>명확성부족 (다음이 However로 시작하기때문)</t>
  </si>
  <si>
    <t>they &gt; the minister</t>
  </si>
  <si>
    <t>my lord 불필요한 대문자</t>
  </si>
  <si>
    <t>surviving X</t>
  </si>
  <si>
    <t>to life &gt; to their lives</t>
  </si>
  <si>
    <t>the one / their bodies 혼동 가능 (명확성부족) &gt; these bodies</t>
  </si>
  <si>
    <t>불필요한 대문자</t>
  </si>
  <si>
    <t>where 삭제 / you see 반복</t>
  </si>
  <si>
    <t>roll 중복</t>
  </si>
  <si>
    <t>불필요한 대문자, 불필요한 …</t>
  </si>
  <si>
    <t>⑦ 기타 사례 누적 확인</t>
  </si>
  <si>
    <t>a nearby guard's &gt; his guard's (아까 나온 캐릭터)</t>
  </si>
  <si>
    <t>의성어/의태어 오류, 논리적 정리필요</t>
  </si>
  <si>
    <t>clinging to life 반복</t>
  </si>
  <si>
    <t>논리적 정리필요</t>
  </si>
  <si>
    <t>annex 단어선정
서술에 lord 사용금지</t>
  </si>
  <si>
    <t>위에 대사랑 합침</t>
  </si>
  <si>
    <t>at his father's words 를 위에 대사 태그로 만들고 삭제</t>
  </si>
  <si>
    <t>화자 불분명</t>
  </si>
  <si>
    <t>ah &gt; oh</t>
  </si>
  <si>
    <t>remember this clearly 표현선정</t>
  </si>
  <si>
    <t>…! &gt; em-dash 번경</t>
  </si>
  <si>
    <t>madman 중복, a &gt; that, dare &gt; dare to</t>
  </si>
  <si>
    <t>clunky/convoluted
문장 정리필요</t>
  </si>
  <si>
    <t>Eunha 대명사
madman 중복</t>
  </si>
  <si>
    <t>단순화 필요</t>
  </si>
  <si>
    <t>guest quarters 오역</t>
  </si>
  <si>
    <t>unconsciously 단어선정</t>
  </si>
  <si>
    <t>opium 반복</t>
  </si>
  <si>
    <t>words 단어선정</t>
  </si>
  <si>
    <t>말끊기니까 em-dash</t>
  </si>
  <si>
    <t>불완전한 문장 (위에꺼랑 합치면 됨), 발끝에도 미치치 못할</t>
  </si>
  <si>
    <t>위 질문에 대한 논리적 대답 부족, 기생질 오역</t>
  </si>
  <si>
    <t>Sihoon, women
머리꼭대기</t>
  </si>
  <si>
    <t>like a man / a man who</t>
  </si>
  <si>
    <t>불필요한 …
just 단어선정 / it wasn't a matter he could simply laugh off 등</t>
  </si>
  <si>
    <t>시훈 대명사 he, 수동태 사용</t>
  </si>
  <si>
    <t>불필요한 comma</t>
  </si>
  <si>
    <t>what the hell were you thinking 등</t>
  </si>
  <si>
    <t>today's &gt; the day's</t>
  </si>
  <si>
    <t>the man &gt; he</t>
  </si>
  <si>
    <t>the muscular &gt; his muscular</t>
  </si>
  <si>
    <t>아래 대사와 합침
불필요한 em-dash</t>
  </si>
  <si>
    <t>say back then &gt; say to me back then</t>
  </si>
  <si>
    <t>위 대사 태그와 합침</t>
  </si>
  <si>
    <t>rested &gt; was</t>
  </si>
  <si>
    <t>You 추가</t>
  </si>
  <si>
    <t>Hakseung 이름 사용</t>
  </si>
  <si>
    <t>Mr. Kim</t>
  </si>
  <si>
    <t>own 삭제</t>
  </si>
  <si>
    <t>sofa &gt; couch</t>
  </si>
  <si>
    <t>good grief &gt; Jesus Christ 등</t>
  </si>
  <si>
    <t>대사 태그로 바꿈</t>
  </si>
  <si>
    <t>At Wooyeon's words 대사 태그로 바꿈</t>
  </si>
  <si>
    <t>어순, viewed &gt; measured</t>
  </si>
  <si>
    <t>옛날 말투</t>
  </si>
  <si>
    <t>슬럼프
Wooyeon was an actor 불필요한 중복 정보</t>
  </si>
  <si>
    <t>드라마</t>
  </si>
  <si>
    <t>주식</t>
  </si>
  <si>
    <t>best new actor</t>
  </si>
  <si>
    <t>현재시제
In the entertainment industry, rising to the top usually meant an inevitable fall 등</t>
  </si>
  <si>
    <t>드라마 /  every 패턴 마지막까지 유지</t>
  </si>
  <si>
    <t>문장 정리 필요</t>
  </si>
  <si>
    <t>rare, aristocratic
입에 침이 마르도록</t>
  </si>
  <si>
    <t>deep emptiness / innocence</t>
  </si>
  <si>
    <t>명확성 부족
he loved women 자체는 단점이 아니기때문에 too much 추가 등</t>
  </si>
  <si>
    <t>어순, 표현 살짝 어색</t>
  </si>
  <si>
    <t>좀 더 현대어 표현 필요</t>
  </si>
  <si>
    <t>항상 투덜거린다는 뉘앙스 부족</t>
  </si>
  <si>
    <t>조심하고 살자 / 막나가니</t>
  </si>
  <si>
    <t>thinking 반복 / 뭘믿고 키운건지</t>
  </si>
  <si>
    <t>이름 성</t>
  </si>
  <si>
    <t>옛날 말투, laughing eyes</t>
  </si>
  <si>
    <t>decorated 단어선정</t>
  </si>
  <si>
    <t>걸그룹 아이돌</t>
  </si>
  <si>
    <t>여자 아이돌</t>
  </si>
  <si>
    <t>disinterested 단어선정</t>
  </si>
  <si>
    <t>again, and again, and again</t>
  </si>
  <si>
    <t>어순, lifespan 단어선정, 불필요한 em-dash</t>
  </si>
  <si>
    <t>top company 단어선정</t>
  </si>
  <si>
    <t>assigned 삭제</t>
  </si>
  <si>
    <t>명확성 부족
커피광고가 무슨 상관인지 설명 추가</t>
  </si>
  <si>
    <t>스태프들에게도 뉘앙스 부족</t>
  </si>
  <si>
    <t>filthy 단어선정</t>
  </si>
  <si>
    <t>표현선정</t>
  </si>
  <si>
    <t>gutter-like 단어선정</t>
  </si>
  <si>
    <t>화자 불분명, torment 단어선정</t>
  </si>
  <si>
    <t>torment 단어선정</t>
  </si>
  <si>
    <t>말없으면 문장으로 대체</t>
  </si>
  <si>
    <t>"Well, then," 등</t>
  </si>
  <si>
    <t>서술 관련 규칙 위반: 3인칭 소설은 항상 과거형이며 최초 캐릭터를 소개할때가 아닌이상 성 (last name)/직함 사용하면 안됨 (이름없을때제외). 2인칭을 사용하면 자연스럽게 현재시제 사용해서 보편적 진리, 일반적 사실 등 이어도 you 안쓰고 과거형이어야함. 불완전한 문장도 극적 연출을 위한게 아니면 사용하면 안됨. 축약형을 사용하더라도 가능한것과 안대는것도 있음 (가이드참고). 서술에 홀따옴표 사용.</t>
  </si>
  <si>
    <t>직함, 홀따옴표</t>
  </si>
  <si>
    <t>최고 스타</t>
  </si>
  <si>
    <t>devilish human &gt; devil wearing human skin 등</t>
  </si>
  <si>
    <t>살짝 어색함</t>
  </si>
  <si>
    <t>캐릭터 말투, exact same</t>
  </si>
  <si>
    <t>너무 강한 표현 (밑에 문장이랑 논리적으로 안맞음)</t>
  </si>
  <si>
    <t>홀따옴표, 선한 인상</t>
  </si>
  <si>
    <t>yet 다음에 comma
a single ounce of</t>
  </si>
  <si>
    <t>indifferent face &gt; adverb 로 변경</t>
  </si>
  <si>
    <t>pity 반복, 불완전한 문장</t>
  </si>
  <si>
    <t>pity 반복</t>
  </si>
  <si>
    <t>own 삭제, 문장이 좀 과함</t>
  </si>
  <si>
    <t>뚫린입 뉘앙스 부족</t>
  </si>
  <si>
    <t>옛날말투, 대명사</t>
  </si>
  <si>
    <t>시제</t>
  </si>
  <si>
    <t>번드르르한</t>
  </si>
  <si>
    <t>명확성 부족으로 인한 오역</t>
  </si>
  <si>
    <t>어순, 명확성 부족, 문장 정리 필요</t>
  </si>
  <si>
    <t>woman &gt; girl</t>
  </si>
  <si>
    <t>수동태</t>
  </si>
  <si>
    <t>캐릭터 말투, bother</t>
  </si>
  <si>
    <t>틀린건 아닌데 더 재밋는 표현 필요</t>
  </si>
  <si>
    <t>수동태, torment</t>
  </si>
  <si>
    <t>mass exodus 표현</t>
  </si>
  <si>
    <t>쓸데없는 짓</t>
  </si>
  <si>
    <t>시제, low 중복</t>
  </si>
  <si>
    <t>massive</t>
  </si>
  <si>
    <t>love confession</t>
  </si>
  <si>
    <t>low, finely crushed chocolate</t>
  </si>
  <si>
    <t>washed over</t>
  </si>
  <si>
    <t>태그 위치</t>
  </si>
  <si>
    <t>딩커스 누락</t>
  </si>
  <si>
    <t>V1</t>
  </si>
  <si>
    <t>불필요한 em-dash, meters &gt; feet</t>
  </si>
  <si>
    <t>한국어 어순(SOV) 잔존, 비관용적 영어, 어색한 표현, 논리적 전개 부족, 단어/표현 선정 문제</t>
  </si>
  <si>
    <t>약간 어색한 표현, 단어/표현 선정 문제</t>
  </si>
  <si>
    <t>용어집 미세 불일치, 호칭 대소문자 오류</t>
  </si>
  <si>
    <t>경미한 서술 규칙 위반: 서술내 성/직함, 홀따옴표</t>
  </si>
  <si>
    <t>명확한 서술 규칙 위반: 시제, 2인칭 you 사용, 잘못된 축약형</t>
  </si>
  <si>
    <t>서술 구조 심각한 훼손:
거의 다 적용됨</t>
  </si>
  <si>
    <t>Your Grace/my lord/miss 등 부적절 사용, 대소문자 일관성</t>
  </si>
  <si>
    <t>서술에 2인칭 "you" 사용, 현재시제, 직함/호칭+이름 사용 (예: Marquis Dimus / the lord), 의미없는 불완전한 문장 사용, 잘못된 축약형 사용 (예: it'd), 홀따옴표</t>
  </si>
  <si>
    <t>이해함</t>
  </si>
  <si>
    <t>동의함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</si>
</sst>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\+0.0;\-0.0;0.0"/>
    <numFmt numFmtId="178" formatCode="m&quot;월&quot;\ d&quot;일&quot;;@"/>
  </numFmts>
  <fonts count="23">
    <font>
      <sz val="11"/>
      <color theme="1"/>
      <name val="Calibri"/>
      <family val="2"/>
      <charset val="1"/>
    </font>
    <font>
      <b/>
      <sz val="18"/>
      <color rgb="FF1F4E78"/>
      <name val="Noto Sans CJK SC"/>
      <family val="2"/>
      <charset val="1"/>
    </font>
    <font>
      <i/>
      <sz val="9"/>
      <color rgb="FF666666"/>
      <name val="Noto Sans CJK SC"/>
      <family val="2"/>
      <charset val="1"/>
    </font>
    <font>
      <b/>
      <sz val="13"/>
      <color rgb="FFFFFFFF"/>
      <name val="Noto Sans CJK SC"/>
      <family val="2"/>
      <charset val="1"/>
    </font>
    <font>
      <b/>
      <sz val="10"/>
      <color rgb="FF000000"/>
      <name val="Noto Sans CJK SC"/>
      <family val="2"/>
      <charset val="1"/>
    </font>
    <font>
      <sz val="10"/>
      <color rgb="FF000000"/>
      <name val="Noto Sans CJK SC"/>
      <family val="2"/>
      <charset val="1"/>
    </font>
    <font>
      <sz val="10"/>
      <color rgb="FF000000"/>
      <name val="Arial"/>
      <family val="2"/>
    </font>
    <font>
      <b/>
      <sz val="11"/>
      <color rgb="FFFFFFFF"/>
      <name val="Arial"/>
      <family val="2"/>
    </font>
    <font>
      <b/>
      <sz val="11"/>
      <color rgb="FFFFFFFF"/>
      <name val="Noto Sans CJK SC"/>
      <family val="2"/>
      <charset val="1"/>
    </font>
    <font>
      <b/>
      <sz val="12"/>
      <color rgb="FFFFFFFF"/>
      <name val="Noto Sans CJK SC"/>
      <family val="2"/>
      <charset val="1"/>
    </font>
    <font>
      <b/>
      <sz val="10"/>
      <color rgb="FF000000"/>
      <name val="Arial"/>
      <family val="2"/>
    </font>
    <font>
      <b/>
      <sz val="16"/>
      <color rgb="FF1F4E78"/>
      <name val="Noto Sans CJK SC"/>
      <family val="2"/>
      <charset val="1"/>
    </font>
    <font>
      <b/>
      <sz val="14"/>
      <name val="Noto Sans CJK SC"/>
      <family val="2"/>
      <charset val="1"/>
    </font>
    <font>
      <b/>
      <sz val="14"/>
      <color rgb="FF1F4E78"/>
      <name val="Noto Sans CJK SC"/>
      <family val="2"/>
      <charset val="1"/>
    </font>
    <font>
      <b/>
      <sz val="14"/>
      <color rgb="FF1F4E78"/>
      <name val="Arial"/>
      <family val="2"/>
    </font>
    <font>
      <sz val="11"/>
      <color theme="1"/>
      <name val="Noto Sans CJK SC"/>
      <family val="2"/>
      <charset val="1"/>
    </font>
    <font>
      <b/>
      <sz val="1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theme="1"/>
      <name val="Calibri"/>
      <family val="2"/>
      <charset val="129"/>
    </font>
    <font>
      <sz val="8"/>
      <name val="나눔명조"/>
      <family val="3"/>
      <charset val="129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EEBF7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666666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2EFDA"/>
      </patternFill>
    </fill>
    <fill>
      <patternFill patternType="solid">
        <fgColor rgb="FF7030A0"/>
        <bgColor rgb="FF993366"/>
      </patternFill>
    </fill>
    <fill>
      <patternFill patternType="solid">
        <fgColor rgb="FFC65911"/>
        <bgColor rgb="FF993300"/>
      </patternFill>
    </fill>
    <fill>
      <patternFill patternType="solid">
        <fgColor rgb="FFDEEBF7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EEBF7"/>
      </patternFill>
    </fill>
    <fill>
      <patternFill patternType="solid">
        <fgColor theme="3" tint="0.79998168889431442"/>
        <bgColor rgb="FFFCE4D6"/>
      </patternFill>
    </fill>
  </fills>
  <borders count="8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8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6" fillId="6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center" vertical="center" wrapText="1"/>
    </xf>
    <xf numFmtId="1" fontId="6" fillId="7" borderId="1" xfId="0" applyNumberFormat="1" applyFont="1" applyFill="1" applyBorder="1" applyAlignment="1">
      <alignment horizontal="center" vertical="center" wrapText="1"/>
    </xf>
    <xf numFmtId="2" fontId="6" fillId="7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top" wrapText="1"/>
    </xf>
    <xf numFmtId="0" fontId="8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76" fontId="0" fillId="7" borderId="1" xfId="0" applyNumberFormat="1" applyFill="1" applyBorder="1" applyAlignment="1">
      <alignment horizontal="center" vertical="center" wrapText="1"/>
    </xf>
    <xf numFmtId="0" fontId="4" fillId="3" borderId="1" xfId="0" applyFont="1" applyFill="1" applyBorder="1"/>
    <xf numFmtId="0" fontId="0" fillId="0" borderId="1" xfId="0" applyBorder="1"/>
    <xf numFmtId="2" fontId="10" fillId="7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2" fontId="0" fillId="7" borderId="1" xfId="0" applyNumberFormat="1" applyFill="1" applyBorder="1" applyAlignment="1">
      <alignment horizontal="center" vertical="center" wrapText="1"/>
    </xf>
    <xf numFmtId="0" fontId="13" fillId="0" borderId="0" xfId="0" applyFont="1"/>
    <xf numFmtId="0" fontId="5" fillId="3" borderId="1" xfId="0" applyFont="1" applyFill="1" applyBorder="1" applyAlignment="1">
      <alignment horizontal="left" vertical="center" wrapText="1"/>
    </xf>
    <xf numFmtId="177" fontId="6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176" fontId="0" fillId="12" borderId="1" xfId="0" applyNumberForma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6" borderId="1" xfId="0" applyFont="1" applyFill="1" applyBorder="1" applyAlignment="1">
      <alignment horizontal="left" vertical="center" wrapText="1"/>
    </xf>
    <xf numFmtId="0" fontId="17" fillId="6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8" fillId="6" borderId="1" xfId="0" applyFont="1" applyFill="1" applyBorder="1" applyAlignment="1">
      <alignment horizontal="left" vertical="center" wrapText="1"/>
    </xf>
    <xf numFmtId="178" fontId="0" fillId="6" borderId="1" xfId="0" applyNumberFormat="1" applyFill="1" applyBorder="1" applyAlignment="1">
      <alignment horizontal="center" vertical="center" wrapText="1"/>
    </xf>
    <xf numFmtId="178" fontId="6" fillId="6" borderId="1" xfId="0" applyNumberFormat="1" applyFont="1" applyFill="1" applyBorder="1" applyAlignment="1">
      <alignment horizontal="left" vertical="center" wrapText="1"/>
    </xf>
    <xf numFmtId="0" fontId="19" fillId="6" borderId="1" xfId="0" applyFont="1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top" wrapText="1"/>
    </xf>
    <xf numFmtId="0" fontId="0" fillId="11" borderId="7" xfId="0" applyFill="1" applyBorder="1" applyAlignment="1">
      <alignment horizontal="center" vertical="center" wrapText="1"/>
    </xf>
    <xf numFmtId="0" fontId="0" fillId="6" borderId="7" xfId="0" applyFill="1" applyBorder="1"/>
    <xf numFmtId="0" fontId="6" fillId="13" borderId="1" xfId="0" applyFont="1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22" fillId="0" borderId="0" xfId="0" applyFont="1"/>
    <xf numFmtId="0" fontId="22" fillId="6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13" fillId="0" borderId="0" xfId="0" applyFont="1"/>
    <xf numFmtId="0" fontId="0" fillId="0" borderId="0" xfId="0"/>
    <xf numFmtId="0" fontId="9" fillId="2" borderId="0" xfId="0" applyFont="1" applyFill="1"/>
    <xf numFmtId="0" fontId="8" fillId="2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8" fillId="9" borderId="1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/>
    <xf numFmtId="0" fontId="5" fillId="0" borderId="1" xfId="0" applyFont="1" applyBorder="1" applyAlignment="1">
      <alignment horizontal="left" vertical="top" wrapText="1"/>
    </xf>
    <xf numFmtId="0" fontId="0" fillId="0" borderId="3" xfId="0" applyBorder="1"/>
    <xf numFmtId="0" fontId="6" fillId="0" borderId="1" xfId="0" applyFont="1" applyBorder="1" applyAlignment="1">
      <alignment horizontal="left" vertical="top" wrapText="1"/>
    </xf>
    <xf numFmtId="0" fontId="3" fillId="2" borderId="0" xfId="0" applyFont="1" applyFill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8" fillId="5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9" fillId="8" borderId="0" xfId="0" applyFont="1" applyFill="1"/>
    <xf numFmtId="0" fontId="9" fillId="9" borderId="0" xfId="0" applyFont="1" applyFill="1"/>
    <xf numFmtId="0" fontId="12" fillId="7" borderId="1" xfId="0" applyFont="1" applyFill="1" applyBorder="1" applyAlignment="1">
      <alignment horizontal="center" vertical="center" wrapText="1"/>
    </xf>
    <xf numFmtId="0" fontId="11" fillId="0" borderId="0" xfId="0" applyFont="1"/>
    <xf numFmtId="0" fontId="14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8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18"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E699"/>
        </patternFill>
      </fill>
    </dxf>
    <dxf>
      <fill>
        <patternFill>
          <bgColor rgb="FFFFD966"/>
        </patternFill>
      </fill>
    </dxf>
    <dxf>
      <fill>
        <patternFill>
          <bgColor rgb="FFF4B084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E699"/>
        </patternFill>
      </fill>
    </dxf>
    <dxf>
      <fill>
        <patternFill>
          <bgColor rgb="FFFFD966"/>
        </patternFill>
      </fill>
    </dxf>
    <dxf>
      <fill>
        <patternFill>
          <bgColor rgb="FFF4B08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FCE4D6"/>
      <rgbColor rgb="FF808080"/>
      <rgbColor rgb="FF9999FF"/>
      <rgbColor rgb="FF7030A0"/>
      <rgbColor rgb="FFFFF2CC"/>
      <rgbColor rgb="FFDE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99CCFF"/>
      <rgbColor rgb="FFF4B084"/>
      <rgbColor rgb="FFCC99FF"/>
      <rgbColor rgb="FFFFD966"/>
      <rgbColor rgb="FF2E75B6"/>
      <rgbColor rgb="FF33CCCC"/>
      <rgbColor rgb="FF99CC00"/>
      <rgbColor rgb="FFFFCC00"/>
      <rgbColor rgb="FFFF9900"/>
      <rgbColor rgb="FFC65911"/>
      <rgbColor rgb="FF666666"/>
      <rgbColor rgb="FFAAAAAA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ossxmodel ♥" id="{B2A4BE37-A9A4-4833-AD8A-5C816231A6EF}" userId="9415f093c0fd4dd6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8" dT="2026-06-14T19:44:54.71" personId="{B2A4BE37-A9A4-4833-AD8A-5C816231A6EF}" id="{0BA6C981-64B8-44EA-A864-4E94F4B9E875}">
    <text>여기서는 반복 패턴이 중요합니다! 톤 때문에요.. 그냥 exact same 말구 same 만 해도 괜찮아서 ai 표현 flagging 했습니다</text>
  </threadedComment>
  <threadedComment ref="J9" dT="2026-06-14T19:46:52.20" personId="{B2A4BE37-A9A4-4833-AD8A-5C816231A6EF}" id="{7F8BBC97-B33D-4A68-AB5E-C419D5D7DB56}">
    <text>직역 문제이기도 하고 다시보니까 세계관 오류이기도 합니다 (단어선정). Young punk가 비유는 아니여서 이부분은 솔찍히 동의 못합니다</text>
  </threadedComment>
  <threadedComment ref="J10" dT="2026-06-14T19:47:07.20" personId="{B2A4BE37-A9A4-4833-AD8A-5C816231A6EF}" id="{75593C6E-9269-4D6A-9457-76F2D27F447A}">
    <text>직역으로 인한 문장붕괴라서 동의합니다!</text>
  </threadedComment>
  <threadedComment ref="J11" dT="2026-06-14T19:49:05.00" personId="{B2A4BE37-A9A4-4833-AD8A-5C816231A6EF}" id="{E93630EF-33D6-4C34-AC40-2C963EED3902}">
    <text>의미왜곡 된 부분은 없구 문장이 부자연스럽고 직역티가납니다. 사실 문장흐름 오류도 있네요 장황함</text>
  </threadedComment>
  <threadedComment ref="J12" dT="2026-06-14T19:50:12.61" personId="{B2A4BE37-A9A4-4833-AD8A-5C816231A6EF}" id="{5A91BECA-D08A-4AE7-8D73-AC6ADA4E1429}">
    <text>뉘앙스 차이는 잘 모르겠지만 swallowed his temper 가 직역/단어선정문제</text>
  </threadedComment>
  <threadedComment ref="J13" dT="2026-06-14T19:51:40.12" personId="{B2A4BE37-A9A4-4833-AD8A-5C816231A6EF}" id="{E6A8FD55-D722-4A7B-9BEF-79663EC4E1DF}">
    <text>대명사 사용안해서 12, 의미왜곡이나 화자혼동은 아닌데 the elder 때문에 그렇게 선택한거같습니다</text>
  </threadedComment>
  <threadedComment ref="J14" dT="2026-06-14T19:53:48.30" personId="{B2A4BE37-A9A4-4833-AD8A-5C816231A6EF}" id="{4D49BC3D-32AA-4101-9EFF-6FC8ED9671E5}">
    <text>핵심플롯 왜곡이라고 선택한 이유가 번약이 "마수가 노릴 가능성"을 누락해서 그런거같은데 위에 이미 언급된 부분이라 직역이라고 봅니다</text>
  </threadedComment>
  <threadedComment ref="J15" dT="2026-06-14T19:54:08.05" personId="{B2A4BE37-A9A4-4833-AD8A-5C816231A6EF}" id="{3125904A-BF8C-4EF6-955F-F0E137214329}">
    <text>명백한 대사태그 오류입니다</text>
  </threadedComment>
  <threadedComment ref="J16" dT="2026-06-14T19:54:40.02" personId="{B2A4BE37-A9A4-4833-AD8A-5C816231A6EF}" id="{8F0A651E-D52B-448F-9265-B27396A98DA2}">
    <text>질문인데 앞에 is that 없어서 문법오류입니다</text>
  </threadedComment>
  <threadedComment ref="J17" dT="2026-06-14T19:55:05.16" personId="{B2A4BE37-A9A4-4833-AD8A-5C816231A6EF}" id="{E3B7CAAB-15C2-46D7-9312-49CEE72ED7D1}">
    <text>가볍게를 말그대로 lightly 로 번역해서 직역입니다</text>
  </threadedComment>
  <threadedComment ref="J18" dT="2026-06-14T19:55:35.05" personId="{B2A4BE37-A9A4-4833-AD8A-5C816231A6EF}" id="{5124809E-D6FB-4E52-996E-DF07996148B5}">
    <text>미터 그대로 사용해서 직역한거같은데 스타일가이드에 숫자/단위표기 카테고리 있습니다</text>
  </threadedComment>
  <threadedComment ref="J19" dT="2026-06-14T19:56:17.34" personId="{B2A4BE37-A9A4-4833-AD8A-5C816231A6EF}" id="{2CC2FF8F-0D91-4608-B191-FEE5B150E330}">
    <text>대사태그 오류기도 하고 "선언했다"가 누락됐으니까 오역이기도 합니다 (:</text>
  </threadedComment>
  <threadedComment ref="J20" dT="2026-06-14T19:58:07.48" personId="{B2A4BE37-A9A4-4833-AD8A-5C816231A6EF}" id="{119B4096-2EDD-43FD-AEA6-189453E62B93}">
    <text>관용적이지 못하고 어색하기도 해서 2가 좋을꺼같습니다</text>
  </threadedComment>
  <threadedComment ref="J21" dT="2026-06-14T19:59:03.54" personId="{B2A4BE37-A9A4-4833-AD8A-5C816231A6EF}" id="{6BD96069-2FC9-4FF4-B209-54E4B8E18D9A}">
    <text>단순 뉘앙스 문제가 아니고 직역때문에 표현이 부자연스럽고 2번째 문장이 뚝 끊깁니다 (부자연스러운 전개 오류이기도 합니다)</text>
  </threadedComment>
  <threadedComment ref="J22" dT="2026-06-14T20:00:26.42" personId="{B2A4BE37-A9A4-4833-AD8A-5C816231A6EF}" id="{796A663A-87DF-4E8C-A7DD-A6BAF10F1D60}">
    <text>이전 문장에 이미 마당 나와서 삭제해도 되고 직역때문에 문장이 조금 지저분합니다</text>
  </threadedComment>
  <threadedComment ref="J23" dT="2026-06-14T20:01:22.40" personId="{B2A4BE37-A9A4-4833-AD8A-5C816231A6EF}" id="{EB41D819-5D4C-4A32-8018-741406CE65ED}">
    <text>옛날말투에 omg 안써서 장르위반입니다. Oh my god에 쉼표 사용한건 문법오류구요</text>
  </threadedComment>
  <threadedComment ref="J25" dT="2026-06-14T20:02:14.99" personId="{B2A4BE37-A9A4-4833-AD8A-5C816231A6EF}" id="{F17FC4DE-5FE6-4A16-9109-AA447DC95A7D}">
    <text>중복만 선택해도 문제없습니다!</text>
  </threadedComment>
  <threadedComment ref="J26" dT="2026-06-14T20:03:07.45" personId="{B2A4BE37-A9A4-4833-AD8A-5C816231A6EF}" id="{8BF61ED2-706F-40AC-8FA5-37D12EF6F43A}">
    <text>대문자 오류고 마님이 대감마님 남자 my lord 맞으니까 강도 1입니다</text>
  </threadedComment>
  <threadedComment ref="J27" dT="2026-06-14T20:06:04.24" personId="{B2A4BE37-A9A4-4833-AD8A-5C816231A6EF}" id="{B3B2F368-3E2F-41D7-A5BA-49A76527DDB2}">
    <text>“살아남은" 이라는 단어가 없고 실제로 계속 집에 있어서 죽다 살아난게 아닌 무사입니다. Surviving 은 오역입니다. 직역은 딱히 없는걸로 보입니다</text>
  </threadedComment>
  <threadedComment ref="J28" dT="2026-06-14T20:06:21.14" personId="{B2A4BE37-A9A4-4833-AD8A-5C816231A6EF}" id="{1B85948D-31FB-4B85-93E6-8D8B433D03EA}">
    <text>직역으로 인한 문장붕괴!</text>
  </threadedComment>
  <threadedComment ref="J29" dT="2026-06-14T20:07:22.81" personId="{B2A4BE37-A9A4-4833-AD8A-5C816231A6EF}" id="{486B7B81-059B-4B03-86A1-95A5B49E903E}">
    <text xml:space="preserve">불완전한 문장 + 발끝 reach his toes 표현 관용적이지 않기도 하고 영어화자가 거의 안쓰는 표현도 맞아서 직역강도 동의합니다 </text>
  </threadedComment>
  <threadedComment ref="J30" dT="2026-06-14T20:08:01.04" personId="{B2A4BE37-A9A4-4833-AD8A-5C816231A6EF}" id="{4A0752F2-26B6-4966-92F1-144333D0B899}">
    <text>명백한 서술규칙 오류입니다. 서술에 호칭 잘못쓴거니까요</text>
  </threadedComment>
  <threadedComment ref="J32" dT="2026-06-14T20:09:01.84" personId="{B2A4BE37-A9A4-4833-AD8A-5C816231A6EF}" id="{E2925F08-6351-4D08-B64A-7B44ADE0FDEE}">
    <text>말줄임표 스타일가이드 오류입니다</text>
  </threadedComment>
  <threadedComment ref="J33" dT="2026-06-14T20:10:33.39" personId="{B2A4BE37-A9A4-4833-AD8A-5C816231A6EF}" id="{FB11EE83-9B60-43A8-90C2-ACC102F67F81}">
    <text>뉘앙스 오류가 아니라 직역이랑 장황함 문제입니다 (문법 수동태 문제도 있네요)</text>
  </threadedComment>
</ThreadedComment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zoomScaleNormal="100" workbookViewId="0">
      <selection activeCell="B22" sqref="B22:F22"/>
    </sheetView>
  </sheetViews>
  <sheetFormatPr baseColWidth="10" defaultColWidth="8.6640625" defaultRowHeight="15"/>
  <cols>
    <col min="1" max="1" width="28" customWidth="1"/>
    <col min="2" max="6" width="18" customWidth="1"/>
  </cols>
  <sheetData>
    <row r="1" spans="1:6" ht="31.5" customHeight="1">
      <c r="A1" s="74" t="s">
        <v>111</v>
      </c>
      <c r="B1" s="66"/>
      <c r="C1" s="66"/>
      <c r="D1" s="66"/>
      <c r="E1" s="66"/>
      <c r="F1" s="66"/>
    </row>
    <row r="2" spans="1:6" ht="13.5" customHeight="1">
      <c r="A2" s="73" t="s">
        <v>112</v>
      </c>
      <c r="B2" s="66"/>
      <c r="C2" s="66"/>
      <c r="D2" s="66"/>
      <c r="E2" s="66"/>
      <c r="F2" s="66"/>
    </row>
    <row r="4" spans="1:6" ht="24" customHeight="1">
      <c r="A4" s="78" t="s">
        <v>113</v>
      </c>
      <c r="B4" s="66"/>
      <c r="C4" s="66"/>
      <c r="D4" s="66"/>
      <c r="E4" s="66"/>
      <c r="F4" s="66"/>
    </row>
    <row r="5" spans="1:6" ht="31.5" customHeight="1">
      <c r="A5" s="4" t="s">
        <v>114</v>
      </c>
      <c r="B5" s="75" t="s">
        <v>115</v>
      </c>
      <c r="C5" s="76"/>
      <c r="D5" s="76"/>
      <c r="E5" s="76"/>
      <c r="F5" s="64"/>
    </row>
    <row r="6" spans="1:6" ht="31.5" customHeight="1">
      <c r="A6" s="4" t="s">
        <v>116</v>
      </c>
      <c r="B6" s="77" t="s">
        <v>117</v>
      </c>
      <c r="C6" s="76"/>
      <c r="D6" s="76"/>
      <c r="E6" s="76"/>
      <c r="F6" s="64"/>
    </row>
    <row r="7" spans="1:6" ht="31.5" customHeight="1">
      <c r="A7" s="4" t="s">
        <v>118</v>
      </c>
      <c r="B7" s="75" t="s">
        <v>119</v>
      </c>
      <c r="C7" s="76"/>
      <c r="D7" s="76"/>
      <c r="E7" s="76"/>
      <c r="F7" s="64"/>
    </row>
    <row r="8" spans="1:6" ht="31.5" customHeight="1">
      <c r="A8" s="4" t="s">
        <v>120</v>
      </c>
      <c r="B8" s="75" t="s">
        <v>121</v>
      </c>
      <c r="C8" s="76"/>
      <c r="D8" s="76"/>
      <c r="E8" s="76"/>
      <c r="F8" s="64"/>
    </row>
    <row r="9" spans="1:6" ht="31.5" customHeight="1">
      <c r="A9" s="4" t="s">
        <v>122</v>
      </c>
      <c r="B9" s="75" t="s">
        <v>123</v>
      </c>
      <c r="C9" s="76"/>
      <c r="D9" s="76"/>
      <c r="E9" s="76"/>
      <c r="F9" s="64"/>
    </row>
    <row r="10" spans="1:6" ht="31.5" customHeight="1">
      <c r="A10" s="4" t="s">
        <v>124</v>
      </c>
      <c r="B10" s="75" t="s">
        <v>125</v>
      </c>
      <c r="C10" s="76"/>
      <c r="D10" s="76"/>
      <c r="E10" s="76"/>
      <c r="F10" s="64"/>
    </row>
    <row r="11" spans="1:6" ht="31.5" customHeight="1">
      <c r="A11" s="4" t="s">
        <v>126</v>
      </c>
      <c r="B11" s="77" t="s">
        <v>127</v>
      </c>
      <c r="C11" s="76"/>
      <c r="D11" s="76"/>
      <c r="E11" s="76"/>
      <c r="F11" s="64"/>
    </row>
    <row r="12" spans="1:6" ht="31.5" customHeight="1">
      <c r="A12" s="4" t="s">
        <v>128</v>
      </c>
      <c r="B12" s="75" t="s">
        <v>129</v>
      </c>
      <c r="C12" s="76"/>
      <c r="D12" s="76"/>
      <c r="E12" s="76"/>
      <c r="F12" s="64"/>
    </row>
    <row r="13" spans="1:6" ht="31.5" customHeight="1">
      <c r="A13" s="4" t="s">
        <v>130</v>
      </c>
      <c r="B13" s="75" t="s">
        <v>131</v>
      </c>
      <c r="C13" s="76"/>
      <c r="D13" s="76"/>
      <c r="E13" s="76"/>
      <c r="F13" s="64"/>
    </row>
    <row r="15" spans="1:6" ht="24" customHeight="1">
      <c r="A15" s="78" t="s">
        <v>132</v>
      </c>
      <c r="B15" s="66"/>
      <c r="C15" s="66"/>
      <c r="D15" s="66"/>
      <c r="E15" s="66"/>
      <c r="F15" s="66"/>
    </row>
    <row r="16" spans="1:6" ht="31.5" customHeight="1">
      <c r="A16" s="4" t="s">
        <v>133</v>
      </c>
      <c r="B16" s="77" t="s">
        <v>134</v>
      </c>
      <c r="C16" s="76"/>
      <c r="D16" s="76"/>
      <c r="E16" s="76"/>
      <c r="F16" s="64"/>
    </row>
    <row r="17" spans="1:6" ht="31.5" customHeight="1">
      <c r="A17" s="4" t="s">
        <v>135</v>
      </c>
      <c r="B17" s="77" t="s">
        <v>136</v>
      </c>
      <c r="C17" s="76"/>
      <c r="D17" s="76"/>
      <c r="E17" s="76"/>
      <c r="F17" s="64"/>
    </row>
    <row r="18" spans="1:6" ht="31.5" customHeight="1">
      <c r="A18" s="4" t="s">
        <v>137</v>
      </c>
      <c r="B18" s="77" t="s">
        <v>138</v>
      </c>
      <c r="C18" s="76"/>
      <c r="D18" s="76"/>
      <c r="E18" s="76"/>
      <c r="F18" s="64"/>
    </row>
    <row r="19" spans="1:6" ht="31.5" customHeight="1">
      <c r="A19" s="4" t="s">
        <v>139</v>
      </c>
      <c r="B19" s="77" t="s">
        <v>140</v>
      </c>
      <c r="C19" s="76"/>
      <c r="D19" s="76"/>
      <c r="E19" s="76"/>
      <c r="F19" s="64"/>
    </row>
    <row r="20" spans="1:6" ht="31.5" customHeight="1">
      <c r="A20" s="4" t="s">
        <v>141</v>
      </c>
      <c r="B20" s="77" t="s">
        <v>142</v>
      </c>
      <c r="C20" s="76"/>
      <c r="D20" s="76"/>
      <c r="E20" s="76"/>
      <c r="F20" s="64"/>
    </row>
    <row r="21" spans="1:6" ht="31.5" customHeight="1">
      <c r="A21" s="4" t="s">
        <v>143</v>
      </c>
      <c r="B21" s="75" t="s">
        <v>144</v>
      </c>
      <c r="C21" s="76"/>
      <c r="D21" s="76"/>
      <c r="E21" s="76"/>
      <c r="F21" s="64"/>
    </row>
    <row r="22" spans="1:6" ht="31.5" customHeight="1">
      <c r="A22" s="4" t="s">
        <v>145</v>
      </c>
      <c r="B22" s="75" t="s">
        <v>146</v>
      </c>
      <c r="C22" s="76"/>
      <c r="D22" s="76"/>
      <c r="E22" s="76"/>
      <c r="F22" s="64"/>
    </row>
    <row r="23" spans="1:6" ht="31.5" customHeight="1">
      <c r="A23" s="4" t="s">
        <v>147</v>
      </c>
      <c r="B23" s="75" t="s">
        <v>148</v>
      </c>
      <c r="C23" s="76"/>
      <c r="D23" s="76"/>
      <c r="E23" s="76"/>
      <c r="F23" s="64"/>
    </row>
  </sheetData>
  <mergeCells count="21">
    <mergeCell ref="B23:F23"/>
    <mergeCell ref="A4:F4"/>
    <mergeCell ref="B8:F8"/>
    <mergeCell ref="B17:F17"/>
    <mergeCell ref="B13:F13"/>
    <mergeCell ref="B10:F10"/>
    <mergeCell ref="B19:F19"/>
    <mergeCell ref="B9:F9"/>
    <mergeCell ref="A15:F15"/>
    <mergeCell ref="B6:F6"/>
    <mergeCell ref="B20:F20"/>
    <mergeCell ref="B7:F7"/>
    <mergeCell ref="B16:F16"/>
    <mergeCell ref="B22:F22"/>
    <mergeCell ref="B18:F18"/>
    <mergeCell ref="B21:F21"/>
    <mergeCell ref="A1:F1"/>
    <mergeCell ref="B5:F5"/>
    <mergeCell ref="A2:F2"/>
    <mergeCell ref="B12:F12"/>
    <mergeCell ref="B11:F11"/>
  </mergeCells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topLeftCell="A8" zoomScale="145" zoomScaleNormal="145" workbookViewId="0">
      <selection activeCell="E10" sqref="E10"/>
    </sheetView>
  </sheetViews>
  <sheetFormatPr baseColWidth="10" defaultColWidth="8.6640625" defaultRowHeight="15"/>
  <cols>
    <col min="1" max="1" width="5" customWidth="1"/>
    <col min="2" max="2" width="20" customWidth="1"/>
    <col min="3" max="3" width="36" customWidth="1"/>
    <col min="4" max="4" width="32" customWidth="1"/>
    <col min="5" max="5" width="22" customWidth="1"/>
    <col min="6" max="6" width="24" customWidth="1"/>
    <col min="7" max="7" width="26" customWidth="1"/>
    <col min="8" max="8" width="12" customWidth="1"/>
  </cols>
  <sheetData>
    <row r="1" spans="1:8" ht="30" customHeigh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ht="60" customHeight="1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ht="60" customHeight="1">
      <c r="A3" s="2" t="s">
        <v>16</v>
      </c>
      <c r="B3" s="3" t="s">
        <v>17</v>
      </c>
      <c r="C3" s="2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15</v>
      </c>
    </row>
    <row r="4" spans="1:8" ht="60" customHeight="1">
      <c r="A4" s="2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</row>
    <row r="5" spans="1:8" ht="60" customHeight="1">
      <c r="A5" s="2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30</v>
      </c>
    </row>
    <row r="6" spans="1:8" ht="60" customHeight="1">
      <c r="A6" s="2" t="s">
        <v>38</v>
      </c>
      <c r="B6" s="3" t="s">
        <v>39</v>
      </c>
      <c r="C6" s="2" t="s">
        <v>454</v>
      </c>
      <c r="D6" s="3" t="s">
        <v>40</v>
      </c>
      <c r="E6" s="3" t="s">
        <v>41</v>
      </c>
      <c r="F6" s="3" t="s">
        <v>42</v>
      </c>
      <c r="G6" s="3" t="s">
        <v>43</v>
      </c>
      <c r="H6" s="3" t="s">
        <v>30</v>
      </c>
    </row>
    <row r="7" spans="1:8" ht="60" customHeight="1">
      <c r="A7" s="2" t="s">
        <v>44</v>
      </c>
      <c r="B7" s="3" t="s">
        <v>45</v>
      </c>
      <c r="C7" s="3" t="s">
        <v>448</v>
      </c>
      <c r="D7" s="2" t="s">
        <v>46</v>
      </c>
      <c r="E7" s="3" t="s">
        <v>449</v>
      </c>
      <c r="F7" s="3" t="s">
        <v>47</v>
      </c>
      <c r="G7" s="3" t="s">
        <v>48</v>
      </c>
      <c r="H7" s="3" t="s">
        <v>30</v>
      </c>
    </row>
    <row r="8" spans="1:8" ht="60" customHeight="1">
      <c r="A8" s="2" t="s">
        <v>49</v>
      </c>
      <c r="B8" s="2" t="s">
        <v>50</v>
      </c>
      <c r="C8" s="2" t="s">
        <v>51</v>
      </c>
      <c r="D8" s="3" t="s">
        <v>52</v>
      </c>
      <c r="E8" s="2" t="s">
        <v>53</v>
      </c>
      <c r="F8" s="2" t="s">
        <v>54</v>
      </c>
      <c r="G8" s="3" t="s">
        <v>55</v>
      </c>
      <c r="H8" s="3" t="s">
        <v>30</v>
      </c>
    </row>
    <row r="9" spans="1:8" ht="60" customHeight="1">
      <c r="A9" s="2" t="s">
        <v>56</v>
      </c>
      <c r="B9" s="3" t="s">
        <v>57</v>
      </c>
      <c r="C9" s="3" t="s">
        <v>58</v>
      </c>
      <c r="D9" s="3" t="s">
        <v>59</v>
      </c>
      <c r="E9" s="3" t="s">
        <v>60</v>
      </c>
      <c r="F9" s="3" t="s">
        <v>61</v>
      </c>
      <c r="G9" s="3" t="s">
        <v>62</v>
      </c>
      <c r="H9" s="3" t="s">
        <v>15</v>
      </c>
    </row>
    <row r="10" spans="1:8" ht="60" customHeight="1">
      <c r="A10" s="2" t="s">
        <v>63</v>
      </c>
      <c r="B10" s="3" t="s">
        <v>64</v>
      </c>
      <c r="C10" s="3" t="s">
        <v>65</v>
      </c>
      <c r="D10" s="3" t="s">
        <v>66</v>
      </c>
      <c r="E10" s="3" t="s">
        <v>308</v>
      </c>
      <c r="F10" s="3" t="s">
        <v>67</v>
      </c>
      <c r="G10" s="3" t="s">
        <v>68</v>
      </c>
      <c r="H10" s="3" t="s">
        <v>30</v>
      </c>
    </row>
    <row r="11" spans="1:8" ht="60" customHeight="1">
      <c r="A11" s="2" t="s">
        <v>69</v>
      </c>
      <c r="B11" s="3" t="s">
        <v>70</v>
      </c>
      <c r="C11" s="3" t="s">
        <v>71</v>
      </c>
      <c r="D11" s="3" t="s">
        <v>72</v>
      </c>
      <c r="E11" s="3" t="s">
        <v>450</v>
      </c>
      <c r="F11" s="3" t="s">
        <v>73</v>
      </c>
      <c r="G11" s="3" t="s">
        <v>74</v>
      </c>
      <c r="H11" s="3" t="s">
        <v>30</v>
      </c>
    </row>
    <row r="12" spans="1:8" ht="60" customHeight="1">
      <c r="A12" s="2" t="s">
        <v>75</v>
      </c>
      <c r="B12" s="3" t="s">
        <v>76</v>
      </c>
      <c r="C12" s="3" t="s">
        <v>298</v>
      </c>
      <c r="D12" s="2" t="s">
        <v>77</v>
      </c>
      <c r="E12" s="3" t="s">
        <v>78</v>
      </c>
      <c r="F12" s="3" t="s">
        <v>79</v>
      </c>
      <c r="G12" s="3" t="s">
        <v>80</v>
      </c>
      <c r="H12" s="3" t="s">
        <v>15</v>
      </c>
    </row>
    <row r="13" spans="1:8" ht="60" customHeight="1">
      <c r="A13" s="2" t="s">
        <v>81</v>
      </c>
      <c r="B13" s="3" t="s">
        <v>82</v>
      </c>
      <c r="C13" s="3" t="s">
        <v>83</v>
      </c>
      <c r="D13" s="3" t="s">
        <v>84</v>
      </c>
      <c r="E13" s="3" t="s">
        <v>85</v>
      </c>
      <c r="F13" s="3" t="s">
        <v>86</v>
      </c>
      <c r="G13" s="3" t="s">
        <v>87</v>
      </c>
      <c r="H13" s="3" t="s">
        <v>88</v>
      </c>
    </row>
    <row r="14" spans="1:8" ht="60" customHeight="1">
      <c r="A14" s="2" t="s">
        <v>89</v>
      </c>
      <c r="B14" s="3" t="s">
        <v>90</v>
      </c>
      <c r="C14" s="3" t="s">
        <v>413</v>
      </c>
      <c r="D14" s="3" t="s">
        <v>455</v>
      </c>
      <c r="E14" s="3" t="s">
        <v>451</v>
      </c>
      <c r="F14" s="3" t="s">
        <v>452</v>
      </c>
      <c r="G14" s="3" t="s">
        <v>453</v>
      </c>
      <c r="H14" s="3" t="s">
        <v>15</v>
      </c>
    </row>
    <row r="15" spans="1:8" ht="60" customHeight="1">
      <c r="A15" s="2" t="s">
        <v>91</v>
      </c>
      <c r="B15" s="3" t="s">
        <v>92</v>
      </c>
      <c r="C15" s="3" t="s">
        <v>93</v>
      </c>
      <c r="D15" s="3" t="s">
        <v>94</v>
      </c>
      <c r="E15" s="3" t="s">
        <v>95</v>
      </c>
      <c r="F15" s="3" t="s">
        <v>96</v>
      </c>
      <c r="G15" s="3" t="s">
        <v>97</v>
      </c>
      <c r="H15" s="3" t="s">
        <v>92</v>
      </c>
    </row>
    <row r="18" spans="1:8" ht="15" customHeight="1">
      <c r="A18" s="67" t="s">
        <v>98</v>
      </c>
      <c r="B18" s="66"/>
      <c r="C18" s="66"/>
      <c r="D18" s="66"/>
      <c r="E18" s="66"/>
      <c r="F18" s="66"/>
      <c r="G18" s="66"/>
      <c r="H18" s="66"/>
    </row>
    <row r="19" spans="1:8" ht="30" customHeight="1">
      <c r="A19" s="1" t="s">
        <v>99</v>
      </c>
      <c r="B19" s="1" t="s">
        <v>100</v>
      </c>
      <c r="C19" s="1" t="s">
        <v>101</v>
      </c>
    </row>
    <row r="20" spans="1:8" ht="15" customHeight="1">
      <c r="A20" s="7" t="s">
        <v>102</v>
      </c>
      <c r="B20" s="8" t="s">
        <v>103</v>
      </c>
      <c r="C20" s="8" t="s">
        <v>104</v>
      </c>
    </row>
    <row r="21" spans="1:8" ht="15" customHeight="1">
      <c r="A21" s="7" t="s">
        <v>8</v>
      </c>
      <c r="B21" s="8" t="s">
        <v>105</v>
      </c>
      <c r="C21" s="8" t="s">
        <v>106</v>
      </c>
    </row>
    <row r="22" spans="1:8" ht="15" customHeight="1">
      <c r="A22" s="7" t="s">
        <v>16</v>
      </c>
      <c r="B22" s="8" t="s">
        <v>107</v>
      </c>
      <c r="C22" s="8" t="s">
        <v>108</v>
      </c>
    </row>
    <row r="23" spans="1:8" ht="15" customHeight="1">
      <c r="A23" s="7" t="s">
        <v>23</v>
      </c>
      <c r="B23" s="8" t="s">
        <v>109</v>
      </c>
      <c r="C23" s="8" t="s">
        <v>110</v>
      </c>
    </row>
  </sheetData>
  <mergeCells count="1">
    <mergeCell ref="A18:H18"/>
  </mergeCells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49"/>
  <sheetViews>
    <sheetView zoomScaleNormal="100" workbookViewId="0">
      <pane xSplit="4" ySplit="2" topLeftCell="E341" activePane="bottomRight" state="frozen"/>
      <selection pane="topRight" activeCell="F1" sqref="F1"/>
      <selection pane="bottomLeft" activeCell="A3" sqref="A3"/>
      <selection pane="bottomRight" activeCell="B3" sqref="B3:C349"/>
    </sheetView>
  </sheetViews>
  <sheetFormatPr baseColWidth="10" defaultColWidth="8.6640625" defaultRowHeight="15"/>
  <cols>
    <col min="1" max="1" width="12" customWidth="1"/>
    <col min="2" max="2" width="35.1640625" style="47" customWidth="1"/>
    <col min="3" max="3" width="53.5" style="47" customWidth="1"/>
    <col min="4" max="4" width="12.33203125" customWidth="1"/>
    <col min="5" max="18" width="7.5" customWidth="1"/>
    <col min="19" max="24" width="9" customWidth="1"/>
    <col min="25" max="25" width="24" customWidth="1"/>
  </cols>
  <sheetData>
    <row r="1" spans="1:25" ht="24" customHeight="1">
      <c r="A1" s="79" t="s">
        <v>149</v>
      </c>
      <c r="B1" s="79" t="s">
        <v>150</v>
      </c>
      <c r="C1" s="82" t="s">
        <v>151</v>
      </c>
      <c r="D1" s="79" t="s">
        <v>152</v>
      </c>
      <c r="E1" s="63" t="s">
        <v>153</v>
      </c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64"/>
      <c r="S1" s="81" t="s">
        <v>154</v>
      </c>
      <c r="T1" s="76"/>
      <c r="U1" s="76"/>
      <c r="V1" s="76"/>
      <c r="W1" s="76"/>
      <c r="X1" s="64"/>
      <c r="Y1" s="79" t="s">
        <v>155</v>
      </c>
    </row>
    <row r="2" spans="1:25" ht="21.75" customHeight="1">
      <c r="A2" s="80"/>
      <c r="B2" s="83"/>
      <c r="C2" s="83"/>
      <c r="D2" s="80"/>
      <c r="E2" s="9" t="s">
        <v>156</v>
      </c>
      <c r="F2" s="9" t="s">
        <v>157</v>
      </c>
      <c r="G2" s="9" t="s">
        <v>158</v>
      </c>
      <c r="H2" s="9" t="s">
        <v>159</v>
      </c>
      <c r="I2" s="9" t="s">
        <v>160</v>
      </c>
      <c r="J2" s="9" t="s">
        <v>161</v>
      </c>
      <c r="K2" s="9" t="s">
        <v>162</v>
      </c>
      <c r="L2" s="9" t="s">
        <v>163</v>
      </c>
      <c r="M2" s="9" t="s">
        <v>164</v>
      </c>
      <c r="N2" s="9" t="s">
        <v>165</v>
      </c>
      <c r="O2" s="9" t="s">
        <v>166</v>
      </c>
      <c r="P2" s="9" t="s">
        <v>167</v>
      </c>
      <c r="Q2" s="9" t="s">
        <v>168</v>
      </c>
      <c r="R2" s="9" t="s">
        <v>169</v>
      </c>
      <c r="S2" s="10" t="s">
        <v>170</v>
      </c>
      <c r="T2" s="10" t="s">
        <v>171</v>
      </c>
      <c r="U2" s="10" t="s">
        <v>172</v>
      </c>
      <c r="V2" s="10" t="s">
        <v>173</v>
      </c>
      <c r="W2" s="10" t="s">
        <v>174</v>
      </c>
      <c r="X2" s="10" t="s">
        <v>175</v>
      </c>
      <c r="Y2" s="80"/>
    </row>
    <row r="3" spans="1:25" ht="30" customHeight="1">
      <c r="A3" s="11">
        <v>1</v>
      </c>
      <c r="B3" s="45"/>
      <c r="C3" s="46"/>
      <c r="D3" s="12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>
        <f t="shared" ref="S3:S34" si="0">IF(SUM(E3:R3)&gt;0,1,0)</f>
        <v>0</v>
      </c>
      <c r="T3" s="14">
        <f t="shared" ref="T3:T34" si="1">IF(MAX(G3,H3,I3,J3,K3,M3,N3)&gt;0,1,0)</f>
        <v>0</v>
      </c>
      <c r="U3" s="14">
        <f t="shared" ref="U3:U34" si="2">IF(MAX(E3,F3,L3,O3,Q3)&gt;0,1,0)</f>
        <v>0</v>
      </c>
      <c r="V3" s="14">
        <f t="shared" ref="V3:V34" si="3">IF(P3&gt;0,1,0)</f>
        <v>0</v>
      </c>
      <c r="W3" s="14">
        <f t="shared" ref="W3:W66" si="4">IF(AND(B3&lt;&gt;"",S3=0),1,0)</f>
        <v>0</v>
      </c>
      <c r="X3" s="15">
        <f t="shared" ref="X3:X34" si="5">SUMPRODUCT((E3:R3=1)*0.3)+SUMPRODUCT((E3:R3=2)*0.7)+SUMPRODUCT((E3:R3=3)*1.5)</f>
        <v>0</v>
      </c>
      <c r="Y3" s="16"/>
    </row>
    <row r="4" spans="1:25" ht="30" customHeight="1">
      <c r="A4" s="11">
        <v>2</v>
      </c>
      <c r="B4" s="45"/>
      <c r="C4" s="46"/>
      <c r="D4" s="12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4">
        <f t="shared" si="0"/>
        <v>0</v>
      </c>
      <c r="T4" s="14">
        <f t="shared" si="1"/>
        <v>0</v>
      </c>
      <c r="U4" s="14">
        <f t="shared" si="2"/>
        <v>0</v>
      </c>
      <c r="V4" s="14">
        <f t="shared" si="3"/>
        <v>0</v>
      </c>
      <c r="W4" s="14">
        <f t="shared" si="4"/>
        <v>0</v>
      </c>
      <c r="X4" s="15">
        <f t="shared" si="5"/>
        <v>0</v>
      </c>
      <c r="Y4" s="16"/>
    </row>
    <row r="5" spans="1:25" ht="30" customHeight="1">
      <c r="A5" s="11">
        <v>3</v>
      </c>
      <c r="B5" s="45"/>
      <c r="C5" s="46"/>
      <c r="D5" s="12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4">
        <f t="shared" si="0"/>
        <v>0</v>
      </c>
      <c r="T5" s="14">
        <f t="shared" si="1"/>
        <v>0</v>
      </c>
      <c r="U5" s="14">
        <f t="shared" si="2"/>
        <v>0</v>
      </c>
      <c r="V5" s="14">
        <f t="shared" si="3"/>
        <v>0</v>
      </c>
      <c r="W5" s="14">
        <f t="shared" si="4"/>
        <v>0</v>
      </c>
      <c r="X5" s="15">
        <f t="shared" si="5"/>
        <v>0</v>
      </c>
      <c r="Y5" s="16" t="s">
        <v>277</v>
      </c>
    </row>
    <row r="6" spans="1:25" ht="16">
      <c r="A6" s="11">
        <v>4</v>
      </c>
      <c r="B6" s="45"/>
      <c r="C6" s="46"/>
      <c r="D6" s="12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4">
        <f t="shared" si="0"/>
        <v>0</v>
      </c>
      <c r="T6" s="14">
        <f t="shared" si="1"/>
        <v>0</v>
      </c>
      <c r="U6" s="14">
        <f t="shared" si="2"/>
        <v>0</v>
      </c>
      <c r="V6" s="14">
        <f t="shared" si="3"/>
        <v>0</v>
      </c>
      <c r="W6" s="14">
        <f t="shared" si="4"/>
        <v>0</v>
      </c>
      <c r="X6" s="15">
        <f t="shared" si="5"/>
        <v>0</v>
      </c>
      <c r="Y6" s="16" t="s">
        <v>278</v>
      </c>
    </row>
    <row r="7" spans="1:25" ht="30" customHeight="1">
      <c r="A7" s="11">
        <v>5</v>
      </c>
      <c r="B7" s="45"/>
      <c r="C7" s="46"/>
      <c r="D7" s="12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4">
        <f t="shared" si="0"/>
        <v>0</v>
      </c>
      <c r="T7" s="14">
        <f t="shared" si="1"/>
        <v>0</v>
      </c>
      <c r="U7" s="14">
        <f t="shared" si="2"/>
        <v>0</v>
      </c>
      <c r="V7" s="14">
        <f t="shared" si="3"/>
        <v>0</v>
      </c>
      <c r="W7" s="14">
        <f t="shared" si="4"/>
        <v>0</v>
      </c>
      <c r="X7" s="15">
        <f t="shared" si="5"/>
        <v>0</v>
      </c>
      <c r="Y7" s="16"/>
    </row>
    <row r="8" spans="1:25" ht="30" customHeight="1">
      <c r="A8" s="11">
        <v>6</v>
      </c>
      <c r="B8" s="45"/>
      <c r="C8" s="46"/>
      <c r="D8" s="12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4">
        <f t="shared" si="0"/>
        <v>0</v>
      </c>
      <c r="T8" s="14">
        <f t="shared" si="1"/>
        <v>0</v>
      </c>
      <c r="U8" s="14">
        <f t="shared" si="2"/>
        <v>0</v>
      </c>
      <c r="V8" s="14">
        <f t="shared" si="3"/>
        <v>0</v>
      </c>
      <c r="W8" s="14">
        <f t="shared" si="4"/>
        <v>0</v>
      </c>
      <c r="X8" s="15">
        <f t="shared" si="5"/>
        <v>0</v>
      </c>
      <c r="Y8" s="16"/>
    </row>
    <row r="9" spans="1:25" ht="30" customHeight="1">
      <c r="A9" s="11">
        <v>7</v>
      </c>
      <c r="B9" s="45"/>
      <c r="C9" s="46"/>
      <c r="D9" s="12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4">
        <f t="shared" si="0"/>
        <v>0</v>
      </c>
      <c r="T9" s="14">
        <f t="shared" si="1"/>
        <v>0</v>
      </c>
      <c r="U9" s="14">
        <f t="shared" si="2"/>
        <v>0</v>
      </c>
      <c r="V9" s="14">
        <f t="shared" si="3"/>
        <v>0</v>
      </c>
      <c r="W9" s="14">
        <f t="shared" si="4"/>
        <v>0</v>
      </c>
      <c r="X9" s="15">
        <f t="shared" si="5"/>
        <v>0</v>
      </c>
      <c r="Y9" s="16" t="s">
        <v>279</v>
      </c>
    </row>
    <row r="10" spans="1:25" ht="30" customHeight="1">
      <c r="A10" s="11">
        <v>8</v>
      </c>
      <c r="B10" s="45"/>
      <c r="C10" s="46"/>
      <c r="D10" s="12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4">
        <f t="shared" si="0"/>
        <v>0</v>
      </c>
      <c r="T10" s="14">
        <f t="shared" si="1"/>
        <v>0</v>
      </c>
      <c r="U10" s="14">
        <f t="shared" si="2"/>
        <v>0</v>
      </c>
      <c r="V10" s="14">
        <f t="shared" si="3"/>
        <v>0</v>
      </c>
      <c r="W10" s="14">
        <f t="shared" si="4"/>
        <v>0</v>
      </c>
      <c r="X10" s="15">
        <f t="shared" si="5"/>
        <v>0</v>
      </c>
      <c r="Y10" s="16" t="s">
        <v>280</v>
      </c>
    </row>
    <row r="11" spans="1:25" ht="30" customHeight="1">
      <c r="A11" s="11">
        <v>9</v>
      </c>
      <c r="B11" s="45"/>
      <c r="C11" s="46"/>
      <c r="D11" s="12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4">
        <f t="shared" si="0"/>
        <v>0</v>
      </c>
      <c r="T11" s="14">
        <f t="shared" si="1"/>
        <v>0</v>
      </c>
      <c r="U11" s="14">
        <f t="shared" si="2"/>
        <v>0</v>
      </c>
      <c r="V11" s="14">
        <f t="shared" si="3"/>
        <v>0</v>
      </c>
      <c r="W11" s="14">
        <f t="shared" si="4"/>
        <v>0</v>
      </c>
      <c r="X11" s="15">
        <f t="shared" si="5"/>
        <v>0</v>
      </c>
      <c r="Y11" s="16" t="s">
        <v>281</v>
      </c>
    </row>
    <row r="12" spans="1:25" ht="16">
      <c r="A12" s="11">
        <v>10</v>
      </c>
      <c r="B12" s="45"/>
      <c r="C12" s="46"/>
      <c r="D12" s="12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4">
        <f t="shared" si="0"/>
        <v>0</v>
      </c>
      <c r="T12" s="14">
        <f t="shared" si="1"/>
        <v>0</v>
      </c>
      <c r="U12" s="14">
        <f t="shared" si="2"/>
        <v>0</v>
      </c>
      <c r="V12" s="14">
        <f t="shared" si="3"/>
        <v>0</v>
      </c>
      <c r="W12" s="14">
        <f t="shared" si="4"/>
        <v>0</v>
      </c>
      <c r="X12" s="15">
        <f t="shared" si="5"/>
        <v>0</v>
      </c>
      <c r="Y12" s="16" t="s">
        <v>282</v>
      </c>
    </row>
    <row r="13" spans="1:25" ht="30" customHeight="1">
      <c r="A13" s="11">
        <v>11</v>
      </c>
      <c r="B13" s="45"/>
      <c r="C13" s="46"/>
      <c r="D13" s="12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4">
        <f t="shared" si="0"/>
        <v>0</v>
      </c>
      <c r="T13" s="14">
        <f t="shared" si="1"/>
        <v>0</v>
      </c>
      <c r="U13" s="14">
        <f t="shared" si="2"/>
        <v>0</v>
      </c>
      <c r="V13" s="14">
        <f t="shared" si="3"/>
        <v>0</v>
      </c>
      <c r="W13" s="14">
        <f t="shared" si="4"/>
        <v>0</v>
      </c>
      <c r="X13" s="15">
        <f t="shared" si="5"/>
        <v>0</v>
      </c>
      <c r="Y13" s="16"/>
    </row>
    <row r="14" spans="1:25" ht="30" customHeight="1">
      <c r="A14" s="11">
        <v>12</v>
      </c>
      <c r="B14" s="45"/>
      <c r="C14" s="46"/>
      <c r="D14" s="12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4">
        <f t="shared" si="0"/>
        <v>0</v>
      </c>
      <c r="T14" s="14">
        <f t="shared" si="1"/>
        <v>0</v>
      </c>
      <c r="U14" s="14">
        <f t="shared" si="2"/>
        <v>0</v>
      </c>
      <c r="V14" s="14">
        <f t="shared" si="3"/>
        <v>0</v>
      </c>
      <c r="W14" s="14">
        <f t="shared" si="4"/>
        <v>0</v>
      </c>
      <c r="X14" s="15">
        <f t="shared" si="5"/>
        <v>0</v>
      </c>
      <c r="Y14" s="16" t="s">
        <v>283</v>
      </c>
    </row>
    <row r="15" spans="1:25" ht="30" customHeight="1">
      <c r="A15" s="11">
        <v>13</v>
      </c>
      <c r="B15" s="45"/>
      <c r="C15" s="46"/>
      <c r="D15" s="12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4">
        <f t="shared" si="0"/>
        <v>0</v>
      </c>
      <c r="T15" s="14">
        <f t="shared" si="1"/>
        <v>0</v>
      </c>
      <c r="U15" s="14">
        <f t="shared" si="2"/>
        <v>0</v>
      </c>
      <c r="V15" s="14">
        <f t="shared" si="3"/>
        <v>0</v>
      </c>
      <c r="W15" s="14">
        <f t="shared" si="4"/>
        <v>0</v>
      </c>
      <c r="X15" s="15">
        <f t="shared" si="5"/>
        <v>0</v>
      </c>
      <c r="Y15" s="16" t="s">
        <v>276</v>
      </c>
    </row>
    <row r="16" spans="1:25" ht="30" customHeight="1">
      <c r="A16" s="11">
        <v>14</v>
      </c>
      <c r="B16" s="45"/>
      <c r="C16" s="46"/>
      <c r="D16" s="12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4">
        <f t="shared" si="0"/>
        <v>0</v>
      </c>
      <c r="T16" s="14">
        <f t="shared" si="1"/>
        <v>0</v>
      </c>
      <c r="U16" s="14">
        <f t="shared" si="2"/>
        <v>0</v>
      </c>
      <c r="V16" s="14">
        <f t="shared" si="3"/>
        <v>0</v>
      </c>
      <c r="W16" s="14">
        <f t="shared" si="4"/>
        <v>0</v>
      </c>
      <c r="X16" s="15">
        <f t="shared" si="5"/>
        <v>0</v>
      </c>
      <c r="Y16" s="16" t="s">
        <v>284</v>
      </c>
    </row>
    <row r="17" spans="1:25" ht="30" customHeight="1">
      <c r="A17" s="11">
        <v>15</v>
      </c>
      <c r="B17" s="45"/>
      <c r="C17" s="46"/>
      <c r="D17" s="12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4">
        <f t="shared" si="0"/>
        <v>0</v>
      </c>
      <c r="T17" s="14">
        <f t="shared" si="1"/>
        <v>0</v>
      </c>
      <c r="U17" s="14">
        <f t="shared" si="2"/>
        <v>0</v>
      </c>
      <c r="V17" s="14">
        <f t="shared" si="3"/>
        <v>0</v>
      </c>
      <c r="W17" s="14">
        <f t="shared" si="4"/>
        <v>0</v>
      </c>
      <c r="X17" s="15">
        <f t="shared" si="5"/>
        <v>0</v>
      </c>
      <c r="Y17" s="16"/>
    </row>
    <row r="18" spans="1:25" ht="30" customHeight="1">
      <c r="A18" s="11">
        <v>16</v>
      </c>
      <c r="B18" s="45"/>
      <c r="C18" s="46"/>
      <c r="D18" s="12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4">
        <f t="shared" si="0"/>
        <v>0</v>
      </c>
      <c r="T18" s="14">
        <f t="shared" si="1"/>
        <v>0</v>
      </c>
      <c r="U18" s="14">
        <f t="shared" si="2"/>
        <v>0</v>
      </c>
      <c r="V18" s="14">
        <f t="shared" si="3"/>
        <v>0</v>
      </c>
      <c r="W18" s="14">
        <f t="shared" si="4"/>
        <v>0</v>
      </c>
      <c r="X18" s="15">
        <f t="shared" si="5"/>
        <v>0</v>
      </c>
      <c r="Y18" s="16"/>
    </row>
    <row r="19" spans="1:25" ht="30" customHeight="1">
      <c r="A19" s="11">
        <v>17</v>
      </c>
      <c r="B19" s="45"/>
      <c r="C19" s="46"/>
      <c r="D19" s="12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4">
        <f t="shared" si="0"/>
        <v>0</v>
      </c>
      <c r="T19" s="14">
        <f t="shared" si="1"/>
        <v>0</v>
      </c>
      <c r="U19" s="14">
        <f t="shared" si="2"/>
        <v>0</v>
      </c>
      <c r="V19" s="14">
        <f t="shared" si="3"/>
        <v>0</v>
      </c>
      <c r="W19" s="14">
        <f t="shared" si="4"/>
        <v>0</v>
      </c>
      <c r="X19" s="15">
        <f t="shared" si="5"/>
        <v>0</v>
      </c>
      <c r="Y19" s="16" t="s">
        <v>277</v>
      </c>
    </row>
    <row r="20" spans="1:25" ht="30" customHeight="1">
      <c r="A20" s="11">
        <v>18</v>
      </c>
      <c r="B20" s="45"/>
      <c r="C20" s="46"/>
      <c r="D20" s="12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4">
        <f t="shared" si="0"/>
        <v>0</v>
      </c>
      <c r="T20" s="14">
        <f t="shared" si="1"/>
        <v>0</v>
      </c>
      <c r="U20" s="14">
        <f t="shared" si="2"/>
        <v>0</v>
      </c>
      <c r="V20" s="14">
        <f t="shared" si="3"/>
        <v>0</v>
      </c>
      <c r="W20" s="14">
        <f t="shared" si="4"/>
        <v>0</v>
      </c>
      <c r="X20" s="15">
        <f t="shared" si="5"/>
        <v>0</v>
      </c>
      <c r="Y20" s="16"/>
    </row>
    <row r="21" spans="1:25" ht="30" customHeight="1">
      <c r="A21" s="11">
        <v>19</v>
      </c>
      <c r="B21" s="45"/>
      <c r="C21" s="46"/>
      <c r="D21" s="12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4">
        <f t="shared" si="0"/>
        <v>0</v>
      </c>
      <c r="T21" s="14">
        <f t="shared" si="1"/>
        <v>0</v>
      </c>
      <c r="U21" s="14">
        <f t="shared" si="2"/>
        <v>0</v>
      </c>
      <c r="V21" s="14">
        <f t="shared" si="3"/>
        <v>0</v>
      </c>
      <c r="W21" s="14">
        <f t="shared" si="4"/>
        <v>0</v>
      </c>
      <c r="X21" s="15">
        <f t="shared" si="5"/>
        <v>0</v>
      </c>
      <c r="Y21" s="16" t="s">
        <v>274</v>
      </c>
    </row>
    <row r="22" spans="1:25" ht="16">
      <c r="A22" s="11">
        <v>20</v>
      </c>
      <c r="B22" s="45"/>
      <c r="C22" s="46"/>
      <c r="D22" s="12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4">
        <f t="shared" si="0"/>
        <v>0</v>
      </c>
      <c r="T22" s="14">
        <f t="shared" si="1"/>
        <v>0</v>
      </c>
      <c r="U22" s="14">
        <f t="shared" si="2"/>
        <v>0</v>
      </c>
      <c r="V22" s="14">
        <f t="shared" si="3"/>
        <v>0</v>
      </c>
      <c r="W22" s="14">
        <f t="shared" si="4"/>
        <v>0</v>
      </c>
      <c r="X22" s="15">
        <f t="shared" si="5"/>
        <v>0</v>
      </c>
      <c r="Y22" s="16" t="s">
        <v>316</v>
      </c>
    </row>
    <row r="23" spans="1:25" ht="30" customHeight="1">
      <c r="A23" s="11">
        <v>21</v>
      </c>
      <c r="B23" s="45"/>
      <c r="C23" s="46"/>
      <c r="D23" s="12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4">
        <f t="shared" si="0"/>
        <v>0</v>
      </c>
      <c r="T23" s="14">
        <f t="shared" si="1"/>
        <v>0</v>
      </c>
      <c r="U23" s="14">
        <f t="shared" si="2"/>
        <v>0</v>
      </c>
      <c r="V23" s="14">
        <f t="shared" si="3"/>
        <v>0</v>
      </c>
      <c r="W23" s="14">
        <f t="shared" si="4"/>
        <v>0</v>
      </c>
      <c r="X23" s="15">
        <f t="shared" si="5"/>
        <v>0</v>
      </c>
      <c r="Y23" s="16"/>
    </row>
    <row r="24" spans="1:25" ht="30" customHeight="1">
      <c r="A24" s="11">
        <v>22</v>
      </c>
      <c r="B24" s="45"/>
      <c r="C24" s="46"/>
      <c r="D24" s="12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4">
        <f t="shared" si="0"/>
        <v>0</v>
      </c>
      <c r="T24" s="14">
        <f t="shared" si="1"/>
        <v>0</v>
      </c>
      <c r="U24" s="14">
        <f t="shared" si="2"/>
        <v>0</v>
      </c>
      <c r="V24" s="14">
        <f t="shared" si="3"/>
        <v>0</v>
      </c>
      <c r="W24" s="14">
        <f t="shared" si="4"/>
        <v>0</v>
      </c>
      <c r="X24" s="15">
        <f t="shared" si="5"/>
        <v>0</v>
      </c>
      <c r="Y24" s="16"/>
    </row>
    <row r="25" spans="1:25" ht="30" customHeight="1">
      <c r="A25" s="11">
        <v>23</v>
      </c>
      <c r="B25" s="45"/>
      <c r="C25" s="46"/>
      <c r="D25" s="12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4">
        <f t="shared" si="0"/>
        <v>0</v>
      </c>
      <c r="T25" s="14">
        <f t="shared" si="1"/>
        <v>0</v>
      </c>
      <c r="U25" s="14">
        <f t="shared" si="2"/>
        <v>0</v>
      </c>
      <c r="V25" s="14">
        <f t="shared" si="3"/>
        <v>0</v>
      </c>
      <c r="W25" s="14">
        <f t="shared" si="4"/>
        <v>0</v>
      </c>
      <c r="X25" s="15">
        <f t="shared" si="5"/>
        <v>0</v>
      </c>
      <c r="Y25" s="16"/>
    </row>
    <row r="26" spans="1:25" ht="30" customHeight="1">
      <c r="A26" s="11">
        <v>24</v>
      </c>
      <c r="B26" s="45"/>
      <c r="C26" s="46"/>
      <c r="D26" s="12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4">
        <f t="shared" si="0"/>
        <v>0</v>
      </c>
      <c r="T26" s="14">
        <f t="shared" si="1"/>
        <v>0</v>
      </c>
      <c r="U26" s="14">
        <f t="shared" si="2"/>
        <v>0</v>
      </c>
      <c r="V26" s="14">
        <f t="shared" si="3"/>
        <v>0</v>
      </c>
      <c r="W26" s="14">
        <f t="shared" si="4"/>
        <v>0</v>
      </c>
      <c r="X26" s="15">
        <f t="shared" si="5"/>
        <v>0</v>
      </c>
      <c r="Y26" s="16" t="s">
        <v>275</v>
      </c>
    </row>
    <row r="27" spans="1:25" ht="32">
      <c r="A27" s="11">
        <v>25</v>
      </c>
      <c r="B27" s="45"/>
      <c r="C27" s="46"/>
      <c r="D27" s="12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4">
        <f t="shared" si="0"/>
        <v>0</v>
      </c>
      <c r="T27" s="14">
        <f t="shared" si="1"/>
        <v>0</v>
      </c>
      <c r="U27" s="14">
        <f t="shared" si="2"/>
        <v>0</v>
      </c>
      <c r="V27" s="14">
        <f t="shared" si="3"/>
        <v>0</v>
      </c>
      <c r="W27" s="14">
        <f t="shared" si="4"/>
        <v>0</v>
      </c>
      <c r="X27" s="15">
        <f t="shared" si="5"/>
        <v>0</v>
      </c>
      <c r="Y27" s="16" t="s">
        <v>285</v>
      </c>
    </row>
    <row r="28" spans="1:25">
      <c r="A28" s="11">
        <v>26</v>
      </c>
      <c r="B28" s="46"/>
      <c r="C28" s="46"/>
      <c r="D28" s="12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4">
        <f t="shared" si="0"/>
        <v>0</v>
      </c>
      <c r="T28" s="14">
        <f t="shared" si="1"/>
        <v>0</v>
      </c>
      <c r="U28" s="14">
        <f t="shared" si="2"/>
        <v>0</v>
      </c>
      <c r="V28" s="14">
        <f t="shared" si="3"/>
        <v>0</v>
      </c>
      <c r="W28" s="14">
        <f t="shared" si="4"/>
        <v>0</v>
      </c>
      <c r="X28" s="15">
        <f t="shared" si="5"/>
        <v>0</v>
      </c>
      <c r="Y28" s="16"/>
    </row>
    <row r="29" spans="1:25">
      <c r="A29" s="11">
        <v>27</v>
      </c>
      <c r="B29" s="46"/>
      <c r="C29" s="46"/>
      <c r="D29" s="12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4">
        <f t="shared" si="0"/>
        <v>0</v>
      </c>
      <c r="T29" s="14">
        <f t="shared" si="1"/>
        <v>0</v>
      </c>
      <c r="U29" s="14">
        <f t="shared" si="2"/>
        <v>0</v>
      </c>
      <c r="V29" s="14">
        <f t="shared" si="3"/>
        <v>0</v>
      </c>
      <c r="W29" s="14">
        <f t="shared" si="4"/>
        <v>0</v>
      </c>
      <c r="X29" s="15">
        <f t="shared" si="5"/>
        <v>0</v>
      </c>
      <c r="Y29" s="16"/>
    </row>
    <row r="30" spans="1:25" ht="30" customHeight="1">
      <c r="A30" s="11">
        <v>28</v>
      </c>
      <c r="B30" s="45"/>
      <c r="C30" s="46"/>
      <c r="D30" s="12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4">
        <f t="shared" si="0"/>
        <v>0</v>
      </c>
      <c r="T30" s="14">
        <f t="shared" si="1"/>
        <v>0</v>
      </c>
      <c r="U30" s="14">
        <f t="shared" si="2"/>
        <v>0</v>
      </c>
      <c r="V30" s="14">
        <f t="shared" si="3"/>
        <v>0</v>
      </c>
      <c r="W30" s="14">
        <f t="shared" si="4"/>
        <v>0</v>
      </c>
      <c r="X30" s="15">
        <f t="shared" si="5"/>
        <v>0</v>
      </c>
      <c r="Y30" s="16"/>
    </row>
    <row r="31" spans="1:25" ht="30" customHeight="1">
      <c r="A31" s="11">
        <v>29</v>
      </c>
      <c r="B31" s="45"/>
      <c r="C31" s="46"/>
      <c r="D31" s="12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4">
        <f t="shared" si="0"/>
        <v>0</v>
      </c>
      <c r="T31" s="14">
        <f t="shared" si="1"/>
        <v>0</v>
      </c>
      <c r="U31" s="14">
        <f t="shared" si="2"/>
        <v>0</v>
      </c>
      <c r="V31" s="14">
        <f t="shared" si="3"/>
        <v>0</v>
      </c>
      <c r="W31" s="14">
        <f t="shared" si="4"/>
        <v>0</v>
      </c>
      <c r="X31" s="15">
        <f t="shared" si="5"/>
        <v>0</v>
      </c>
      <c r="Y31" s="16" t="s">
        <v>286</v>
      </c>
    </row>
    <row r="32" spans="1:25" ht="30" customHeight="1">
      <c r="A32" s="11">
        <v>30</v>
      </c>
      <c r="B32" s="45"/>
      <c r="C32" s="46"/>
      <c r="D32" s="12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4">
        <f t="shared" si="0"/>
        <v>0</v>
      </c>
      <c r="T32" s="14">
        <f t="shared" si="1"/>
        <v>0</v>
      </c>
      <c r="U32" s="14">
        <f t="shared" si="2"/>
        <v>0</v>
      </c>
      <c r="V32" s="14">
        <f t="shared" si="3"/>
        <v>0</v>
      </c>
      <c r="W32" s="14">
        <f t="shared" si="4"/>
        <v>0</v>
      </c>
      <c r="X32" s="15">
        <f t="shared" si="5"/>
        <v>0</v>
      </c>
      <c r="Y32" s="16"/>
    </row>
    <row r="33" spans="1:25" ht="30" customHeight="1">
      <c r="A33" s="11">
        <v>31</v>
      </c>
      <c r="B33" s="45"/>
      <c r="C33" s="46"/>
      <c r="D33" s="12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4">
        <f t="shared" si="0"/>
        <v>0</v>
      </c>
      <c r="T33" s="14">
        <f t="shared" si="1"/>
        <v>0</v>
      </c>
      <c r="U33" s="14">
        <f t="shared" si="2"/>
        <v>0</v>
      </c>
      <c r="V33" s="14">
        <f t="shared" si="3"/>
        <v>0</v>
      </c>
      <c r="W33" s="14">
        <f t="shared" si="4"/>
        <v>0</v>
      </c>
      <c r="X33" s="15">
        <f t="shared" si="5"/>
        <v>0</v>
      </c>
      <c r="Y33" s="16" t="s">
        <v>287</v>
      </c>
    </row>
    <row r="34" spans="1:25" ht="30" customHeight="1">
      <c r="A34" s="11">
        <v>32</v>
      </c>
      <c r="B34" s="45"/>
      <c r="C34" s="46"/>
      <c r="D34" s="12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4">
        <f t="shared" si="0"/>
        <v>0</v>
      </c>
      <c r="T34" s="14">
        <f t="shared" si="1"/>
        <v>0</v>
      </c>
      <c r="U34" s="14">
        <f t="shared" si="2"/>
        <v>0</v>
      </c>
      <c r="V34" s="14">
        <f t="shared" si="3"/>
        <v>0</v>
      </c>
      <c r="W34" s="14">
        <f t="shared" si="4"/>
        <v>0</v>
      </c>
      <c r="X34" s="15">
        <f t="shared" si="5"/>
        <v>0</v>
      </c>
      <c r="Y34" s="16"/>
    </row>
    <row r="35" spans="1:25" ht="30" customHeight="1">
      <c r="A35" s="11">
        <v>33</v>
      </c>
      <c r="B35" s="45"/>
      <c r="C35" s="46"/>
      <c r="D35" s="12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4">
        <f t="shared" ref="S35:S66" si="6">IF(SUM(E35:R35)&gt;0,1,0)</f>
        <v>0</v>
      </c>
      <c r="T35" s="14">
        <f t="shared" ref="T35:T66" si="7">IF(MAX(G35,H35,I35,J35,K35,M35,N35)&gt;0,1,0)</f>
        <v>0</v>
      </c>
      <c r="U35" s="14">
        <f t="shared" ref="U35:U66" si="8">IF(MAX(E35,F35,L35,O35,Q35)&gt;0,1,0)</f>
        <v>0</v>
      </c>
      <c r="V35" s="14">
        <f t="shared" ref="V35:V66" si="9">IF(P35&gt;0,1,0)</f>
        <v>0</v>
      </c>
      <c r="W35" s="14">
        <f t="shared" si="4"/>
        <v>0</v>
      </c>
      <c r="X35" s="15">
        <f t="shared" ref="X35:X66" si="10">SUMPRODUCT((E35:R35=1)*0.3)+SUMPRODUCT((E35:R35=2)*0.7)+SUMPRODUCT((E35:R35=3)*1.5)</f>
        <v>0</v>
      </c>
      <c r="Y35" s="16"/>
    </row>
    <row r="36" spans="1:25" ht="30" customHeight="1">
      <c r="A36" s="11">
        <v>34</v>
      </c>
      <c r="B36" s="45"/>
      <c r="C36" s="46"/>
      <c r="D36" s="12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4">
        <f t="shared" si="6"/>
        <v>0</v>
      </c>
      <c r="T36" s="14">
        <f t="shared" si="7"/>
        <v>0</v>
      </c>
      <c r="U36" s="14">
        <f t="shared" si="8"/>
        <v>0</v>
      </c>
      <c r="V36" s="14">
        <f t="shared" si="9"/>
        <v>0</v>
      </c>
      <c r="W36" s="14">
        <f t="shared" si="4"/>
        <v>0</v>
      </c>
      <c r="X36" s="15">
        <f t="shared" si="10"/>
        <v>0</v>
      </c>
      <c r="Y36" s="16" t="s">
        <v>313</v>
      </c>
    </row>
    <row r="37" spans="1:25" ht="16">
      <c r="A37" s="11">
        <v>35</v>
      </c>
      <c r="B37" s="45"/>
      <c r="C37" s="46"/>
      <c r="D37" s="12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4">
        <f t="shared" si="6"/>
        <v>0</v>
      </c>
      <c r="T37" s="14">
        <f t="shared" si="7"/>
        <v>0</v>
      </c>
      <c r="U37" s="14">
        <f t="shared" si="8"/>
        <v>0</v>
      </c>
      <c r="V37" s="14">
        <f t="shared" si="9"/>
        <v>0</v>
      </c>
      <c r="W37" s="14">
        <f t="shared" si="4"/>
        <v>0</v>
      </c>
      <c r="X37" s="15">
        <f t="shared" si="10"/>
        <v>0</v>
      </c>
      <c r="Y37" s="16" t="s">
        <v>288</v>
      </c>
    </row>
    <row r="38" spans="1:25" ht="30" customHeight="1">
      <c r="A38" s="11">
        <v>36</v>
      </c>
      <c r="B38" s="45"/>
      <c r="C38" s="46"/>
      <c r="D38" s="12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4">
        <f t="shared" si="6"/>
        <v>0</v>
      </c>
      <c r="T38" s="14">
        <f t="shared" si="7"/>
        <v>0</v>
      </c>
      <c r="U38" s="14">
        <f t="shared" si="8"/>
        <v>0</v>
      </c>
      <c r="V38" s="14">
        <f t="shared" si="9"/>
        <v>0</v>
      </c>
      <c r="W38" s="14">
        <f t="shared" si="4"/>
        <v>0</v>
      </c>
      <c r="X38" s="15">
        <f t="shared" si="10"/>
        <v>0</v>
      </c>
      <c r="Y38" s="16" t="s">
        <v>289</v>
      </c>
    </row>
    <row r="39" spans="1:25" ht="50" customHeight="1">
      <c r="A39" s="11">
        <v>37</v>
      </c>
      <c r="B39" s="45"/>
      <c r="C39" s="46"/>
      <c r="D39" s="12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4">
        <f t="shared" si="6"/>
        <v>0</v>
      </c>
      <c r="T39" s="14">
        <f t="shared" si="7"/>
        <v>0</v>
      </c>
      <c r="U39" s="14">
        <f t="shared" si="8"/>
        <v>0</v>
      </c>
      <c r="V39" s="14">
        <f t="shared" si="9"/>
        <v>0</v>
      </c>
      <c r="W39" s="14">
        <f t="shared" si="4"/>
        <v>0</v>
      </c>
      <c r="X39" s="15">
        <f t="shared" si="10"/>
        <v>0</v>
      </c>
      <c r="Y39" s="16"/>
    </row>
    <row r="40" spans="1:25" ht="30" customHeight="1">
      <c r="A40" s="11">
        <v>38</v>
      </c>
      <c r="B40" s="45"/>
      <c r="C40" s="46"/>
      <c r="D40" s="12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4">
        <f t="shared" si="6"/>
        <v>0</v>
      </c>
      <c r="T40" s="14">
        <f t="shared" si="7"/>
        <v>0</v>
      </c>
      <c r="U40" s="14">
        <f t="shared" si="8"/>
        <v>0</v>
      </c>
      <c r="V40" s="14">
        <f t="shared" si="9"/>
        <v>0</v>
      </c>
      <c r="W40" s="14">
        <f t="shared" si="4"/>
        <v>0</v>
      </c>
      <c r="X40" s="15">
        <f t="shared" si="10"/>
        <v>0</v>
      </c>
      <c r="Y40" s="16" t="s">
        <v>290</v>
      </c>
    </row>
    <row r="41" spans="1:25" ht="30" customHeight="1">
      <c r="A41" s="11">
        <v>39</v>
      </c>
      <c r="B41" s="45"/>
      <c r="C41" s="46"/>
      <c r="D41" s="12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4">
        <f t="shared" si="6"/>
        <v>0</v>
      </c>
      <c r="T41" s="14">
        <f t="shared" si="7"/>
        <v>0</v>
      </c>
      <c r="U41" s="14">
        <f t="shared" si="8"/>
        <v>0</v>
      </c>
      <c r="V41" s="14">
        <f t="shared" si="9"/>
        <v>0</v>
      </c>
      <c r="W41" s="14">
        <f t="shared" si="4"/>
        <v>0</v>
      </c>
      <c r="X41" s="15">
        <f t="shared" si="10"/>
        <v>0</v>
      </c>
      <c r="Y41" s="16"/>
    </row>
    <row r="42" spans="1:25" ht="30" customHeight="1">
      <c r="A42" s="11">
        <v>40</v>
      </c>
      <c r="B42" s="45"/>
      <c r="C42" s="46"/>
      <c r="D42" s="12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4">
        <f t="shared" si="6"/>
        <v>0</v>
      </c>
      <c r="T42" s="14">
        <f t="shared" si="7"/>
        <v>0</v>
      </c>
      <c r="U42" s="14">
        <f t="shared" si="8"/>
        <v>0</v>
      </c>
      <c r="V42" s="14">
        <f t="shared" si="9"/>
        <v>0</v>
      </c>
      <c r="W42" s="14">
        <f t="shared" si="4"/>
        <v>0</v>
      </c>
      <c r="X42" s="15">
        <f t="shared" si="10"/>
        <v>0</v>
      </c>
      <c r="Y42" s="16" t="s">
        <v>291</v>
      </c>
    </row>
    <row r="43" spans="1:25" ht="32">
      <c r="A43" s="11">
        <v>41</v>
      </c>
      <c r="B43" s="45"/>
      <c r="C43" s="46"/>
      <c r="D43" s="12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4">
        <f t="shared" si="6"/>
        <v>0</v>
      </c>
      <c r="T43" s="14">
        <f t="shared" si="7"/>
        <v>0</v>
      </c>
      <c r="U43" s="14">
        <f t="shared" si="8"/>
        <v>0</v>
      </c>
      <c r="V43" s="14">
        <f t="shared" si="9"/>
        <v>0</v>
      </c>
      <c r="W43" s="14">
        <f t="shared" si="4"/>
        <v>0</v>
      </c>
      <c r="X43" s="15">
        <f t="shared" si="10"/>
        <v>0</v>
      </c>
      <c r="Y43" s="16" t="s">
        <v>292</v>
      </c>
    </row>
    <row r="44" spans="1:25" ht="30" customHeight="1">
      <c r="A44" s="11">
        <v>42</v>
      </c>
      <c r="B44" s="45"/>
      <c r="C44" s="46"/>
      <c r="D44" s="12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4">
        <f t="shared" si="6"/>
        <v>0</v>
      </c>
      <c r="T44" s="14">
        <f t="shared" si="7"/>
        <v>0</v>
      </c>
      <c r="U44" s="14">
        <f t="shared" si="8"/>
        <v>0</v>
      </c>
      <c r="V44" s="14">
        <f t="shared" si="9"/>
        <v>0</v>
      </c>
      <c r="W44" s="14">
        <f t="shared" si="4"/>
        <v>0</v>
      </c>
      <c r="X44" s="15">
        <f t="shared" si="10"/>
        <v>0</v>
      </c>
      <c r="Y44" s="16"/>
    </row>
    <row r="45" spans="1:25" ht="30" customHeight="1">
      <c r="A45" s="11">
        <v>43</v>
      </c>
      <c r="B45" s="45"/>
      <c r="C45" s="48"/>
      <c r="D45" s="12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4">
        <f t="shared" si="6"/>
        <v>0</v>
      </c>
      <c r="T45" s="14">
        <f t="shared" si="7"/>
        <v>0</v>
      </c>
      <c r="U45" s="14">
        <f t="shared" si="8"/>
        <v>0</v>
      </c>
      <c r="V45" s="14">
        <f t="shared" si="9"/>
        <v>0</v>
      </c>
      <c r="W45" s="14">
        <f t="shared" si="4"/>
        <v>0</v>
      </c>
      <c r="X45" s="15">
        <f t="shared" si="10"/>
        <v>0</v>
      </c>
      <c r="Y45" s="16"/>
    </row>
    <row r="46" spans="1:25">
      <c r="A46" s="11">
        <v>44</v>
      </c>
      <c r="B46" s="45"/>
      <c r="C46" s="46"/>
      <c r="D46" s="12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4">
        <f t="shared" si="6"/>
        <v>0</v>
      </c>
      <c r="T46" s="14">
        <f t="shared" si="7"/>
        <v>0</v>
      </c>
      <c r="U46" s="14">
        <f t="shared" si="8"/>
        <v>0</v>
      </c>
      <c r="V46" s="14">
        <f t="shared" si="9"/>
        <v>0</v>
      </c>
      <c r="W46" s="14">
        <f t="shared" si="4"/>
        <v>0</v>
      </c>
      <c r="X46" s="15">
        <f t="shared" si="10"/>
        <v>0</v>
      </c>
      <c r="Y46" s="16"/>
    </row>
    <row r="47" spans="1:25" ht="16">
      <c r="A47" s="11">
        <v>45</v>
      </c>
      <c r="B47" s="45"/>
      <c r="C47" s="46"/>
      <c r="D47" s="12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4">
        <f t="shared" si="6"/>
        <v>0</v>
      </c>
      <c r="T47" s="14">
        <f t="shared" si="7"/>
        <v>0</v>
      </c>
      <c r="U47" s="14">
        <f t="shared" si="8"/>
        <v>0</v>
      </c>
      <c r="V47" s="14">
        <f t="shared" si="9"/>
        <v>0</v>
      </c>
      <c r="W47" s="14">
        <f t="shared" si="4"/>
        <v>0</v>
      </c>
      <c r="X47" s="15">
        <f t="shared" si="10"/>
        <v>0</v>
      </c>
      <c r="Y47" s="16" t="s">
        <v>293</v>
      </c>
    </row>
    <row r="48" spans="1:25" ht="30" customHeight="1">
      <c r="A48" s="11">
        <v>46</v>
      </c>
      <c r="B48" s="45"/>
      <c r="C48" s="48"/>
      <c r="D48" s="12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4">
        <f t="shared" si="6"/>
        <v>0</v>
      </c>
      <c r="T48" s="14">
        <f t="shared" si="7"/>
        <v>0</v>
      </c>
      <c r="U48" s="14">
        <f t="shared" si="8"/>
        <v>0</v>
      </c>
      <c r="V48" s="14">
        <f t="shared" si="9"/>
        <v>0</v>
      </c>
      <c r="W48" s="14">
        <f t="shared" si="4"/>
        <v>0</v>
      </c>
      <c r="X48" s="15">
        <f t="shared" si="10"/>
        <v>0</v>
      </c>
      <c r="Y48" s="16"/>
    </row>
    <row r="49" spans="1:25" ht="30" customHeight="1">
      <c r="A49" s="11">
        <v>47</v>
      </c>
      <c r="B49" s="45"/>
      <c r="C49" s="46"/>
      <c r="D49" s="12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4">
        <f t="shared" si="6"/>
        <v>0</v>
      </c>
      <c r="T49" s="14">
        <f t="shared" si="7"/>
        <v>0</v>
      </c>
      <c r="U49" s="14">
        <f t="shared" si="8"/>
        <v>0</v>
      </c>
      <c r="V49" s="14">
        <f t="shared" si="9"/>
        <v>0</v>
      </c>
      <c r="W49" s="14">
        <f t="shared" si="4"/>
        <v>0</v>
      </c>
      <c r="X49" s="15">
        <f t="shared" si="10"/>
        <v>0</v>
      </c>
      <c r="Y49" s="16"/>
    </row>
    <row r="50" spans="1:25" ht="30" customHeight="1">
      <c r="A50" s="11">
        <v>48</v>
      </c>
      <c r="B50" s="45"/>
      <c r="C50" s="46"/>
      <c r="D50" s="12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4">
        <f t="shared" si="6"/>
        <v>0</v>
      </c>
      <c r="T50" s="14">
        <f t="shared" si="7"/>
        <v>0</v>
      </c>
      <c r="U50" s="14">
        <f t="shared" si="8"/>
        <v>0</v>
      </c>
      <c r="V50" s="14">
        <f t="shared" si="9"/>
        <v>0</v>
      </c>
      <c r="W50" s="14">
        <f t="shared" si="4"/>
        <v>0</v>
      </c>
      <c r="X50" s="15">
        <f t="shared" si="10"/>
        <v>0</v>
      </c>
      <c r="Y50" s="16"/>
    </row>
    <row r="51" spans="1:25" ht="30" customHeight="1">
      <c r="A51" s="11">
        <v>49</v>
      </c>
      <c r="B51" s="45"/>
      <c r="C51" s="46"/>
      <c r="D51" s="12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4">
        <f t="shared" si="6"/>
        <v>0</v>
      </c>
      <c r="T51" s="14">
        <f t="shared" si="7"/>
        <v>0</v>
      </c>
      <c r="U51" s="14">
        <f t="shared" si="8"/>
        <v>0</v>
      </c>
      <c r="V51" s="14">
        <f t="shared" si="9"/>
        <v>0</v>
      </c>
      <c r="W51" s="14">
        <f t="shared" si="4"/>
        <v>0</v>
      </c>
      <c r="X51" s="15">
        <f t="shared" si="10"/>
        <v>0</v>
      </c>
      <c r="Y51" s="16"/>
    </row>
    <row r="52" spans="1:25" ht="30" customHeight="1">
      <c r="A52" s="11">
        <v>50</v>
      </c>
      <c r="B52" s="45"/>
      <c r="C52" s="46"/>
      <c r="D52" s="12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4">
        <f t="shared" si="6"/>
        <v>0</v>
      </c>
      <c r="T52" s="14">
        <f t="shared" si="7"/>
        <v>0</v>
      </c>
      <c r="U52" s="14">
        <f t="shared" si="8"/>
        <v>0</v>
      </c>
      <c r="V52" s="14">
        <f t="shared" si="9"/>
        <v>0</v>
      </c>
      <c r="W52" s="14">
        <f t="shared" si="4"/>
        <v>0</v>
      </c>
      <c r="X52" s="15">
        <f t="shared" si="10"/>
        <v>0</v>
      </c>
      <c r="Y52" s="16"/>
    </row>
    <row r="53" spans="1:25" ht="30" customHeight="1">
      <c r="A53" s="11">
        <v>51</v>
      </c>
      <c r="B53" s="45"/>
      <c r="C53" s="48"/>
      <c r="D53" s="12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4">
        <f t="shared" si="6"/>
        <v>0</v>
      </c>
      <c r="T53" s="14">
        <f t="shared" si="7"/>
        <v>0</v>
      </c>
      <c r="U53" s="14">
        <f t="shared" si="8"/>
        <v>0</v>
      </c>
      <c r="V53" s="14">
        <f t="shared" si="9"/>
        <v>0</v>
      </c>
      <c r="W53" s="14">
        <f t="shared" si="4"/>
        <v>0</v>
      </c>
      <c r="X53" s="15">
        <f t="shared" si="10"/>
        <v>0</v>
      </c>
      <c r="Y53" s="16" t="s">
        <v>294</v>
      </c>
    </row>
    <row r="54" spans="1:25" ht="30" customHeight="1">
      <c r="A54" s="11">
        <v>52</v>
      </c>
      <c r="B54" s="45"/>
      <c r="C54" s="46"/>
      <c r="D54" s="12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4">
        <f t="shared" si="6"/>
        <v>0</v>
      </c>
      <c r="T54" s="14">
        <f t="shared" si="7"/>
        <v>0</v>
      </c>
      <c r="U54" s="14">
        <f t="shared" si="8"/>
        <v>0</v>
      </c>
      <c r="V54" s="14">
        <f t="shared" si="9"/>
        <v>0</v>
      </c>
      <c r="W54" s="14">
        <f t="shared" si="4"/>
        <v>0</v>
      </c>
      <c r="X54" s="15">
        <f t="shared" si="10"/>
        <v>0</v>
      </c>
      <c r="Y54" s="16"/>
    </row>
    <row r="55" spans="1:25" ht="30" customHeight="1">
      <c r="A55" s="11">
        <v>53</v>
      </c>
      <c r="B55" s="45"/>
      <c r="C55" s="46"/>
      <c r="D55" s="12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4">
        <f t="shared" si="6"/>
        <v>0</v>
      </c>
      <c r="T55" s="14">
        <f t="shared" si="7"/>
        <v>0</v>
      </c>
      <c r="U55" s="14">
        <f t="shared" si="8"/>
        <v>0</v>
      </c>
      <c r="V55" s="14">
        <f t="shared" si="9"/>
        <v>0</v>
      </c>
      <c r="W55" s="14">
        <f t="shared" si="4"/>
        <v>0</v>
      </c>
      <c r="X55" s="15">
        <f t="shared" si="10"/>
        <v>0</v>
      </c>
      <c r="Y55" s="16" t="s">
        <v>275</v>
      </c>
    </row>
    <row r="56" spans="1:25" ht="30" customHeight="1">
      <c r="A56" s="11">
        <v>54</v>
      </c>
      <c r="B56" s="45"/>
      <c r="C56" s="46"/>
      <c r="D56" s="12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4">
        <f t="shared" si="6"/>
        <v>0</v>
      </c>
      <c r="T56" s="14">
        <f t="shared" si="7"/>
        <v>0</v>
      </c>
      <c r="U56" s="14">
        <f t="shared" si="8"/>
        <v>0</v>
      </c>
      <c r="V56" s="14">
        <f t="shared" si="9"/>
        <v>0</v>
      </c>
      <c r="W56" s="14">
        <f t="shared" si="4"/>
        <v>0</v>
      </c>
      <c r="X56" s="15">
        <f t="shared" si="10"/>
        <v>0</v>
      </c>
      <c r="Y56" s="16" t="s">
        <v>295</v>
      </c>
    </row>
    <row r="57" spans="1:25" ht="30" customHeight="1">
      <c r="A57" s="11">
        <v>55</v>
      </c>
      <c r="B57" s="45"/>
      <c r="C57" s="48"/>
      <c r="D57" s="12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4">
        <f t="shared" si="6"/>
        <v>0</v>
      </c>
      <c r="T57" s="14">
        <f t="shared" si="7"/>
        <v>0</v>
      </c>
      <c r="U57" s="14">
        <f t="shared" si="8"/>
        <v>0</v>
      </c>
      <c r="V57" s="14">
        <f t="shared" si="9"/>
        <v>0</v>
      </c>
      <c r="W57" s="14">
        <f t="shared" si="4"/>
        <v>0</v>
      </c>
      <c r="X57" s="15">
        <f t="shared" si="10"/>
        <v>0</v>
      </c>
      <c r="Y57" s="16"/>
    </row>
    <row r="58" spans="1:25" ht="30" customHeight="1">
      <c r="A58" s="11">
        <v>56</v>
      </c>
      <c r="B58" s="45"/>
      <c r="C58" s="46"/>
      <c r="D58" s="12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4">
        <f t="shared" si="6"/>
        <v>0</v>
      </c>
      <c r="T58" s="14">
        <f t="shared" si="7"/>
        <v>0</v>
      </c>
      <c r="U58" s="14">
        <f t="shared" si="8"/>
        <v>0</v>
      </c>
      <c r="V58" s="14">
        <f t="shared" si="9"/>
        <v>0</v>
      </c>
      <c r="W58" s="14">
        <f t="shared" si="4"/>
        <v>0</v>
      </c>
      <c r="X58" s="15">
        <f t="shared" si="10"/>
        <v>0</v>
      </c>
      <c r="Y58" s="16"/>
    </row>
    <row r="59" spans="1:25" ht="30" customHeight="1">
      <c r="A59" s="11">
        <v>57</v>
      </c>
      <c r="B59" s="45"/>
      <c r="C59" s="46"/>
      <c r="D59" s="12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4">
        <f t="shared" si="6"/>
        <v>0</v>
      </c>
      <c r="T59" s="14">
        <f t="shared" si="7"/>
        <v>0</v>
      </c>
      <c r="U59" s="14">
        <f t="shared" si="8"/>
        <v>0</v>
      </c>
      <c r="V59" s="14">
        <f t="shared" si="9"/>
        <v>0</v>
      </c>
      <c r="W59" s="14">
        <f t="shared" si="4"/>
        <v>0</v>
      </c>
      <c r="X59" s="15">
        <f t="shared" si="10"/>
        <v>0</v>
      </c>
      <c r="Y59" s="16" t="s">
        <v>296</v>
      </c>
    </row>
    <row r="60" spans="1:25" ht="30" customHeight="1">
      <c r="A60" s="11">
        <v>58</v>
      </c>
      <c r="B60" s="45"/>
      <c r="C60" s="46"/>
      <c r="D60" s="12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4">
        <f t="shared" si="6"/>
        <v>0</v>
      </c>
      <c r="T60" s="14">
        <f t="shared" si="7"/>
        <v>0</v>
      </c>
      <c r="U60" s="14">
        <f t="shared" si="8"/>
        <v>0</v>
      </c>
      <c r="V60" s="14">
        <f t="shared" si="9"/>
        <v>0</v>
      </c>
      <c r="W60" s="14">
        <f t="shared" si="4"/>
        <v>0</v>
      </c>
      <c r="X60" s="15">
        <f t="shared" si="10"/>
        <v>0</v>
      </c>
      <c r="Y60" s="16"/>
    </row>
    <row r="61" spans="1:25" ht="30" customHeight="1">
      <c r="A61" s="11">
        <v>59</v>
      </c>
      <c r="B61" s="45"/>
      <c r="C61" s="46"/>
      <c r="D61" s="12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4">
        <f t="shared" si="6"/>
        <v>0</v>
      </c>
      <c r="T61" s="14">
        <f t="shared" si="7"/>
        <v>0</v>
      </c>
      <c r="U61" s="14">
        <f t="shared" si="8"/>
        <v>0</v>
      </c>
      <c r="V61" s="14">
        <f t="shared" si="9"/>
        <v>0</v>
      </c>
      <c r="W61" s="14">
        <f t="shared" si="4"/>
        <v>0</v>
      </c>
      <c r="X61" s="15">
        <f t="shared" si="10"/>
        <v>0</v>
      </c>
      <c r="Y61" s="16"/>
    </row>
    <row r="62" spans="1:25" ht="30" customHeight="1">
      <c r="A62" s="11">
        <v>60</v>
      </c>
      <c r="B62" s="45"/>
      <c r="C62" s="46"/>
      <c r="D62" s="12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4">
        <f t="shared" si="6"/>
        <v>0</v>
      </c>
      <c r="T62" s="14">
        <f t="shared" si="7"/>
        <v>0</v>
      </c>
      <c r="U62" s="14">
        <f t="shared" si="8"/>
        <v>0</v>
      </c>
      <c r="V62" s="14">
        <f t="shared" si="9"/>
        <v>0</v>
      </c>
      <c r="W62" s="14">
        <f t="shared" si="4"/>
        <v>0</v>
      </c>
      <c r="X62" s="15">
        <f t="shared" si="10"/>
        <v>0</v>
      </c>
      <c r="Y62" s="16" t="s">
        <v>297</v>
      </c>
    </row>
    <row r="63" spans="1:25" ht="30" customHeight="1">
      <c r="A63" s="11">
        <v>61</v>
      </c>
      <c r="B63" s="45"/>
      <c r="C63" s="46"/>
      <c r="D63" s="12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4">
        <f t="shared" si="6"/>
        <v>0</v>
      </c>
      <c r="T63" s="14">
        <f t="shared" si="7"/>
        <v>0</v>
      </c>
      <c r="U63" s="14">
        <f t="shared" si="8"/>
        <v>0</v>
      </c>
      <c r="V63" s="14">
        <f t="shared" si="9"/>
        <v>0</v>
      </c>
      <c r="W63" s="14">
        <f t="shared" si="4"/>
        <v>0</v>
      </c>
      <c r="X63" s="15">
        <f t="shared" si="10"/>
        <v>0</v>
      </c>
      <c r="Y63" s="16" t="s">
        <v>447</v>
      </c>
    </row>
    <row r="64" spans="1:25" ht="30" customHeight="1">
      <c r="A64" s="11">
        <v>62</v>
      </c>
      <c r="B64" s="45"/>
      <c r="C64" s="46"/>
      <c r="D64" s="12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4">
        <f t="shared" si="6"/>
        <v>0</v>
      </c>
      <c r="T64" s="14">
        <f t="shared" si="7"/>
        <v>0</v>
      </c>
      <c r="U64" s="14">
        <f t="shared" si="8"/>
        <v>0</v>
      </c>
      <c r="V64" s="14">
        <f t="shared" si="9"/>
        <v>0</v>
      </c>
      <c r="W64" s="14">
        <f t="shared" si="4"/>
        <v>0</v>
      </c>
      <c r="X64" s="15">
        <f t="shared" si="10"/>
        <v>0</v>
      </c>
      <c r="Y64" s="16" t="s">
        <v>299</v>
      </c>
    </row>
    <row r="65" spans="1:25" ht="30" customHeight="1">
      <c r="A65" s="11">
        <v>63</v>
      </c>
      <c r="B65" s="45"/>
      <c r="C65" s="46"/>
      <c r="D65" s="12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4">
        <f t="shared" si="6"/>
        <v>0</v>
      </c>
      <c r="T65" s="14">
        <f t="shared" si="7"/>
        <v>0</v>
      </c>
      <c r="U65" s="14">
        <f t="shared" si="8"/>
        <v>0</v>
      </c>
      <c r="V65" s="14">
        <f t="shared" si="9"/>
        <v>0</v>
      </c>
      <c r="W65" s="14">
        <f t="shared" si="4"/>
        <v>0</v>
      </c>
      <c r="X65" s="15">
        <f t="shared" si="10"/>
        <v>0</v>
      </c>
      <c r="Y65" s="16"/>
    </row>
    <row r="66" spans="1:25" ht="30" customHeight="1">
      <c r="A66" s="11">
        <v>64</v>
      </c>
      <c r="B66" s="45"/>
      <c r="C66" s="46"/>
      <c r="D66" s="12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4">
        <f t="shared" si="6"/>
        <v>0</v>
      </c>
      <c r="T66" s="14">
        <f t="shared" si="7"/>
        <v>0</v>
      </c>
      <c r="U66" s="14">
        <f t="shared" si="8"/>
        <v>0</v>
      </c>
      <c r="V66" s="14">
        <f t="shared" si="9"/>
        <v>0</v>
      </c>
      <c r="W66" s="14">
        <f t="shared" si="4"/>
        <v>0</v>
      </c>
      <c r="X66" s="15">
        <f t="shared" si="10"/>
        <v>0</v>
      </c>
      <c r="Y66" s="16"/>
    </row>
    <row r="67" spans="1:25" ht="30" customHeight="1">
      <c r="A67" s="11">
        <v>65</v>
      </c>
      <c r="B67" s="46"/>
      <c r="C67" s="46"/>
      <c r="D67" s="12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4">
        <f t="shared" ref="S67:S98" si="11">IF(SUM(E67:R67)&gt;0,1,0)</f>
        <v>0</v>
      </c>
      <c r="T67" s="14">
        <f t="shared" ref="T67:T98" si="12">IF(MAX(G67,H67,I67,J67,K67,M67,N67)&gt;0,1,0)</f>
        <v>0</v>
      </c>
      <c r="U67" s="14">
        <f t="shared" ref="U67:U98" si="13">IF(MAX(E67,F67,L67,O67,Q67)&gt;0,1,0)</f>
        <v>0</v>
      </c>
      <c r="V67" s="14">
        <f t="shared" ref="V67:V98" si="14">IF(P67&gt;0,1,0)</f>
        <v>0</v>
      </c>
      <c r="W67" s="14">
        <f t="shared" ref="W67:W130" si="15">IF(AND(B67&lt;&gt;"",S67=0),1,0)</f>
        <v>0</v>
      </c>
      <c r="X67" s="15">
        <f t="shared" ref="X67:X98" si="16">SUMPRODUCT((E67:R67=1)*0.3)+SUMPRODUCT((E67:R67=2)*0.7)+SUMPRODUCT((E67:R67=3)*1.5)</f>
        <v>0</v>
      </c>
      <c r="Y67" s="16"/>
    </row>
    <row r="68" spans="1:25" ht="30" customHeight="1">
      <c r="A68" s="11">
        <v>66</v>
      </c>
      <c r="B68" s="46"/>
      <c r="C68" s="46"/>
      <c r="D68" s="12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4">
        <f t="shared" si="11"/>
        <v>0</v>
      </c>
      <c r="T68" s="14">
        <f t="shared" si="12"/>
        <v>0</v>
      </c>
      <c r="U68" s="14">
        <f t="shared" si="13"/>
        <v>0</v>
      </c>
      <c r="V68" s="14">
        <f t="shared" si="14"/>
        <v>0</v>
      </c>
      <c r="W68" s="14">
        <f t="shared" si="15"/>
        <v>0</v>
      </c>
      <c r="X68" s="15">
        <f t="shared" si="16"/>
        <v>0</v>
      </c>
      <c r="Y68" s="16"/>
    </row>
    <row r="69" spans="1:25" ht="32">
      <c r="A69" s="11">
        <v>67</v>
      </c>
      <c r="B69" s="46"/>
      <c r="C69" s="46"/>
      <c r="D69" s="12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4">
        <f t="shared" si="11"/>
        <v>0</v>
      </c>
      <c r="T69" s="14">
        <f t="shared" si="12"/>
        <v>0</v>
      </c>
      <c r="U69" s="14">
        <f t="shared" si="13"/>
        <v>0</v>
      </c>
      <c r="V69" s="14">
        <f t="shared" si="14"/>
        <v>0</v>
      </c>
      <c r="W69" s="14">
        <f t="shared" si="15"/>
        <v>0</v>
      </c>
      <c r="X69" s="15">
        <f t="shared" si="16"/>
        <v>0</v>
      </c>
      <c r="Y69" s="16" t="s">
        <v>300</v>
      </c>
    </row>
    <row r="70" spans="1:25" ht="30" customHeight="1">
      <c r="A70" s="11">
        <v>68</v>
      </c>
      <c r="B70" s="46"/>
      <c r="C70" s="46"/>
      <c r="D70" s="12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4">
        <f t="shared" si="11"/>
        <v>0</v>
      </c>
      <c r="T70" s="14">
        <f t="shared" si="12"/>
        <v>0</v>
      </c>
      <c r="U70" s="14">
        <f t="shared" si="13"/>
        <v>0</v>
      </c>
      <c r="V70" s="14">
        <f t="shared" si="14"/>
        <v>0</v>
      </c>
      <c r="W70" s="14">
        <f t="shared" si="15"/>
        <v>0</v>
      </c>
      <c r="X70" s="15">
        <f t="shared" si="16"/>
        <v>0</v>
      </c>
      <c r="Y70" s="16" t="s">
        <v>301</v>
      </c>
    </row>
    <row r="71" spans="1:25" ht="30" customHeight="1">
      <c r="A71" s="11">
        <v>69</v>
      </c>
      <c r="B71" s="46"/>
      <c r="C71" s="46"/>
      <c r="D71" s="12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4">
        <f t="shared" si="11"/>
        <v>0</v>
      </c>
      <c r="T71" s="14">
        <f t="shared" si="12"/>
        <v>0</v>
      </c>
      <c r="U71" s="14">
        <f t="shared" si="13"/>
        <v>0</v>
      </c>
      <c r="V71" s="14">
        <f t="shared" si="14"/>
        <v>0</v>
      </c>
      <c r="W71" s="14">
        <f t="shared" si="15"/>
        <v>0</v>
      </c>
      <c r="X71" s="15">
        <f t="shared" si="16"/>
        <v>0</v>
      </c>
      <c r="Y71" s="16"/>
    </row>
    <row r="72" spans="1:25" ht="30" customHeight="1">
      <c r="A72" s="11">
        <v>70</v>
      </c>
      <c r="B72" s="46"/>
      <c r="C72" s="46"/>
      <c r="D72" s="12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4">
        <f t="shared" si="11"/>
        <v>0</v>
      </c>
      <c r="T72" s="14">
        <f t="shared" si="12"/>
        <v>0</v>
      </c>
      <c r="U72" s="14">
        <f t="shared" si="13"/>
        <v>0</v>
      </c>
      <c r="V72" s="14">
        <f t="shared" si="14"/>
        <v>0</v>
      </c>
      <c r="W72" s="14">
        <f t="shared" si="15"/>
        <v>0</v>
      </c>
      <c r="X72" s="15">
        <f t="shared" si="16"/>
        <v>0</v>
      </c>
      <c r="Y72" s="16" t="s">
        <v>302</v>
      </c>
    </row>
    <row r="73" spans="1:25" ht="30" customHeight="1">
      <c r="A73" s="11">
        <v>71</v>
      </c>
      <c r="B73" s="46"/>
      <c r="C73" s="46"/>
      <c r="D73" s="12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4">
        <f t="shared" si="11"/>
        <v>0</v>
      </c>
      <c r="T73" s="14">
        <f t="shared" si="12"/>
        <v>0</v>
      </c>
      <c r="U73" s="14">
        <f t="shared" si="13"/>
        <v>0</v>
      </c>
      <c r="V73" s="14">
        <f t="shared" si="14"/>
        <v>0</v>
      </c>
      <c r="W73" s="14">
        <f t="shared" si="15"/>
        <v>0</v>
      </c>
      <c r="X73" s="15">
        <f t="shared" si="16"/>
        <v>0</v>
      </c>
      <c r="Y73" s="16"/>
    </row>
    <row r="74" spans="1:25" ht="30" customHeight="1">
      <c r="A74" s="11">
        <v>72</v>
      </c>
      <c r="B74" s="46"/>
      <c r="C74" s="46"/>
      <c r="D74" s="12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4">
        <f t="shared" si="11"/>
        <v>0</v>
      </c>
      <c r="T74" s="14">
        <f t="shared" si="12"/>
        <v>0</v>
      </c>
      <c r="U74" s="14">
        <f t="shared" si="13"/>
        <v>0</v>
      </c>
      <c r="V74" s="14">
        <f t="shared" si="14"/>
        <v>0</v>
      </c>
      <c r="W74" s="14">
        <f t="shared" si="15"/>
        <v>0</v>
      </c>
      <c r="X74" s="15">
        <f t="shared" si="16"/>
        <v>0</v>
      </c>
      <c r="Y74" s="16" t="s">
        <v>303</v>
      </c>
    </row>
    <row r="75" spans="1:25">
      <c r="A75" s="11">
        <v>73</v>
      </c>
      <c r="B75" s="46"/>
      <c r="C75" s="46"/>
      <c r="D75" s="12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4">
        <f t="shared" si="11"/>
        <v>0</v>
      </c>
      <c r="T75" s="14">
        <f t="shared" si="12"/>
        <v>0</v>
      </c>
      <c r="U75" s="14">
        <f t="shared" si="13"/>
        <v>0</v>
      </c>
      <c r="V75" s="14">
        <f t="shared" si="14"/>
        <v>0</v>
      </c>
      <c r="W75" s="14">
        <f t="shared" si="15"/>
        <v>0</v>
      </c>
      <c r="X75" s="15">
        <f t="shared" si="16"/>
        <v>0</v>
      </c>
      <c r="Y75" s="16"/>
    </row>
    <row r="76" spans="1:25" ht="30" customHeight="1">
      <c r="A76" s="11">
        <v>74</v>
      </c>
      <c r="B76" s="46"/>
      <c r="C76" s="46"/>
      <c r="D76" s="12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4">
        <f t="shared" si="11"/>
        <v>0</v>
      </c>
      <c r="T76" s="14">
        <f t="shared" si="12"/>
        <v>0</v>
      </c>
      <c r="U76" s="14">
        <f t="shared" si="13"/>
        <v>0</v>
      </c>
      <c r="V76" s="14">
        <f t="shared" si="14"/>
        <v>0</v>
      </c>
      <c r="W76" s="14">
        <f t="shared" si="15"/>
        <v>0</v>
      </c>
      <c r="X76" s="15">
        <f t="shared" si="16"/>
        <v>0</v>
      </c>
      <c r="Y76" s="16"/>
    </row>
    <row r="77" spans="1:25" ht="30" customHeight="1">
      <c r="A77" s="11">
        <v>75</v>
      </c>
      <c r="B77" s="46"/>
      <c r="C77" s="46"/>
      <c r="D77" s="12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4">
        <f t="shared" si="11"/>
        <v>0</v>
      </c>
      <c r="T77" s="14">
        <f t="shared" si="12"/>
        <v>0</v>
      </c>
      <c r="U77" s="14">
        <f t="shared" si="13"/>
        <v>0</v>
      </c>
      <c r="V77" s="14">
        <f t="shared" si="14"/>
        <v>0</v>
      </c>
      <c r="W77" s="14">
        <f t="shared" si="15"/>
        <v>0</v>
      </c>
      <c r="X77" s="15">
        <f t="shared" si="16"/>
        <v>0</v>
      </c>
      <c r="Y77" s="16"/>
    </row>
    <row r="78" spans="1:25" ht="30" customHeight="1">
      <c r="A78" s="11">
        <v>76</v>
      </c>
      <c r="B78" s="46"/>
      <c r="C78" s="46"/>
      <c r="D78" s="12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4">
        <f t="shared" si="11"/>
        <v>0</v>
      </c>
      <c r="T78" s="14">
        <f t="shared" si="12"/>
        <v>0</v>
      </c>
      <c r="U78" s="14">
        <f t="shared" si="13"/>
        <v>0</v>
      </c>
      <c r="V78" s="14">
        <f t="shared" si="14"/>
        <v>0</v>
      </c>
      <c r="W78" s="14">
        <f t="shared" si="15"/>
        <v>0</v>
      </c>
      <c r="X78" s="15">
        <f t="shared" si="16"/>
        <v>0</v>
      </c>
      <c r="Y78" s="16"/>
    </row>
    <row r="79" spans="1:25" ht="30" customHeight="1">
      <c r="A79" s="11">
        <v>77</v>
      </c>
      <c r="B79" s="46"/>
      <c r="C79" s="46"/>
      <c r="D79" s="12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4">
        <f t="shared" si="11"/>
        <v>0</v>
      </c>
      <c r="T79" s="14">
        <f t="shared" si="12"/>
        <v>0</v>
      </c>
      <c r="U79" s="14">
        <f t="shared" si="13"/>
        <v>0</v>
      </c>
      <c r="V79" s="14">
        <f t="shared" si="14"/>
        <v>0</v>
      </c>
      <c r="W79" s="14">
        <f t="shared" si="15"/>
        <v>0</v>
      </c>
      <c r="X79" s="15">
        <f t="shared" si="16"/>
        <v>0</v>
      </c>
      <c r="Y79" s="16" t="s">
        <v>304</v>
      </c>
    </row>
    <row r="80" spans="1:25" ht="30" customHeight="1">
      <c r="A80" s="11">
        <v>78</v>
      </c>
      <c r="B80" s="46"/>
      <c r="C80" s="46"/>
      <c r="D80" s="12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4">
        <f t="shared" si="11"/>
        <v>0</v>
      </c>
      <c r="T80" s="14">
        <f t="shared" si="12"/>
        <v>0</v>
      </c>
      <c r="U80" s="14">
        <f t="shared" si="13"/>
        <v>0</v>
      </c>
      <c r="V80" s="14">
        <f t="shared" si="14"/>
        <v>0</v>
      </c>
      <c r="W80" s="14">
        <f t="shared" si="15"/>
        <v>0</v>
      </c>
      <c r="X80" s="15">
        <f t="shared" si="16"/>
        <v>0</v>
      </c>
      <c r="Y80" s="16" t="s">
        <v>305</v>
      </c>
    </row>
    <row r="81" spans="1:25" ht="30" customHeight="1">
      <c r="A81" s="11">
        <v>79</v>
      </c>
      <c r="B81" s="46"/>
      <c r="C81" s="46"/>
      <c r="D81" s="12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4">
        <f t="shared" si="11"/>
        <v>0</v>
      </c>
      <c r="T81" s="14">
        <f t="shared" si="12"/>
        <v>0</v>
      </c>
      <c r="U81" s="14">
        <f t="shared" si="13"/>
        <v>0</v>
      </c>
      <c r="V81" s="14">
        <f t="shared" si="14"/>
        <v>0</v>
      </c>
      <c r="W81" s="14">
        <f t="shared" si="15"/>
        <v>0</v>
      </c>
      <c r="X81" s="15">
        <f t="shared" si="16"/>
        <v>0</v>
      </c>
      <c r="Y81" s="16"/>
    </row>
    <row r="82" spans="1:25" ht="30" customHeight="1">
      <c r="A82" s="11">
        <v>80</v>
      </c>
      <c r="B82" s="46"/>
      <c r="C82" s="45"/>
      <c r="D82" s="12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4">
        <f t="shared" si="11"/>
        <v>0</v>
      </c>
      <c r="T82" s="14">
        <f t="shared" si="12"/>
        <v>0</v>
      </c>
      <c r="U82" s="14">
        <f t="shared" si="13"/>
        <v>0</v>
      </c>
      <c r="V82" s="14">
        <f t="shared" si="14"/>
        <v>0</v>
      </c>
      <c r="W82" s="14">
        <f t="shared" si="15"/>
        <v>0</v>
      </c>
      <c r="X82" s="15">
        <f t="shared" si="16"/>
        <v>0</v>
      </c>
      <c r="Y82" s="16" t="s">
        <v>306</v>
      </c>
    </row>
    <row r="83" spans="1:25" ht="30" customHeight="1">
      <c r="A83" s="11">
        <v>81</v>
      </c>
      <c r="B83" s="46"/>
      <c r="C83" s="46"/>
      <c r="D83" s="12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4">
        <f t="shared" si="11"/>
        <v>0</v>
      </c>
      <c r="T83" s="14">
        <f t="shared" si="12"/>
        <v>0</v>
      </c>
      <c r="U83" s="14">
        <f t="shared" si="13"/>
        <v>0</v>
      </c>
      <c r="V83" s="14">
        <f t="shared" si="14"/>
        <v>0</v>
      </c>
      <c r="W83" s="14">
        <f t="shared" si="15"/>
        <v>0</v>
      </c>
      <c r="X83" s="15">
        <f t="shared" si="16"/>
        <v>0</v>
      </c>
      <c r="Y83" s="16"/>
    </row>
    <row r="84" spans="1:25" ht="16">
      <c r="A84" s="11">
        <v>82</v>
      </c>
      <c r="B84" s="46"/>
      <c r="C84" s="46"/>
      <c r="D84" s="12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4">
        <f t="shared" si="11"/>
        <v>0</v>
      </c>
      <c r="T84" s="14">
        <f t="shared" si="12"/>
        <v>0</v>
      </c>
      <c r="U84" s="14">
        <f t="shared" si="13"/>
        <v>0</v>
      </c>
      <c r="V84" s="14">
        <f t="shared" si="14"/>
        <v>0</v>
      </c>
      <c r="W84" s="14">
        <f t="shared" si="15"/>
        <v>0</v>
      </c>
      <c r="X84" s="15">
        <f t="shared" si="16"/>
        <v>0</v>
      </c>
      <c r="Y84" s="16" t="s">
        <v>307</v>
      </c>
    </row>
    <row r="85" spans="1:25" ht="30" customHeight="1">
      <c r="A85" s="11">
        <v>83</v>
      </c>
      <c r="B85" s="46"/>
      <c r="C85" s="46"/>
      <c r="D85" s="12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4">
        <f t="shared" si="11"/>
        <v>0</v>
      </c>
      <c r="T85" s="14">
        <f t="shared" si="12"/>
        <v>0</v>
      </c>
      <c r="U85" s="14">
        <f t="shared" si="13"/>
        <v>0</v>
      </c>
      <c r="V85" s="14">
        <f t="shared" si="14"/>
        <v>0</v>
      </c>
      <c r="W85" s="14">
        <f t="shared" si="15"/>
        <v>0</v>
      </c>
      <c r="X85" s="15">
        <f t="shared" si="16"/>
        <v>0</v>
      </c>
      <c r="Y85" s="16"/>
    </row>
    <row r="86" spans="1:25" ht="30" customHeight="1">
      <c r="A86" s="11">
        <v>84</v>
      </c>
      <c r="B86" s="46"/>
      <c r="C86" s="46"/>
      <c r="D86" s="12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4">
        <f t="shared" si="11"/>
        <v>0</v>
      </c>
      <c r="T86" s="14">
        <f t="shared" si="12"/>
        <v>0</v>
      </c>
      <c r="U86" s="14">
        <f t="shared" si="13"/>
        <v>0</v>
      </c>
      <c r="V86" s="14">
        <f t="shared" si="14"/>
        <v>0</v>
      </c>
      <c r="W86" s="14">
        <f t="shared" si="15"/>
        <v>0</v>
      </c>
      <c r="X86" s="15">
        <f t="shared" si="16"/>
        <v>0</v>
      </c>
      <c r="Y86" s="16" t="s">
        <v>309</v>
      </c>
    </row>
    <row r="87" spans="1:25" ht="32">
      <c r="A87" s="11">
        <v>85</v>
      </c>
      <c r="B87" s="46"/>
      <c r="C87" s="46"/>
      <c r="D87" s="12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4">
        <f t="shared" si="11"/>
        <v>0</v>
      </c>
      <c r="T87" s="14">
        <f t="shared" si="12"/>
        <v>0</v>
      </c>
      <c r="U87" s="14">
        <f t="shared" si="13"/>
        <v>0</v>
      </c>
      <c r="V87" s="14">
        <f t="shared" si="14"/>
        <v>0</v>
      </c>
      <c r="W87" s="14">
        <f t="shared" si="15"/>
        <v>0</v>
      </c>
      <c r="X87" s="15">
        <f t="shared" si="16"/>
        <v>0</v>
      </c>
      <c r="Y87" s="16" t="s">
        <v>310</v>
      </c>
    </row>
    <row r="88" spans="1:25" ht="16">
      <c r="A88" s="11">
        <v>86</v>
      </c>
      <c r="B88" s="46"/>
      <c r="C88" s="46"/>
      <c r="D88" s="12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4">
        <f t="shared" si="11"/>
        <v>0</v>
      </c>
      <c r="T88" s="14">
        <f t="shared" si="12"/>
        <v>0</v>
      </c>
      <c r="U88" s="14">
        <f t="shared" si="13"/>
        <v>0</v>
      </c>
      <c r="V88" s="14">
        <f t="shared" si="14"/>
        <v>0</v>
      </c>
      <c r="W88" s="14">
        <f t="shared" si="15"/>
        <v>0</v>
      </c>
      <c r="X88" s="15">
        <f t="shared" si="16"/>
        <v>0</v>
      </c>
      <c r="Y88" s="16" t="s">
        <v>311</v>
      </c>
    </row>
    <row r="89" spans="1:25" ht="30" customHeight="1">
      <c r="A89" s="11">
        <v>87</v>
      </c>
      <c r="B89" s="46"/>
      <c r="C89" s="48"/>
      <c r="D89" s="12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4">
        <f t="shared" si="11"/>
        <v>0</v>
      </c>
      <c r="T89" s="14">
        <f t="shared" si="12"/>
        <v>0</v>
      </c>
      <c r="U89" s="14">
        <f t="shared" si="13"/>
        <v>0</v>
      </c>
      <c r="V89" s="14">
        <f t="shared" si="14"/>
        <v>0</v>
      </c>
      <c r="W89" s="14">
        <f t="shared" si="15"/>
        <v>0</v>
      </c>
      <c r="X89" s="15">
        <f t="shared" si="16"/>
        <v>0</v>
      </c>
      <c r="Y89" s="16" t="s">
        <v>312</v>
      </c>
    </row>
    <row r="90" spans="1:25" ht="30" customHeight="1">
      <c r="A90" s="11">
        <v>88</v>
      </c>
      <c r="B90" s="46"/>
      <c r="C90" s="46"/>
      <c r="D90" s="12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4">
        <f t="shared" si="11"/>
        <v>0</v>
      </c>
      <c r="T90" s="14">
        <f t="shared" si="12"/>
        <v>0</v>
      </c>
      <c r="U90" s="14">
        <f t="shared" si="13"/>
        <v>0</v>
      </c>
      <c r="V90" s="14">
        <f t="shared" si="14"/>
        <v>0</v>
      </c>
      <c r="W90" s="14">
        <f t="shared" si="15"/>
        <v>0</v>
      </c>
      <c r="X90" s="15">
        <f t="shared" si="16"/>
        <v>0</v>
      </c>
      <c r="Y90" s="16" t="s">
        <v>313</v>
      </c>
    </row>
    <row r="91" spans="1:25" ht="30" customHeight="1">
      <c r="A91" s="11">
        <v>89</v>
      </c>
      <c r="B91" s="46"/>
      <c r="C91" s="46"/>
      <c r="D91" s="12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4">
        <f t="shared" si="11"/>
        <v>0</v>
      </c>
      <c r="T91" s="14">
        <f t="shared" si="12"/>
        <v>0</v>
      </c>
      <c r="U91" s="14">
        <f t="shared" si="13"/>
        <v>0</v>
      </c>
      <c r="V91" s="14">
        <f t="shared" si="14"/>
        <v>0</v>
      </c>
      <c r="W91" s="14">
        <f t="shared" si="15"/>
        <v>0</v>
      </c>
      <c r="X91" s="15">
        <f t="shared" si="16"/>
        <v>0</v>
      </c>
      <c r="Y91" s="16"/>
    </row>
    <row r="92" spans="1:25">
      <c r="A92" s="11">
        <v>90</v>
      </c>
      <c r="B92" s="46"/>
      <c r="C92" s="46"/>
      <c r="D92" s="12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4">
        <f t="shared" si="11"/>
        <v>0</v>
      </c>
      <c r="T92" s="14">
        <f t="shared" si="12"/>
        <v>0</v>
      </c>
      <c r="U92" s="14">
        <f t="shared" si="13"/>
        <v>0</v>
      </c>
      <c r="V92" s="14">
        <f t="shared" si="14"/>
        <v>0</v>
      </c>
      <c r="W92" s="14">
        <f t="shared" si="15"/>
        <v>0</v>
      </c>
      <c r="X92" s="15">
        <f t="shared" si="16"/>
        <v>0</v>
      </c>
      <c r="Y92" s="16"/>
    </row>
    <row r="93" spans="1:25" ht="30" customHeight="1">
      <c r="A93" s="11">
        <v>91</v>
      </c>
      <c r="B93" s="46"/>
      <c r="C93" s="46"/>
      <c r="D93" s="12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4">
        <f t="shared" si="11"/>
        <v>0</v>
      </c>
      <c r="T93" s="14">
        <f t="shared" si="12"/>
        <v>0</v>
      </c>
      <c r="U93" s="14">
        <f t="shared" si="13"/>
        <v>0</v>
      </c>
      <c r="V93" s="14">
        <f t="shared" si="14"/>
        <v>0</v>
      </c>
      <c r="W93" s="14">
        <f t="shared" si="15"/>
        <v>0</v>
      </c>
      <c r="X93" s="15">
        <f t="shared" si="16"/>
        <v>0</v>
      </c>
      <c r="Y93" s="16" t="s">
        <v>314</v>
      </c>
    </row>
    <row r="94" spans="1:25" ht="30" customHeight="1">
      <c r="A94" s="11">
        <v>92</v>
      </c>
      <c r="B94" s="46"/>
      <c r="C94" s="46"/>
      <c r="D94" s="12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4">
        <f t="shared" si="11"/>
        <v>0</v>
      </c>
      <c r="T94" s="14">
        <f t="shared" si="12"/>
        <v>0</v>
      </c>
      <c r="U94" s="14">
        <f t="shared" si="13"/>
        <v>0</v>
      </c>
      <c r="V94" s="14">
        <f t="shared" si="14"/>
        <v>0</v>
      </c>
      <c r="W94" s="14">
        <f t="shared" si="15"/>
        <v>0</v>
      </c>
      <c r="X94" s="15">
        <f t="shared" si="16"/>
        <v>0</v>
      </c>
      <c r="Y94" s="16"/>
    </row>
    <row r="95" spans="1:25" ht="30" customHeight="1">
      <c r="A95" s="11">
        <v>93</v>
      </c>
      <c r="B95" s="46"/>
      <c r="C95" s="46"/>
      <c r="D95" s="12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4">
        <f t="shared" si="11"/>
        <v>0</v>
      </c>
      <c r="T95" s="14">
        <f t="shared" si="12"/>
        <v>0</v>
      </c>
      <c r="U95" s="14">
        <f t="shared" si="13"/>
        <v>0</v>
      </c>
      <c r="V95" s="14">
        <f t="shared" si="14"/>
        <v>0</v>
      </c>
      <c r="W95" s="14">
        <f t="shared" si="15"/>
        <v>0</v>
      </c>
      <c r="X95" s="15">
        <f t="shared" si="16"/>
        <v>0</v>
      </c>
      <c r="Y95" s="16"/>
    </row>
    <row r="96" spans="1:25" ht="30" customHeight="1">
      <c r="A96" s="11">
        <v>94</v>
      </c>
      <c r="B96" s="46"/>
      <c r="C96" s="46"/>
      <c r="D96" s="12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4">
        <f t="shared" si="11"/>
        <v>0</v>
      </c>
      <c r="T96" s="14">
        <f t="shared" si="12"/>
        <v>0</v>
      </c>
      <c r="U96" s="14">
        <f t="shared" si="13"/>
        <v>0</v>
      </c>
      <c r="V96" s="14">
        <f t="shared" si="14"/>
        <v>0</v>
      </c>
      <c r="W96" s="14">
        <f t="shared" si="15"/>
        <v>0</v>
      </c>
      <c r="X96" s="15">
        <f t="shared" si="16"/>
        <v>0</v>
      </c>
      <c r="Y96" s="16" t="s">
        <v>315</v>
      </c>
    </row>
    <row r="97" spans="1:25" ht="30" customHeight="1">
      <c r="A97" s="11">
        <v>95</v>
      </c>
      <c r="B97" s="46"/>
      <c r="C97" s="46"/>
      <c r="D97" s="12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4">
        <f t="shared" si="11"/>
        <v>0</v>
      </c>
      <c r="T97" s="14">
        <f t="shared" si="12"/>
        <v>0</v>
      </c>
      <c r="U97" s="14">
        <f t="shared" si="13"/>
        <v>0</v>
      </c>
      <c r="V97" s="14">
        <f t="shared" si="14"/>
        <v>0</v>
      </c>
      <c r="W97" s="14">
        <f t="shared" si="15"/>
        <v>0</v>
      </c>
      <c r="X97" s="15">
        <f t="shared" si="16"/>
        <v>0</v>
      </c>
      <c r="Y97" s="16"/>
    </row>
    <row r="98" spans="1:25" ht="30" customHeight="1">
      <c r="A98" s="11">
        <v>96</v>
      </c>
      <c r="B98" s="46"/>
      <c r="C98" s="46"/>
      <c r="D98" s="12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4">
        <f t="shared" si="11"/>
        <v>0</v>
      </c>
      <c r="T98" s="14">
        <f t="shared" si="12"/>
        <v>0</v>
      </c>
      <c r="U98" s="14">
        <f t="shared" si="13"/>
        <v>0</v>
      </c>
      <c r="V98" s="14">
        <f t="shared" si="14"/>
        <v>0</v>
      </c>
      <c r="W98" s="14">
        <f t="shared" si="15"/>
        <v>0</v>
      </c>
      <c r="X98" s="15">
        <f t="shared" si="16"/>
        <v>0</v>
      </c>
      <c r="Y98" s="16" t="s">
        <v>315</v>
      </c>
    </row>
    <row r="99" spans="1:25" ht="30" customHeight="1">
      <c r="A99" s="11">
        <v>97</v>
      </c>
      <c r="B99" s="46"/>
      <c r="C99" s="46"/>
      <c r="D99" s="12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4">
        <f t="shared" ref="S99:S130" si="17">IF(SUM(E99:R99)&gt;0,1,0)</f>
        <v>0</v>
      </c>
      <c r="T99" s="14">
        <f t="shared" ref="T99:T130" si="18">IF(MAX(G99,H99,I99,J99,K99,M99,N99)&gt;0,1,0)</f>
        <v>0</v>
      </c>
      <c r="U99" s="14">
        <f t="shared" ref="U99:U130" si="19">IF(MAX(E99,F99,L99,O99,Q99)&gt;0,1,0)</f>
        <v>0</v>
      </c>
      <c r="V99" s="14">
        <f t="shared" ref="V99:V130" si="20">IF(P99&gt;0,1,0)</f>
        <v>0</v>
      </c>
      <c r="W99" s="14">
        <f t="shared" si="15"/>
        <v>0</v>
      </c>
      <c r="X99" s="15">
        <f t="shared" ref="X99:X130" si="21">SUMPRODUCT((E99:R99=1)*0.3)+SUMPRODUCT((E99:R99=2)*0.7)+SUMPRODUCT((E99:R99=3)*1.5)</f>
        <v>0</v>
      </c>
      <c r="Y99" s="16" t="s">
        <v>317</v>
      </c>
    </row>
    <row r="100" spans="1:25" ht="30" customHeight="1">
      <c r="A100" s="11">
        <v>98</v>
      </c>
      <c r="B100" s="46"/>
      <c r="C100" s="46"/>
      <c r="D100" s="12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4">
        <f t="shared" si="17"/>
        <v>0</v>
      </c>
      <c r="T100" s="14">
        <f t="shared" si="18"/>
        <v>0</v>
      </c>
      <c r="U100" s="14">
        <f t="shared" si="19"/>
        <v>0</v>
      </c>
      <c r="V100" s="14">
        <f t="shared" si="20"/>
        <v>0</v>
      </c>
      <c r="W100" s="14">
        <f t="shared" si="15"/>
        <v>0</v>
      </c>
      <c r="X100" s="15">
        <f t="shared" si="21"/>
        <v>0</v>
      </c>
      <c r="Y100" s="16" t="s">
        <v>276</v>
      </c>
    </row>
    <row r="101" spans="1:25" ht="30" customHeight="1">
      <c r="A101" s="11">
        <v>99</v>
      </c>
      <c r="B101" s="46"/>
      <c r="C101" s="46"/>
      <c r="D101" s="12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4">
        <f t="shared" si="17"/>
        <v>0</v>
      </c>
      <c r="T101" s="14">
        <f t="shared" si="18"/>
        <v>0</v>
      </c>
      <c r="U101" s="14">
        <f t="shared" si="19"/>
        <v>0</v>
      </c>
      <c r="V101" s="14">
        <f t="shared" si="20"/>
        <v>0</v>
      </c>
      <c r="W101" s="14">
        <f t="shared" si="15"/>
        <v>0</v>
      </c>
      <c r="X101" s="15">
        <f t="shared" si="21"/>
        <v>0</v>
      </c>
      <c r="Y101" s="16"/>
    </row>
    <row r="102" spans="1:25" ht="16">
      <c r="A102" s="11">
        <v>100</v>
      </c>
      <c r="B102" s="46"/>
      <c r="C102" s="46"/>
      <c r="D102" s="12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4">
        <f t="shared" si="17"/>
        <v>0</v>
      </c>
      <c r="T102" s="14">
        <f t="shared" si="18"/>
        <v>0</v>
      </c>
      <c r="U102" s="14">
        <f t="shared" si="19"/>
        <v>0</v>
      </c>
      <c r="V102" s="14">
        <f t="shared" si="20"/>
        <v>0</v>
      </c>
      <c r="W102" s="14">
        <f t="shared" si="15"/>
        <v>0</v>
      </c>
      <c r="X102" s="15">
        <f t="shared" si="21"/>
        <v>0</v>
      </c>
      <c r="Y102" s="16" t="s">
        <v>318</v>
      </c>
    </row>
    <row r="103" spans="1:25" ht="30" customHeight="1">
      <c r="A103" s="11">
        <v>101</v>
      </c>
      <c r="B103" s="46"/>
      <c r="C103" s="46"/>
      <c r="D103" s="12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4">
        <f t="shared" si="17"/>
        <v>0</v>
      </c>
      <c r="T103" s="14">
        <f t="shared" si="18"/>
        <v>0</v>
      </c>
      <c r="U103" s="14">
        <f t="shared" si="19"/>
        <v>0</v>
      </c>
      <c r="V103" s="14">
        <f t="shared" si="20"/>
        <v>0</v>
      </c>
      <c r="W103" s="14">
        <f t="shared" si="15"/>
        <v>0</v>
      </c>
      <c r="X103" s="15">
        <f t="shared" si="21"/>
        <v>0</v>
      </c>
      <c r="Y103" s="16" t="s">
        <v>319</v>
      </c>
    </row>
    <row r="104" spans="1:25" ht="30" customHeight="1">
      <c r="A104" s="11">
        <v>102</v>
      </c>
      <c r="B104" s="46"/>
      <c r="C104" s="46"/>
      <c r="D104" s="12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4">
        <f t="shared" si="17"/>
        <v>0</v>
      </c>
      <c r="T104" s="14">
        <f t="shared" si="18"/>
        <v>0</v>
      </c>
      <c r="U104" s="14">
        <f t="shared" si="19"/>
        <v>0</v>
      </c>
      <c r="V104" s="14">
        <f t="shared" si="20"/>
        <v>0</v>
      </c>
      <c r="W104" s="14">
        <f t="shared" si="15"/>
        <v>0</v>
      </c>
      <c r="X104" s="15">
        <f t="shared" si="21"/>
        <v>0</v>
      </c>
      <c r="Y104" s="16" t="s">
        <v>320</v>
      </c>
    </row>
    <row r="105" spans="1:25" ht="30" customHeight="1">
      <c r="A105" s="11">
        <v>103</v>
      </c>
      <c r="B105" s="46"/>
      <c r="C105" s="46"/>
      <c r="D105" s="12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4">
        <f t="shared" si="17"/>
        <v>0</v>
      </c>
      <c r="T105" s="14">
        <f t="shared" si="18"/>
        <v>0</v>
      </c>
      <c r="U105" s="14">
        <f t="shared" si="19"/>
        <v>0</v>
      </c>
      <c r="V105" s="14">
        <f t="shared" si="20"/>
        <v>0</v>
      </c>
      <c r="W105" s="14">
        <f t="shared" si="15"/>
        <v>0</v>
      </c>
      <c r="X105" s="15">
        <f t="shared" si="21"/>
        <v>0</v>
      </c>
      <c r="Y105" s="16" t="s">
        <v>322</v>
      </c>
    </row>
    <row r="106" spans="1:25" ht="30" customHeight="1">
      <c r="A106" s="11">
        <v>104</v>
      </c>
      <c r="B106" s="46"/>
      <c r="C106" s="46"/>
      <c r="D106" s="12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4">
        <f t="shared" si="17"/>
        <v>0</v>
      </c>
      <c r="T106" s="14">
        <f t="shared" si="18"/>
        <v>0</v>
      </c>
      <c r="U106" s="14">
        <f t="shared" si="19"/>
        <v>0</v>
      </c>
      <c r="V106" s="14">
        <f t="shared" si="20"/>
        <v>0</v>
      </c>
      <c r="W106" s="14">
        <f t="shared" si="15"/>
        <v>0</v>
      </c>
      <c r="X106" s="15">
        <f t="shared" si="21"/>
        <v>0</v>
      </c>
      <c r="Y106" s="16" t="s">
        <v>321</v>
      </c>
    </row>
    <row r="107" spans="1:25" ht="30" customHeight="1">
      <c r="A107" s="11">
        <v>105</v>
      </c>
      <c r="B107" s="46"/>
      <c r="C107" s="46"/>
      <c r="D107" s="12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4">
        <f t="shared" si="17"/>
        <v>0</v>
      </c>
      <c r="T107" s="14">
        <f t="shared" si="18"/>
        <v>0</v>
      </c>
      <c r="U107" s="14">
        <f t="shared" si="19"/>
        <v>0</v>
      </c>
      <c r="V107" s="14">
        <f t="shared" si="20"/>
        <v>0</v>
      </c>
      <c r="W107" s="14">
        <f t="shared" si="15"/>
        <v>0</v>
      </c>
      <c r="X107" s="15">
        <f t="shared" si="21"/>
        <v>0</v>
      </c>
      <c r="Y107" s="16"/>
    </row>
    <row r="108" spans="1:25" ht="30" customHeight="1">
      <c r="A108" s="11">
        <v>106</v>
      </c>
      <c r="B108" s="46"/>
      <c r="C108" s="46"/>
      <c r="D108" s="12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4">
        <f t="shared" si="17"/>
        <v>0</v>
      </c>
      <c r="T108" s="14">
        <f t="shared" si="18"/>
        <v>0</v>
      </c>
      <c r="U108" s="14">
        <f t="shared" si="19"/>
        <v>0</v>
      </c>
      <c r="V108" s="14">
        <f t="shared" si="20"/>
        <v>0</v>
      </c>
      <c r="W108" s="14">
        <f t="shared" si="15"/>
        <v>0</v>
      </c>
      <c r="X108" s="15">
        <f t="shared" si="21"/>
        <v>0</v>
      </c>
      <c r="Y108" s="16" t="s">
        <v>323</v>
      </c>
    </row>
    <row r="109" spans="1:25" ht="30" customHeight="1">
      <c r="A109" s="11">
        <v>107</v>
      </c>
      <c r="B109" s="46"/>
      <c r="C109" s="46"/>
      <c r="D109" s="12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4">
        <f t="shared" si="17"/>
        <v>0</v>
      </c>
      <c r="T109" s="14">
        <f t="shared" si="18"/>
        <v>0</v>
      </c>
      <c r="U109" s="14">
        <f t="shared" si="19"/>
        <v>0</v>
      </c>
      <c r="V109" s="14">
        <f t="shared" si="20"/>
        <v>0</v>
      </c>
      <c r="W109" s="14">
        <f t="shared" si="15"/>
        <v>0</v>
      </c>
      <c r="X109" s="15">
        <f t="shared" si="21"/>
        <v>0</v>
      </c>
      <c r="Y109" s="16"/>
    </row>
    <row r="110" spans="1:25" ht="16">
      <c r="A110" s="11">
        <v>108</v>
      </c>
      <c r="B110" s="46"/>
      <c r="C110" s="46"/>
      <c r="D110" s="12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4">
        <f t="shared" si="17"/>
        <v>0</v>
      </c>
      <c r="T110" s="14">
        <f t="shared" si="18"/>
        <v>0</v>
      </c>
      <c r="U110" s="14">
        <f t="shared" si="19"/>
        <v>0</v>
      </c>
      <c r="V110" s="14">
        <f t="shared" si="20"/>
        <v>0</v>
      </c>
      <c r="W110" s="14">
        <f t="shared" si="15"/>
        <v>0</v>
      </c>
      <c r="X110" s="15">
        <f t="shared" si="21"/>
        <v>0</v>
      </c>
      <c r="Y110" s="16" t="s">
        <v>324</v>
      </c>
    </row>
    <row r="111" spans="1:25" ht="30" customHeight="1">
      <c r="A111" s="11">
        <v>109</v>
      </c>
      <c r="B111" s="46"/>
      <c r="C111" s="46"/>
      <c r="D111" s="12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4">
        <f t="shared" si="17"/>
        <v>0</v>
      </c>
      <c r="T111" s="14">
        <f t="shared" si="18"/>
        <v>0</v>
      </c>
      <c r="U111" s="14">
        <f t="shared" si="19"/>
        <v>0</v>
      </c>
      <c r="V111" s="14">
        <f t="shared" si="20"/>
        <v>0</v>
      </c>
      <c r="W111" s="14">
        <f t="shared" si="15"/>
        <v>0</v>
      </c>
      <c r="X111" s="15">
        <f t="shared" si="21"/>
        <v>0</v>
      </c>
      <c r="Y111" s="16" t="s">
        <v>325</v>
      </c>
    </row>
    <row r="112" spans="1:25" ht="30" customHeight="1">
      <c r="A112" s="11">
        <v>110</v>
      </c>
      <c r="B112" s="46"/>
      <c r="C112" s="46"/>
      <c r="D112" s="12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4">
        <f t="shared" si="17"/>
        <v>0</v>
      </c>
      <c r="T112" s="14">
        <f t="shared" si="18"/>
        <v>0</v>
      </c>
      <c r="U112" s="14">
        <f t="shared" si="19"/>
        <v>0</v>
      </c>
      <c r="V112" s="14">
        <f t="shared" si="20"/>
        <v>0</v>
      </c>
      <c r="W112" s="14">
        <f t="shared" si="15"/>
        <v>0</v>
      </c>
      <c r="X112" s="15">
        <f t="shared" si="21"/>
        <v>0</v>
      </c>
      <c r="Y112" s="16" t="s">
        <v>326</v>
      </c>
    </row>
    <row r="113" spans="1:25" ht="30" customHeight="1">
      <c r="A113" s="11">
        <v>111</v>
      </c>
      <c r="B113" s="46"/>
      <c r="C113" s="46"/>
      <c r="D113" s="12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4">
        <f t="shared" si="17"/>
        <v>0</v>
      </c>
      <c r="T113" s="14">
        <f t="shared" si="18"/>
        <v>0</v>
      </c>
      <c r="U113" s="14">
        <f t="shared" si="19"/>
        <v>0</v>
      </c>
      <c r="V113" s="14">
        <f t="shared" si="20"/>
        <v>0</v>
      </c>
      <c r="W113" s="14">
        <f t="shared" si="15"/>
        <v>0</v>
      </c>
      <c r="X113" s="15">
        <f t="shared" si="21"/>
        <v>0</v>
      </c>
      <c r="Y113" s="16" t="s">
        <v>327</v>
      </c>
    </row>
    <row r="114" spans="1:25" ht="32">
      <c r="A114" s="11">
        <v>112</v>
      </c>
      <c r="B114" s="46"/>
      <c r="C114" s="46"/>
      <c r="D114" s="12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4">
        <f t="shared" si="17"/>
        <v>0</v>
      </c>
      <c r="T114" s="14">
        <f t="shared" si="18"/>
        <v>0</v>
      </c>
      <c r="U114" s="14">
        <f t="shared" si="19"/>
        <v>0</v>
      </c>
      <c r="V114" s="14">
        <f t="shared" si="20"/>
        <v>0</v>
      </c>
      <c r="W114" s="14">
        <f t="shared" si="15"/>
        <v>0</v>
      </c>
      <c r="X114" s="15">
        <f t="shared" si="21"/>
        <v>0</v>
      </c>
      <c r="Y114" s="16" t="s">
        <v>328</v>
      </c>
    </row>
    <row r="115" spans="1:25" ht="30" customHeight="1">
      <c r="A115" s="11">
        <v>113</v>
      </c>
      <c r="B115" s="46"/>
      <c r="C115" s="46"/>
      <c r="D115" s="12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4">
        <f t="shared" si="17"/>
        <v>0</v>
      </c>
      <c r="T115" s="14">
        <f t="shared" si="18"/>
        <v>0</v>
      </c>
      <c r="U115" s="14">
        <f t="shared" si="19"/>
        <v>0</v>
      </c>
      <c r="V115" s="14">
        <f t="shared" si="20"/>
        <v>0</v>
      </c>
      <c r="W115" s="14">
        <f t="shared" si="15"/>
        <v>0</v>
      </c>
      <c r="X115" s="15">
        <f t="shared" si="21"/>
        <v>0</v>
      </c>
      <c r="Y115" s="16" t="s">
        <v>329</v>
      </c>
    </row>
    <row r="116" spans="1:25" ht="30" customHeight="1">
      <c r="A116" s="11">
        <v>114</v>
      </c>
      <c r="B116" s="46"/>
      <c r="C116" s="46"/>
      <c r="D116" s="12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4">
        <f t="shared" si="17"/>
        <v>0</v>
      </c>
      <c r="T116" s="14">
        <f t="shared" si="18"/>
        <v>0</v>
      </c>
      <c r="U116" s="14">
        <f t="shared" si="19"/>
        <v>0</v>
      </c>
      <c r="V116" s="14">
        <f t="shared" si="20"/>
        <v>0</v>
      </c>
      <c r="W116" s="14">
        <f t="shared" si="15"/>
        <v>0</v>
      </c>
      <c r="X116" s="15">
        <f t="shared" si="21"/>
        <v>0</v>
      </c>
      <c r="Y116" s="16" t="s">
        <v>330</v>
      </c>
    </row>
    <row r="117" spans="1:25" ht="30" customHeight="1">
      <c r="A117" s="11">
        <v>115</v>
      </c>
      <c r="B117" s="46"/>
      <c r="C117" s="46"/>
      <c r="D117" s="12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4">
        <f t="shared" si="17"/>
        <v>0</v>
      </c>
      <c r="T117" s="14">
        <f t="shared" si="18"/>
        <v>0</v>
      </c>
      <c r="U117" s="14">
        <f t="shared" si="19"/>
        <v>0</v>
      </c>
      <c r="V117" s="14">
        <f t="shared" si="20"/>
        <v>0</v>
      </c>
      <c r="W117" s="14">
        <f t="shared" si="15"/>
        <v>0</v>
      </c>
      <c r="X117" s="15">
        <f t="shared" si="21"/>
        <v>0</v>
      </c>
      <c r="Y117" s="16"/>
    </row>
    <row r="118" spans="1:25" ht="30" customHeight="1">
      <c r="A118" s="11">
        <v>116</v>
      </c>
      <c r="B118" s="46"/>
      <c r="C118" s="46"/>
      <c r="D118" s="12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4">
        <f t="shared" si="17"/>
        <v>0</v>
      </c>
      <c r="T118" s="14">
        <f t="shared" si="18"/>
        <v>0</v>
      </c>
      <c r="U118" s="14">
        <f t="shared" si="19"/>
        <v>0</v>
      </c>
      <c r="V118" s="14">
        <f t="shared" si="20"/>
        <v>0</v>
      </c>
      <c r="W118" s="14">
        <f t="shared" si="15"/>
        <v>0</v>
      </c>
      <c r="X118" s="15">
        <f t="shared" si="21"/>
        <v>0</v>
      </c>
      <c r="Y118" s="16" t="s">
        <v>331</v>
      </c>
    </row>
    <row r="119" spans="1:25" ht="30" customHeight="1">
      <c r="A119" s="11">
        <v>117</v>
      </c>
      <c r="B119" s="46"/>
      <c r="C119" s="46"/>
      <c r="D119" s="12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4">
        <f t="shared" si="17"/>
        <v>0</v>
      </c>
      <c r="T119" s="14">
        <f t="shared" si="18"/>
        <v>0</v>
      </c>
      <c r="U119" s="14">
        <f t="shared" si="19"/>
        <v>0</v>
      </c>
      <c r="V119" s="14">
        <f t="shared" si="20"/>
        <v>0</v>
      </c>
      <c r="W119" s="14">
        <f t="shared" si="15"/>
        <v>0</v>
      </c>
      <c r="X119" s="15">
        <f t="shared" si="21"/>
        <v>0</v>
      </c>
      <c r="Y119" s="16" t="s">
        <v>277</v>
      </c>
    </row>
    <row r="120" spans="1:25" ht="30" customHeight="1">
      <c r="A120" s="11">
        <v>118</v>
      </c>
      <c r="B120" s="46"/>
      <c r="C120" s="46"/>
      <c r="D120" s="12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4">
        <f t="shared" si="17"/>
        <v>0</v>
      </c>
      <c r="T120" s="14">
        <f t="shared" si="18"/>
        <v>0</v>
      </c>
      <c r="U120" s="14">
        <f t="shared" si="19"/>
        <v>0</v>
      </c>
      <c r="V120" s="14">
        <f t="shared" si="20"/>
        <v>0</v>
      </c>
      <c r="W120" s="14">
        <f t="shared" si="15"/>
        <v>0</v>
      </c>
      <c r="X120" s="15">
        <f t="shared" si="21"/>
        <v>0</v>
      </c>
      <c r="Y120" s="16"/>
    </row>
    <row r="121" spans="1:25" ht="30" customHeight="1">
      <c r="A121" s="11">
        <v>119</v>
      </c>
      <c r="B121" s="46"/>
      <c r="C121" s="46"/>
      <c r="D121" s="12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4">
        <f t="shared" si="17"/>
        <v>0</v>
      </c>
      <c r="T121" s="14">
        <f t="shared" si="18"/>
        <v>0</v>
      </c>
      <c r="U121" s="14">
        <f t="shared" si="19"/>
        <v>0</v>
      </c>
      <c r="V121" s="14">
        <f t="shared" si="20"/>
        <v>0</v>
      </c>
      <c r="W121" s="14">
        <f t="shared" si="15"/>
        <v>0</v>
      </c>
      <c r="X121" s="15">
        <f t="shared" si="21"/>
        <v>0</v>
      </c>
      <c r="Y121" s="16" t="s">
        <v>332</v>
      </c>
    </row>
    <row r="122" spans="1:25" ht="30" customHeight="1">
      <c r="A122" s="11">
        <v>120</v>
      </c>
      <c r="B122" s="46"/>
      <c r="C122" s="46"/>
      <c r="D122" s="12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4">
        <f t="shared" si="17"/>
        <v>0</v>
      </c>
      <c r="T122" s="14">
        <f t="shared" si="18"/>
        <v>0</v>
      </c>
      <c r="U122" s="14">
        <f t="shared" si="19"/>
        <v>0</v>
      </c>
      <c r="V122" s="14">
        <f t="shared" si="20"/>
        <v>0</v>
      </c>
      <c r="W122" s="14">
        <f t="shared" si="15"/>
        <v>0</v>
      </c>
      <c r="X122" s="15">
        <f t="shared" si="21"/>
        <v>0</v>
      </c>
      <c r="Y122" s="16" t="s">
        <v>333</v>
      </c>
    </row>
    <row r="123" spans="1:25" ht="30" customHeight="1">
      <c r="A123" s="11">
        <v>121</v>
      </c>
      <c r="B123" s="46"/>
      <c r="C123" s="46"/>
      <c r="D123" s="12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4">
        <f t="shared" si="17"/>
        <v>0</v>
      </c>
      <c r="T123" s="14">
        <f t="shared" si="18"/>
        <v>0</v>
      </c>
      <c r="U123" s="14">
        <f t="shared" si="19"/>
        <v>0</v>
      </c>
      <c r="V123" s="14">
        <f t="shared" si="20"/>
        <v>0</v>
      </c>
      <c r="W123" s="14">
        <f t="shared" si="15"/>
        <v>0</v>
      </c>
      <c r="X123" s="15">
        <f t="shared" si="21"/>
        <v>0</v>
      </c>
      <c r="Y123" s="16"/>
    </row>
    <row r="124" spans="1:25" ht="30" customHeight="1">
      <c r="A124" s="11">
        <v>122</v>
      </c>
      <c r="B124" s="46"/>
      <c r="C124" s="46"/>
      <c r="D124" s="12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4">
        <f t="shared" si="17"/>
        <v>0</v>
      </c>
      <c r="T124" s="14">
        <f t="shared" si="18"/>
        <v>0</v>
      </c>
      <c r="U124" s="14">
        <f t="shared" si="19"/>
        <v>0</v>
      </c>
      <c r="V124" s="14">
        <f t="shared" si="20"/>
        <v>0</v>
      </c>
      <c r="W124" s="14">
        <f t="shared" si="15"/>
        <v>0</v>
      </c>
      <c r="X124" s="15">
        <f t="shared" si="21"/>
        <v>0</v>
      </c>
      <c r="Y124" s="16"/>
    </row>
    <row r="125" spans="1:25" ht="48">
      <c r="A125" s="11">
        <v>123</v>
      </c>
      <c r="B125" s="46"/>
      <c r="C125" s="46"/>
      <c r="D125" s="12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4">
        <f t="shared" si="17"/>
        <v>0</v>
      </c>
      <c r="T125" s="14">
        <f t="shared" si="18"/>
        <v>0</v>
      </c>
      <c r="U125" s="14">
        <f t="shared" si="19"/>
        <v>0</v>
      </c>
      <c r="V125" s="14">
        <f t="shared" si="20"/>
        <v>0</v>
      </c>
      <c r="W125" s="14">
        <f t="shared" si="15"/>
        <v>0</v>
      </c>
      <c r="X125" s="15">
        <f t="shared" si="21"/>
        <v>0</v>
      </c>
      <c r="Y125" s="16" t="s">
        <v>354</v>
      </c>
    </row>
    <row r="126" spans="1:25" ht="32">
      <c r="A126" s="11">
        <v>124</v>
      </c>
      <c r="B126" s="46"/>
      <c r="C126" s="46"/>
      <c r="D126" s="12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4">
        <f t="shared" si="17"/>
        <v>0</v>
      </c>
      <c r="T126" s="14">
        <f t="shared" si="18"/>
        <v>0</v>
      </c>
      <c r="U126" s="14">
        <f t="shared" si="19"/>
        <v>0</v>
      </c>
      <c r="V126" s="14">
        <f t="shared" si="20"/>
        <v>0</v>
      </c>
      <c r="W126" s="14">
        <f t="shared" si="15"/>
        <v>0</v>
      </c>
      <c r="X126" s="15">
        <f t="shared" si="21"/>
        <v>0</v>
      </c>
      <c r="Y126" s="16" t="s">
        <v>334</v>
      </c>
    </row>
    <row r="127" spans="1:25" ht="30" customHeight="1">
      <c r="A127" s="11">
        <v>125</v>
      </c>
      <c r="B127" s="46"/>
      <c r="C127" s="46"/>
      <c r="D127" s="12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4">
        <f t="shared" si="17"/>
        <v>0</v>
      </c>
      <c r="T127" s="14">
        <f t="shared" si="18"/>
        <v>0</v>
      </c>
      <c r="U127" s="14">
        <f t="shared" si="19"/>
        <v>0</v>
      </c>
      <c r="V127" s="14">
        <f t="shared" si="20"/>
        <v>0</v>
      </c>
      <c r="W127" s="14">
        <f t="shared" si="15"/>
        <v>0</v>
      </c>
      <c r="X127" s="15">
        <f t="shared" si="21"/>
        <v>0</v>
      </c>
      <c r="Y127" s="16" t="s">
        <v>335</v>
      </c>
    </row>
    <row r="128" spans="1:25" ht="30" customHeight="1">
      <c r="A128" s="11">
        <v>126</v>
      </c>
      <c r="B128" s="46"/>
      <c r="C128" s="46"/>
      <c r="D128" s="12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4">
        <f t="shared" si="17"/>
        <v>0</v>
      </c>
      <c r="T128" s="14">
        <f t="shared" si="18"/>
        <v>0</v>
      </c>
      <c r="U128" s="14">
        <f t="shared" si="19"/>
        <v>0</v>
      </c>
      <c r="V128" s="14">
        <f t="shared" si="20"/>
        <v>0</v>
      </c>
      <c r="W128" s="14">
        <f t="shared" si="15"/>
        <v>0</v>
      </c>
      <c r="X128" s="15">
        <f t="shared" si="21"/>
        <v>0</v>
      </c>
      <c r="Y128" s="16" t="s">
        <v>336</v>
      </c>
    </row>
    <row r="129" spans="1:25" ht="30" customHeight="1">
      <c r="A129" s="11">
        <v>127</v>
      </c>
      <c r="B129" s="46"/>
      <c r="C129" s="46"/>
      <c r="D129" s="12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4">
        <f t="shared" si="17"/>
        <v>0</v>
      </c>
      <c r="T129" s="14">
        <f t="shared" si="18"/>
        <v>0</v>
      </c>
      <c r="U129" s="14">
        <f t="shared" si="19"/>
        <v>0</v>
      </c>
      <c r="V129" s="14">
        <f t="shared" si="20"/>
        <v>0</v>
      </c>
      <c r="W129" s="14">
        <f t="shared" si="15"/>
        <v>0</v>
      </c>
      <c r="X129" s="15">
        <f t="shared" si="21"/>
        <v>0</v>
      </c>
      <c r="Y129" s="16" t="s">
        <v>337</v>
      </c>
    </row>
    <row r="130" spans="1:25" ht="32">
      <c r="A130" s="11">
        <v>128</v>
      </c>
      <c r="B130" s="46"/>
      <c r="C130" s="46"/>
      <c r="D130" s="12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4">
        <f t="shared" si="17"/>
        <v>0</v>
      </c>
      <c r="T130" s="14">
        <f t="shared" si="18"/>
        <v>0</v>
      </c>
      <c r="U130" s="14">
        <f t="shared" si="19"/>
        <v>0</v>
      </c>
      <c r="V130" s="14">
        <f t="shared" si="20"/>
        <v>0</v>
      </c>
      <c r="W130" s="14">
        <f t="shared" si="15"/>
        <v>0</v>
      </c>
      <c r="X130" s="15">
        <f t="shared" si="21"/>
        <v>0</v>
      </c>
      <c r="Y130" s="16" t="s">
        <v>338</v>
      </c>
    </row>
    <row r="131" spans="1:25" ht="30" customHeight="1">
      <c r="A131" s="11">
        <v>129</v>
      </c>
      <c r="B131" s="46"/>
      <c r="C131" s="46"/>
      <c r="D131" s="12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4">
        <f t="shared" ref="S131:S162" si="22">IF(SUM(E131:R131)&gt;0,1,0)</f>
        <v>0</v>
      </c>
      <c r="T131" s="14">
        <f t="shared" ref="T131:T162" si="23">IF(MAX(G131,H131,I131,J131,K131,M131,N131)&gt;0,1,0)</f>
        <v>0</v>
      </c>
      <c r="U131" s="14">
        <f t="shared" ref="U131:U162" si="24">IF(MAX(E131,F131,L131,O131,Q131)&gt;0,1,0)</f>
        <v>0</v>
      </c>
      <c r="V131" s="14">
        <f t="shared" ref="V131:V162" si="25">IF(P131&gt;0,1,0)</f>
        <v>0</v>
      </c>
      <c r="W131" s="14">
        <f t="shared" ref="W131:W194" si="26">IF(AND(B131&lt;&gt;"",S131=0),1,0)</f>
        <v>0</v>
      </c>
      <c r="X131" s="15">
        <f t="shared" ref="X131:X162" si="27">SUMPRODUCT((E131:R131=1)*0.3)+SUMPRODUCT((E131:R131=2)*0.7)+SUMPRODUCT((E131:R131=3)*1.5)</f>
        <v>0</v>
      </c>
      <c r="Y131" s="16"/>
    </row>
    <row r="132" spans="1:25" ht="30" customHeight="1">
      <c r="A132" s="11">
        <v>130</v>
      </c>
      <c r="B132" s="46"/>
      <c r="C132" s="46"/>
      <c r="D132" s="12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4">
        <f t="shared" si="22"/>
        <v>0</v>
      </c>
      <c r="T132" s="14">
        <f t="shared" si="23"/>
        <v>0</v>
      </c>
      <c r="U132" s="14">
        <f t="shared" si="24"/>
        <v>0</v>
      </c>
      <c r="V132" s="14">
        <f t="shared" si="25"/>
        <v>0</v>
      </c>
      <c r="W132" s="14">
        <f t="shared" si="26"/>
        <v>0</v>
      </c>
      <c r="X132" s="15">
        <f t="shared" si="27"/>
        <v>0</v>
      </c>
      <c r="Y132" s="16"/>
    </row>
    <row r="133" spans="1:25" ht="30" customHeight="1">
      <c r="A133" s="11">
        <v>131</v>
      </c>
      <c r="B133" s="46"/>
      <c r="C133" s="46"/>
      <c r="D133" s="12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4">
        <f t="shared" si="22"/>
        <v>0</v>
      </c>
      <c r="T133" s="14">
        <f t="shared" si="23"/>
        <v>0</v>
      </c>
      <c r="U133" s="14">
        <f t="shared" si="24"/>
        <v>0</v>
      </c>
      <c r="V133" s="14">
        <f t="shared" si="25"/>
        <v>0</v>
      </c>
      <c r="W133" s="14">
        <f t="shared" si="26"/>
        <v>0</v>
      </c>
      <c r="X133" s="15">
        <f t="shared" si="27"/>
        <v>0</v>
      </c>
      <c r="Y133" s="16" t="s">
        <v>339</v>
      </c>
    </row>
    <row r="134" spans="1:25" ht="30" customHeight="1">
      <c r="A134" s="11">
        <v>132</v>
      </c>
      <c r="B134" s="46"/>
      <c r="C134" s="46"/>
      <c r="D134" s="12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4">
        <f t="shared" si="22"/>
        <v>0</v>
      </c>
      <c r="T134" s="14">
        <f t="shared" si="23"/>
        <v>0</v>
      </c>
      <c r="U134" s="14">
        <f t="shared" si="24"/>
        <v>0</v>
      </c>
      <c r="V134" s="14">
        <f t="shared" si="25"/>
        <v>0</v>
      </c>
      <c r="W134" s="14">
        <f t="shared" si="26"/>
        <v>0</v>
      </c>
      <c r="X134" s="15">
        <f t="shared" si="27"/>
        <v>0</v>
      </c>
      <c r="Y134" s="16"/>
    </row>
    <row r="135" spans="1:25" ht="30" customHeight="1">
      <c r="A135" s="11">
        <v>133</v>
      </c>
      <c r="B135" s="46"/>
      <c r="C135" s="46"/>
      <c r="D135" s="12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4">
        <f t="shared" si="22"/>
        <v>0</v>
      </c>
      <c r="T135" s="14">
        <f t="shared" si="23"/>
        <v>0</v>
      </c>
      <c r="U135" s="14">
        <f t="shared" si="24"/>
        <v>0</v>
      </c>
      <c r="V135" s="14">
        <f t="shared" si="25"/>
        <v>0</v>
      </c>
      <c r="W135" s="14">
        <f t="shared" si="26"/>
        <v>0</v>
      </c>
      <c r="X135" s="15">
        <f t="shared" si="27"/>
        <v>0</v>
      </c>
      <c r="Y135" s="16"/>
    </row>
    <row r="136" spans="1:25" ht="30" customHeight="1">
      <c r="A136" s="11">
        <v>134</v>
      </c>
      <c r="B136" s="46"/>
      <c r="C136" s="46"/>
      <c r="D136" s="12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4">
        <f t="shared" si="22"/>
        <v>0</v>
      </c>
      <c r="T136" s="14">
        <f t="shared" si="23"/>
        <v>0</v>
      </c>
      <c r="U136" s="14">
        <f t="shared" si="24"/>
        <v>0</v>
      </c>
      <c r="V136" s="14">
        <f t="shared" si="25"/>
        <v>0</v>
      </c>
      <c r="W136" s="14">
        <f t="shared" si="26"/>
        <v>0</v>
      </c>
      <c r="X136" s="15">
        <f t="shared" si="27"/>
        <v>0</v>
      </c>
      <c r="Y136" s="16"/>
    </row>
    <row r="137" spans="1:25" ht="30" customHeight="1">
      <c r="A137" s="11">
        <v>135</v>
      </c>
      <c r="B137" s="46"/>
      <c r="C137" s="46"/>
      <c r="D137" s="12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4">
        <f t="shared" si="22"/>
        <v>0</v>
      </c>
      <c r="T137" s="14">
        <f t="shared" si="23"/>
        <v>0</v>
      </c>
      <c r="U137" s="14">
        <f t="shared" si="24"/>
        <v>0</v>
      </c>
      <c r="V137" s="14">
        <f t="shared" si="25"/>
        <v>0</v>
      </c>
      <c r="W137" s="14">
        <f t="shared" si="26"/>
        <v>0</v>
      </c>
      <c r="X137" s="15">
        <f t="shared" si="27"/>
        <v>0</v>
      </c>
      <c r="Y137" s="16"/>
    </row>
    <row r="138" spans="1:25" ht="30" customHeight="1">
      <c r="A138" s="11">
        <v>136</v>
      </c>
      <c r="B138" s="46"/>
      <c r="C138" s="46"/>
      <c r="D138" s="12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4">
        <f t="shared" si="22"/>
        <v>0</v>
      </c>
      <c r="T138" s="14">
        <f t="shared" si="23"/>
        <v>0</v>
      </c>
      <c r="U138" s="14">
        <f t="shared" si="24"/>
        <v>0</v>
      </c>
      <c r="V138" s="14">
        <f t="shared" si="25"/>
        <v>0</v>
      </c>
      <c r="W138" s="14">
        <f t="shared" si="26"/>
        <v>0</v>
      </c>
      <c r="X138" s="15">
        <f t="shared" si="27"/>
        <v>0</v>
      </c>
      <c r="Y138" s="16" t="s">
        <v>340</v>
      </c>
    </row>
    <row r="139" spans="1:25" ht="30" customHeight="1">
      <c r="A139" s="11">
        <v>137</v>
      </c>
      <c r="B139" s="46"/>
      <c r="C139" s="46"/>
      <c r="D139" s="12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4">
        <f t="shared" si="22"/>
        <v>0</v>
      </c>
      <c r="T139" s="14">
        <f t="shared" si="23"/>
        <v>0</v>
      </c>
      <c r="U139" s="14">
        <f t="shared" si="24"/>
        <v>0</v>
      </c>
      <c r="V139" s="14">
        <f t="shared" si="25"/>
        <v>0</v>
      </c>
      <c r="W139" s="14">
        <f t="shared" si="26"/>
        <v>0</v>
      </c>
      <c r="X139" s="15">
        <f t="shared" si="27"/>
        <v>0</v>
      </c>
      <c r="Y139" s="16" t="s">
        <v>341</v>
      </c>
    </row>
    <row r="140" spans="1:25" ht="30" customHeight="1">
      <c r="A140" s="11">
        <v>138</v>
      </c>
      <c r="B140" s="46"/>
      <c r="C140" s="46"/>
      <c r="D140" s="12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4">
        <f t="shared" si="22"/>
        <v>0</v>
      </c>
      <c r="T140" s="14">
        <f t="shared" si="23"/>
        <v>0</v>
      </c>
      <c r="U140" s="14">
        <f t="shared" si="24"/>
        <v>0</v>
      </c>
      <c r="V140" s="14">
        <f t="shared" si="25"/>
        <v>0</v>
      </c>
      <c r="W140" s="14">
        <f t="shared" si="26"/>
        <v>0</v>
      </c>
      <c r="X140" s="15">
        <f t="shared" si="27"/>
        <v>0</v>
      </c>
      <c r="Y140" s="16" t="s">
        <v>342</v>
      </c>
    </row>
    <row r="141" spans="1:25" ht="30" customHeight="1">
      <c r="A141" s="11">
        <v>139</v>
      </c>
      <c r="B141" s="46"/>
      <c r="C141" s="46"/>
      <c r="D141" s="12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4">
        <f t="shared" si="22"/>
        <v>0</v>
      </c>
      <c r="T141" s="14">
        <f t="shared" si="23"/>
        <v>0</v>
      </c>
      <c r="U141" s="14">
        <f t="shared" si="24"/>
        <v>0</v>
      </c>
      <c r="V141" s="14">
        <f t="shared" si="25"/>
        <v>0</v>
      </c>
      <c r="W141" s="14">
        <f t="shared" si="26"/>
        <v>0</v>
      </c>
      <c r="X141" s="15">
        <f t="shared" si="27"/>
        <v>0</v>
      </c>
      <c r="Y141" s="16"/>
    </row>
    <row r="142" spans="1:25" ht="32">
      <c r="A142" s="11">
        <v>140</v>
      </c>
      <c r="B142" s="46"/>
      <c r="C142" s="46"/>
      <c r="D142" s="12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4">
        <f t="shared" si="22"/>
        <v>0</v>
      </c>
      <c r="T142" s="14">
        <f t="shared" si="23"/>
        <v>0</v>
      </c>
      <c r="U142" s="14">
        <f t="shared" si="24"/>
        <v>0</v>
      </c>
      <c r="V142" s="14">
        <f t="shared" si="25"/>
        <v>0</v>
      </c>
      <c r="W142" s="14">
        <f t="shared" si="26"/>
        <v>0</v>
      </c>
      <c r="X142" s="15">
        <f t="shared" si="27"/>
        <v>0</v>
      </c>
      <c r="Y142" s="16" t="s">
        <v>343</v>
      </c>
    </row>
    <row r="143" spans="1:25" ht="30" customHeight="1">
      <c r="A143" s="11">
        <v>141</v>
      </c>
      <c r="B143" s="46"/>
      <c r="C143" s="46"/>
      <c r="D143" s="12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4">
        <f t="shared" si="22"/>
        <v>0</v>
      </c>
      <c r="T143" s="14">
        <f t="shared" si="23"/>
        <v>0</v>
      </c>
      <c r="U143" s="14">
        <f t="shared" si="24"/>
        <v>0</v>
      </c>
      <c r="V143" s="14">
        <f t="shared" si="25"/>
        <v>0</v>
      </c>
      <c r="W143" s="14">
        <f t="shared" si="26"/>
        <v>0</v>
      </c>
      <c r="X143" s="15">
        <f t="shared" si="27"/>
        <v>0</v>
      </c>
      <c r="Y143" s="16" t="s">
        <v>344</v>
      </c>
    </row>
    <row r="144" spans="1:25" ht="32">
      <c r="A144" s="11">
        <v>142</v>
      </c>
      <c r="B144" s="46"/>
      <c r="C144" s="46"/>
      <c r="D144" s="12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4">
        <f t="shared" si="22"/>
        <v>0</v>
      </c>
      <c r="T144" s="14">
        <f t="shared" si="23"/>
        <v>0</v>
      </c>
      <c r="U144" s="14">
        <f t="shared" si="24"/>
        <v>0</v>
      </c>
      <c r="V144" s="14">
        <f t="shared" si="25"/>
        <v>0</v>
      </c>
      <c r="W144" s="14">
        <f t="shared" si="26"/>
        <v>0</v>
      </c>
      <c r="X144" s="15">
        <f t="shared" si="27"/>
        <v>0</v>
      </c>
      <c r="Y144" s="16" t="s">
        <v>345</v>
      </c>
    </row>
    <row r="145" spans="1:25" ht="30" customHeight="1">
      <c r="A145" s="11">
        <v>143</v>
      </c>
      <c r="B145" s="46"/>
      <c r="C145" s="48"/>
      <c r="D145" s="12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4">
        <f t="shared" si="22"/>
        <v>0</v>
      </c>
      <c r="T145" s="14">
        <f t="shared" si="23"/>
        <v>0</v>
      </c>
      <c r="U145" s="14">
        <f t="shared" si="24"/>
        <v>0</v>
      </c>
      <c r="V145" s="14">
        <f t="shared" si="25"/>
        <v>0</v>
      </c>
      <c r="W145" s="14">
        <f t="shared" si="26"/>
        <v>0</v>
      </c>
      <c r="X145" s="15">
        <f t="shared" si="27"/>
        <v>0</v>
      </c>
      <c r="Y145" s="16"/>
    </row>
    <row r="146" spans="1:25" ht="30" customHeight="1">
      <c r="A146" s="11">
        <v>144</v>
      </c>
      <c r="B146" s="46"/>
      <c r="C146" s="46"/>
      <c r="D146" s="12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4">
        <f t="shared" si="22"/>
        <v>0</v>
      </c>
      <c r="T146" s="14">
        <f t="shared" si="23"/>
        <v>0</v>
      </c>
      <c r="U146" s="14">
        <f t="shared" si="24"/>
        <v>0</v>
      </c>
      <c r="V146" s="14">
        <f t="shared" si="25"/>
        <v>0</v>
      </c>
      <c r="W146" s="14">
        <f t="shared" si="26"/>
        <v>0</v>
      </c>
      <c r="X146" s="15">
        <f t="shared" si="27"/>
        <v>0</v>
      </c>
      <c r="Y146" s="16"/>
    </row>
    <row r="147" spans="1:25" ht="32">
      <c r="A147" s="11">
        <v>145</v>
      </c>
      <c r="B147" s="46"/>
      <c r="C147" s="46"/>
      <c r="D147" s="12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4">
        <f t="shared" si="22"/>
        <v>0</v>
      </c>
      <c r="T147" s="14">
        <f t="shared" si="23"/>
        <v>0</v>
      </c>
      <c r="U147" s="14">
        <f t="shared" si="24"/>
        <v>0</v>
      </c>
      <c r="V147" s="14">
        <f t="shared" si="25"/>
        <v>0</v>
      </c>
      <c r="W147" s="14">
        <f t="shared" si="26"/>
        <v>0</v>
      </c>
      <c r="X147" s="15">
        <f t="shared" si="27"/>
        <v>0</v>
      </c>
      <c r="Y147" s="16" t="s">
        <v>346</v>
      </c>
    </row>
    <row r="148" spans="1:25" ht="30" customHeight="1">
      <c r="A148" s="11">
        <v>146</v>
      </c>
      <c r="B148" s="46"/>
      <c r="C148" s="46"/>
      <c r="D148" s="12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4">
        <f t="shared" si="22"/>
        <v>0</v>
      </c>
      <c r="T148" s="14">
        <f t="shared" si="23"/>
        <v>0</v>
      </c>
      <c r="U148" s="14">
        <f t="shared" si="24"/>
        <v>0</v>
      </c>
      <c r="V148" s="14">
        <f t="shared" si="25"/>
        <v>0</v>
      </c>
      <c r="W148" s="14">
        <f t="shared" si="26"/>
        <v>0</v>
      </c>
      <c r="X148" s="15">
        <f t="shared" si="27"/>
        <v>0</v>
      </c>
      <c r="Y148" s="16" t="s">
        <v>347</v>
      </c>
    </row>
    <row r="149" spans="1:25" ht="30" customHeight="1">
      <c r="A149" s="11">
        <v>147</v>
      </c>
      <c r="B149" s="46"/>
      <c r="C149" s="46"/>
      <c r="D149" s="12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4">
        <f t="shared" si="22"/>
        <v>0</v>
      </c>
      <c r="T149" s="14">
        <f t="shared" si="23"/>
        <v>0</v>
      </c>
      <c r="U149" s="14">
        <f t="shared" si="24"/>
        <v>0</v>
      </c>
      <c r="V149" s="14">
        <f t="shared" si="25"/>
        <v>0</v>
      </c>
      <c r="W149" s="14">
        <f t="shared" si="26"/>
        <v>0</v>
      </c>
      <c r="X149" s="15">
        <f t="shared" si="27"/>
        <v>0</v>
      </c>
      <c r="Y149" s="16" t="s">
        <v>348</v>
      </c>
    </row>
    <row r="150" spans="1:25" ht="30" customHeight="1">
      <c r="A150" s="11">
        <v>148</v>
      </c>
      <c r="B150" s="46"/>
      <c r="C150" s="46"/>
      <c r="D150" s="12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4">
        <f t="shared" si="22"/>
        <v>0</v>
      </c>
      <c r="T150" s="14">
        <f t="shared" si="23"/>
        <v>0</v>
      </c>
      <c r="U150" s="14">
        <f t="shared" si="24"/>
        <v>0</v>
      </c>
      <c r="V150" s="14">
        <f t="shared" si="25"/>
        <v>0</v>
      </c>
      <c r="W150" s="14">
        <f t="shared" si="26"/>
        <v>0</v>
      </c>
      <c r="X150" s="15">
        <f t="shared" si="27"/>
        <v>0</v>
      </c>
      <c r="Y150" s="16" t="s">
        <v>349</v>
      </c>
    </row>
    <row r="151" spans="1:25" ht="30" customHeight="1">
      <c r="A151" s="11">
        <v>149</v>
      </c>
      <c r="B151" s="46"/>
      <c r="C151" s="46"/>
      <c r="D151" s="12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4">
        <f t="shared" si="22"/>
        <v>0</v>
      </c>
      <c r="T151" s="14">
        <f t="shared" si="23"/>
        <v>0</v>
      </c>
      <c r="U151" s="14">
        <f t="shared" si="24"/>
        <v>0</v>
      </c>
      <c r="V151" s="14">
        <f t="shared" si="25"/>
        <v>0</v>
      </c>
      <c r="W151" s="14">
        <f t="shared" si="26"/>
        <v>0</v>
      </c>
      <c r="X151" s="15">
        <f t="shared" si="27"/>
        <v>0</v>
      </c>
      <c r="Y151" s="16"/>
    </row>
    <row r="152" spans="1:25" ht="30" customHeight="1">
      <c r="A152" s="11">
        <v>150</v>
      </c>
      <c r="B152" s="46"/>
      <c r="C152" s="46"/>
      <c r="D152" s="12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4">
        <f t="shared" si="22"/>
        <v>0</v>
      </c>
      <c r="T152" s="14">
        <f t="shared" si="23"/>
        <v>0</v>
      </c>
      <c r="U152" s="14">
        <f t="shared" si="24"/>
        <v>0</v>
      </c>
      <c r="V152" s="14">
        <f t="shared" si="25"/>
        <v>0</v>
      </c>
      <c r="W152" s="14">
        <f t="shared" si="26"/>
        <v>0</v>
      </c>
      <c r="X152" s="15">
        <f t="shared" si="27"/>
        <v>0</v>
      </c>
      <c r="Y152" s="16" t="s">
        <v>350</v>
      </c>
    </row>
    <row r="153" spans="1:25" ht="30" customHeight="1">
      <c r="A153" s="11">
        <v>151</v>
      </c>
      <c r="B153" s="46"/>
      <c r="C153" s="46"/>
      <c r="D153" s="12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4">
        <f t="shared" si="22"/>
        <v>0</v>
      </c>
      <c r="T153" s="14">
        <f t="shared" si="23"/>
        <v>0</v>
      </c>
      <c r="U153" s="14">
        <f t="shared" si="24"/>
        <v>0</v>
      </c>
      <c r="V153" s="14">
        <f t="shared" si="25"/>
        <v>0</v>
      </c>
      <c r="W153" s="14">
        <f t="shared" si="26"/>
        <v>0</v>
      </c>
      <c r="X153" s="15">
        <f t="shared" si="27"/>
        <v>0</v>
      </c>
      <c r="Y153" s="16"/>
    </row>
    <row r="154" spans="1:25" ht="30" customHeight="1">
      <c r="A154" s="11">
        <v>152</v>
      </c>
      <c r="B154" s="46"/>
      <c r="C154" s="46"/>
      <c r="D154" s="12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4">
        <f t="shared" si="22"/>
        <v>0</v>
      </c>
      <c r="T154" s="14">
        <f t="shared" si="23"/>
        <v>0</v>
      </c>
      <c r="U154" s="14">
        <f t="shared" si="24"/>
        <v>0</v>
      </c>
      <c r="V154" s="14">
        <f t="shared" si="25"/>
        <v>0</v>
      </c>
      <c r="W154" s="14">
        <f t="shared" si="26"/>
        <v>0</v>
      </c>
      <c r="X154" s="15">
        <f t="shared" si="27"/>
        <v>0</v>
      </c>
      <c r="Y154" s="16"/>
    </row>
    <row r="155" spans="1:25" ht="30" customHeight="1">
      <c r="A155" s="11">
        <v>153</v>
      </c>
      <c r="B155" s="46"/>
      <c r="C155" s="46"/>
      <c r="D155" s="12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4">
        <f t="shared" si="22"/>
        <v>0</v>
      </c>
      <c r="T155" s="14">
        <f t="shared" si="23"/>
        <v>0</v>
      </c>
      <c r="U155" s="14">
        <f t="shared" si="24"/>
        <v>0</v>
      </c>
      <c r="V155" s="14">
        <f t="shared" si="25"/>
        <v>0</v>
      </c>
      <c r="W155" s="14">
        <f t="shared" si="26"/>
        <v>0</v>
      </c>
      <c r="X155" s="15">
        <f t="shared" si="27"/>
        <v>0</v>
      </c>
      <c r="Y155" s="16" t="s">
        <v>351</v>
      </c>
    </row>
    <row r="156" spans="1:25" ht="30" customHeight="1">
      <c r="A156" s="11">
        <v>154</v>
      </c>
      <c r="B156" s="46"/>
      <c r="C156" s="46"/>
      <c r="D156" s="12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4">
        <f t="shared" si="22"/>
        <v>0</v>
      </c>
      <c r="T156" s="14">
        <f t="shared" si="23"/>
        <v>0</v>
      </c>
      <c r="U156" s="14">
        <f t="shared" si="24"/>
        <v>0</v>
      </c>
      <c r="V156" s="14">
        <f t="shared" si="25"/>
        <v>0</v>
      </c>
      <c r="W156" s="14">
        <f t="shared" si="26"/>
        <v>0</v>
      </c>
      <c r="X156" s="15">
        <f t="shared" si="27"/>
        <v>0</v>
      </c>
      <c r="Y156" s="16" t="s">
        <v>341</v>
      </c>
    </row>
    <row r="157" spans="1:25" ht="30" customHeight="1">
      <c r="A157" s="11">
        <v>155</v>
      </c>
      <c r="B157" s="46"/>
      <c r="C157" s="46"/>
      <c r="D157" s="12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4">
        <f t="shared" si="22"/>
        <v>0</v>
      </c>
      <c r="T157" s="14">
        <f t="shared" si="23"/>
        <v>0</v>
      </c>
      <c r="U157" s="14">
        <f t="shared" si="24"/>
        <v>0</v>
      </c>
      <c r="V157" s="14">
        <f t="shared" si="25"/>
        <v>0</v>
      </c>
      <c r="W157" s="14">
        <f t="shared" si="26"/>
        <v>0</v>
      </c>
      <c r="X157" s="15">
        <f t="shared" si="27"/>
        <v>0</v>
      </c>
      <c r="Y157" s="16" t="s">
        <v>352</v>
      </c>
    </row>
    <row r="158" spans="1:25" ht="30" customHeight="1">
      <c r="A158" s="11">
        <v>156</v>
      </c>
      <c r="B158" s="46"/>
      <c r="C158" s="46"/>
      <c r="D158" s="12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4">
        <f t="shared" si="22"/>
        <v>0</v>
      </c>
      <c r="T158" s="14">
        <f t="shared" si="23"/>
        <v>0</v>
      </c>
      <c r="U158" s="14">
        <f t="shared" si="24"/>
        <v>0</v>
      </c>
      <c r="V158" s="14">
        <f t="shared" si="25"/>
        <v>0</v>
      </c>
      <c r="W158" s="14">
        <f t="shared" si="26"/>
        <v>0</v>
      </c>
      <c r="X158" s="15">
        <f t="shared" si="27"/>
        <v>0</v>
      </c>
      <c r="Y158" s="16" t="s">
        <v>303</v>
      </c>
    </row>
    <row r="159" spans="1:25" ht="30" customHeight="1">
      <c r="A159" s="11">
        <v>157</v>
      </c>
      <c r="B159" s="46"/>
      <c r="C159" s="46"/>
      <c r="D159" s="12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4">
        <f t="shared" si="22"/>
        <v>0</v>
      </c>
      <c r="T159" s="14">
        <f t="shared" si="23"/>
        <v>0</v>
      </c>
      <c r="U159" s="14">
        <f t="shared" si="24"/>
        <v>0</v>
      </c>
      <c r="V159" s="14">
        <f t="shared" si="25"/>
        <v>0</v>
      </c>
      <c r="W159" s="14">
        <f t="shared" si="26"/>
        <v>0</v>
      </c>
      <c r="X159" s="15">
        <f t="shared" si="27"/>
        <v>0</v>
      </c>
      <c r="Y159" s="16" t="s">
        <v>353</v>
      </c>
    </row>
    <row r="160" spans="1:25" ht="30" customHeight="1">
      <c r="A160" s="11">
        <v>158</v>
      </c>
      <c r="B160" s="46"/>
      <c r="C160" s="46"/>
      <c r="D160" s="12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4">
        <f t="shared" si="22"/>
        <v>0</v>
      </c>
      <c r="T160" s="14">
        <f t="shared" si="23"/>
        <v>0</v>
      </c>
      <c r="U160" s="14">
        <f t="shared" si="24"/>
        <v>0</v>
      </c>
      <c r="V160" s="14">
        <f t="shared" si="25"/>
        <v>0</v>
      </c>
      <c r="W160" s="14">
        <f t="shared" si="26"/>
        <v>0</v>
      </c>
      <c r="X160" s="15">
        <f t="shared" si="27"/>
        <v>0</v>
      </c>
      <c r="Y160" s="16" t="s">
        <v>356</v>
      </c>
    </row>
    <row r="161" spans="1:25" ht="30" customHeight="1">
      <c r="A161" s="11">
        <v>159</v>
      </c>
      <c r="B161" s="46"/>
      <c r="C161" s="46"/>
      <c r="D161" s="12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4">
        <f t="shared" si="22"/>
        <v>0</v>
      </c>
      <c r="T161" s="14">
        <f t="shared" si="23"/>
        <v>0</v>
      </c>
      <c r="U161" s="14">
        <f t="shared" si="24"/>
        <v>0</v>
      </c>
      <c r="V161" s="14">
        <f t="shared" si="25"/>
        <v>0</v>
      </c>
      <c r="W161" s="14">
        <f t="shared" si="26"/>
        <v>0</v>
      </c>
      <c r="X161" s="15">
        <f t="shared" si="27"/>
        <v>0</v>
      </c>
      <c r="Y161" s="16"/>
    </row>
    <row r="162" spans="1:25" ht="30" customHeight="1">
      <c r="A162" s="11">
        <v>160</v>
      </c>
      <c r="B162" s="46"/>
      <c r="C162" s="46"/>
      <c r="D162" s="12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4">
        <f t="shared" si="22"/>
        <v>0</v>
      </c>
      <c r="T162" s="14">
        <f t="shared" si="23"/>
        <v>0</v>
      </c>
      <c r="U162" s="14">
        <f t="shared" si="24"/>
        <v>0</v>
      </c>
      <c r="V162" s="14">
        <f t="shared" si="25"/>
        <v>0</v>
      </c>
      <c r="W162" s="14">
        <f t="shared" si="26"/>
        <v>0</v>
      </c>
      <c r="X162" s="15">
        <f t="shared" si="27"/>
        <v>0</v>
      </c>
      <c r="Y162" s="16" t="s">
        <v>355</v>
      </c>
    </row>
    <row r="163" spans="1:25" ht="30" customHeight="1">
      <c r="A163" s="11">
        <v>161</v>
      </c>
      <c r="B163" s="46"/>
      <c r="C163" s="46"/>
      <c r="D163" s="12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4">
        <f t="shared" ref="S163:S194" si="28">IF(SUM(E163:R163)&gt;0,1,0)</f>
        <v>0</v>
      </c>
      <c r="T163" s="14">
        <f t="shared" ref="T163:T194" si="29">IF(MAX(G163,H163,I163,J163,K163,M163,N163)&gt;0,1,0)</f>
        <v>0</v>
      </c>
      <c r="U163" s="14">
        <f t="shared" ref="U163:U194" si="30">IF(MAX(E163,F163,L163,O163,Q163)&gt;0,1,0)</f>
        <v>0</v>
      </c>
      <c r="V163" s="14">
        <f t="shared" ref="V163:V194" si="31">IF(P163&gt;0,1,0)</f>
        <v>0</v>
      </c>
      <c r="W163" s="14">
        <f t="shared" si="26"/>
        <v>0</v>
      </c>
      <c r="X163" s="15">
        <f t="shared" ref="X163:X194" si="32">SUMPRODUCT((E163:R163=1)*0.3)+SUMPRODUCT((E163:R163=2)*0.7)+SUMPRODUCT((E163:R163=3)*1.5)</f>
        <v>0</v>
      </c>
      <c r="Y163" s="16" t="s">
        <v>357</v>
      </c>
    </row>
    <row r="164" spans="1:25" ht="30" customHeight="1">
      <c r="A164" s="11">
        <v>162</v>
      </c>
      <c r="B164" s="46"/>
      <c r="C164" s="46"/>
      <c r="D164" s="12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4">
        <f t="shared" si="28"/>
        <v>0</v>
      </c>
      <c r="T164" s="14">
        <f t="shared" si="29"/>
        <v>0</v>
      </c>
      <c r="U164" s="14">
        <f t="shared" si="30"/>
        <v>0</v>
      </c>
      <c r="V164" s="14">
        <f t="shared" si="31"/>
        <v>0</v>
      </c>
      <c r="W164" s="14">
        <f t="shared" si="26"/>
        <v>0</v>
      </c>
      <c r="X164" s="15">
        <f t="shared" si="32"/>
        <v>0</v>
      </c>
      <c r="Y164" s="16"/>
    </row>
    <row r="165" spans="1:25" ht="64">
      <c r="A165" s="11">
        <v>163</v>
      </c>
      <c r="B165" s="46"/>
      <c r="C165" s="46"/>
      <c r="D165" s="12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4">
        <f t="shared" si="28"/>
        <v>0</v>
      </c>
      <c r="T165" s="14">
        <f t="shared" si="29"/>
        <v>0</v>
      </c>
      <c r="U165" s="14">
        <f t="shared" si="30"/>
        <v>0</v>
      </c>
      <c r="V165" s="14">
        <f t="shared" si="31"/>
        <v>0</v>
      </c>
      <c r="W165" s="14">
        <f t="shared" si="26"/>
        <v>0</v>
      </c>
      <c r="X165" s="15">
        <f t="shared" si="32"/>
        <v>0</v>
      </c>
      <c r="Y165" s="16" t="s">
        <v>358</v>
      </c>
    </row>
    <row r="166" spans="1:25" ht="30" customHeight="1">
      <c r="A166" s="11">
        <v>164</v>
      </c>
      <c r="B166" s="46"/>
      <c r="C166" s="46"/>
      <c r="D166" s="12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4">
        <f t="shared" si="28"/>
        <v>0</v>
      </c>
      <c r="T166" s="14">
        <f t="shared" si="29"/>
        <v>0</v>
      </c>
      <c r="U166" s="14">
        <f t="shared" si="30"/>
        <v>0</v>
      </c>
      <c r="V166" s="14">
        <f t="shared" si="31"/>
        <v>0</v>
      </c>
      <c r="W166" s="14">
        <f t="shared" si="26"/>
        <v>0</v>
      </c>
      <c r="X166" s="15">
        <f t="shared" si="32"/>
        <v>0</v>
      </c>
      <c r="Y166" s="16" t="s">
        <v>359</v>
      </c>
    </row>
    <row r="167" spans="1:25" ht="30" customHeight="1">
      <c r="A167" s="11">
        <v>165</v>
      </c>
      <c r="B167" s="46"/>
      <c r="C167" s="46"/>
      <c r="D167" s="12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4">
        <f t="shared" si="28"/>
        <v>0</v>
      </c>
      <c r="T167" s="14">
        <f t="shared" si="29"/>
        <v>0</v>
      </c>
      <c r="U167" s="14">
        <f t="shared" si="30"/>
        <v>0</v>
      </c>
      <c r="V167" s="14">
        <f t="shared" si="31"/>
        <v>0</v>
      </c>
      <c r="W167" s="14">
        <f t="shared" si="26"/>
        <v>0</v>
      </c>
      <c r="X167" s="15">
        <f t="shared" si="32"/>
        <v>0</v>
      </c>
      <c r="Y167" s="16" t="s">
        <v>360</v>
      </c>
    </row>
    <row r="168" spans="1:25" ht="16">
      <c r="A168" s="11">
        <v>166</v>
      </c>
      <c r="B168" s="46"/>
      <c r="C168" s="46"/>
      <c r="D168" s="12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4">
        <f t="shared" si="28"/>
        <v>0</v>
      </c>
      <c r="T168" s="14">
        <f t="shared" si="29"/>
        <v>0</v>
      </c>
      <c r="U168" s="14">
        <f t="shared" si="30"/>
        <v>0</v>
      </c>
      <c r="V168" s="14">
        <f t="shared" si="31"/>
        <v>0</v>
      </c>
      <c r="W168" s="14">
        <f t="shared" si="26"/>
        <v>0</v>
      </c>
      <c r="X168" s="15">
        <f t="shared" si="32"/>
        <v>0</v>
      </c>
      <c r="Y168" s="16" t="s">
        <v>303</v>
      </c>
    </row>
    <row r="169" spans="1:25" ht="30" customHeight="1">
      <c r="A169" s="11">
        <v>167</v>
      </c>
      <c r="B169" s="46"/>
      <c r="C169" s="46"/>
      <c r="D169" s="12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4">
        <f t="shared" si="28"/>
        <v>0</v>
      </c>
      <c r="T169" s="14">
        <f t="shared" si="29"/>
        <v>0</v>
      </c>
      <c r="U169" s="14">
        <f t="shared" si="30"/>
        <v>0</v>
      </c>
      <c r="V169" s="14">
        <f t="shared" si="31"/>
        <v>0</v>
      </c>
      <c r="W169" s="14">
        <f t="shared" si="26"/>
        <v>0</v>
      </c>
      <c r="X169" s="15">
        <f t="shared" si="32"/>
        <v>0</v>
      </c>
      <c r="Y169" s="16"/>
    </row>
    <row r="170" spans="1:25" ht="30" customHeight="1">
      <c r="A170" s="11">
        <v>168</v>
      </c>
      <c r="B170" s="46"/>
      <c r="C170" s="46"/>
      <c r="D170" s="12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4">
        <f t="shared" si="28"/>
        <v>0</v>
      </c>
      <c r="T170" s="14">
        <f t="shared" si="29"/>
        <v>0</v>
      </c>
      <c r="U170" s="14">
        <f t="shared" si="30"/>
        <v>0</v>
      </c>
      <c r="V170" s="14">
        <f t="shared" si="31"/>
        <v>0</v>
      </c>
      <c r="W170" s="14">
        <f t="shared" si="26"/>
        <v>0</v>
      </c>
      <c r="X170" s="15">
        <f t="shared" si="32"/>
        <v>0</v>
      </c>
      <c r="Y170" s="16"/>
    </row>
    <row r="171" spans="1:25" ht="30" customHeight="1">
      <c r="A171" s="11">
        <v>169</v>
      </c>
      <c r="B171" s="46"/>
      <c r="C171" s="46"/>
      <c r="D171" s="12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4">
        <f t="shared" si="28"/>
        <v>0</v>
      </c>
      <c r="T171" s="14">
        <f t="shared" si="29"/>
        <v>0</v>
      </c>
      <c r="U171" s="14">
        <f t="shared" si="30"/>
        <v>0</v>
      </c>
      <c r="V171" s="14">
        <f t="shared" si="31"/>
        <v>0</v>
      </c>
      <c r="W171" s="14">
        <f t="shared" si="26"/>
        <v>0</v>
      </c>
      <c r="X171" s="15">
        <f t="shared" si="32"/>
        <v>0</v>
      </c>
      <c r="Y171" s="16"/>
    </row>
    <row r="172" spans="1:25" ht="30" customHeight="1">
      <c r="A172" s="11">
        <v>170</v>
      </c>
      <c r="B172" s="46"/>
      <c r="C172" s="46"/>
      <c r="D172" s="12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4">
        <f t="shared" si="28"/>
        <v>0</v>
      </c>
      <c r="T172" s="14">
        <f t="shared" si="29"/>
        <v>0</v>
      </c>
      <c r="U172" s="14">
        <f t="shared" si="30"/>
        <v>0</v>
      </c>
      <c r="V172" s="14">
        <f t="shared" si="31"/>
        <v>0</v>
      </c>
      <c r="W172" s="14">
        <f t="shared" si="26"/>
        <v>0</v>
      </c>
      <c r="X172" s="15">
        <f t="shared" si="32"/>
        <v>0</v>
      </c>
      <c r="Y172" s="16"/>
    </row>
    <row r="173" spans="1:25" ht="30" customHeight="1">
      <c r="A173" s="11">
        <v>171</v>
      </c>
      <c r="B173" s="46"/>
      <c r="C173" s="46"/>
      <c r="D173" s="12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4">
        <f t="shared" si="28"/>
        <v>0</v>
      </c>
      <c r="T173" s="14">
        <f t="shared" si="29"/>
        <v>0</v>
      </c>
      <c r="U173" s="14">
        <f t="shared" si="30"/>
        <v>0</v>
      </c>
      <c r="V173" s="14">
        <f t="shared" si="31"/>
        <v>0</v>
      </c>
      <c r="W173" s="14">
        <f t="shared" si="26"/>
        <v>0</v>
      </c>
      <c r="X173" s="15">
        <f t="shared" si="32"/>
        <v>0</v>
      </c>
      <c r="Y173" s="16"/>
    </row>
    <row r="174" spans="1:25" ht="30" customHeight="1">
      <c r="A174" s="11">
        <v>172</v>
      </c>
      <c r="B174" s="46"/>
      <c r="C174" s="46"/>
      <c r="D174" s="12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4">
        <f t="shared" si="28"/>
        <v>0</v>
      </c>
      <c r="T174" s="14">
        <f t="shared" si="29"/>
        <v>0</v>
      </c>
      <c r="U174" s="14">
        <f t="shared" si="30"/>
        <v>0</v>
      </c>
      <c r="V174" s="14">
        <f t="shared" si="31"/>
        <v>0</v>
      </c>
      <c r="W174" s="14">
        <f t="shared" si="26"/>
        <v>0</v>
      </c>
      <c r="X174" s="15">
        <f t="shared" si="32"/>
        <v>0</v>
      </c>
      <c r="Y174" s="16" t="s">
        <v>275</v>
      </c>
    </row>
    <row r="175" spans="1:25" ht="30" customHeight="1">
      <c r="A175" s="11">
        <v>173</v>
      </c>
      <c r="B175" s="46"/>
      <c r="C175" s="46"/>
      <c r="D175" s="12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4">
        <f t="shared" si="28"/>
        <v>0</v>
      </c>
      <c r="T175" s="14">
        <f t="shared" si="29"/>
        <v>0</v>
      </c>
      <c r="U175" s="14">
        <f t="shared" si="30"/>
        <v>0</v>
      </c>
      <c r="V175" s="14">
        <f t="shared" si="31"/>
        <v>0</v>
      </c>
      <c r="W175" s="14">
        <f t="shared" si="26"/>
        <v>0</v>
      </c>
      <c r="X175" s="15">
        <f t="shared" si="32"/>
        <v>0</v>
      </c>
      <c r="Y175" s="16" t="s">
        <v>313</v>
      </c>
    </row>
    <row r="176" spans="1:25" ht="16">
      <c r="A176" s="11">
        <v>174</v>
      </c>
      <c r="B176" s="46"/>
      <c r="C176" s="46"/>
      <c r="D176" s="12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4">
        <f t="shared" si="28"/>
        <v>0</v>
      </c>
      <c r="T176" s="14">
        <f t="shared" si="29"/>
        <v>0</v>
      </c>
      <c r="U176" s="14">
        <f t="shared" si="30"/>
        <v>0</v>
      </c>
      <c r="V176" s="14">
        <f t="shared" si="31"/>
        <v>0</v>
      </c>
      <c r="W176" s="14">
        <f t="shared" si="26"/>
        <v>0</v>
      </c>
      <c r="X176" s="15">
        <f t="shared" si="32"/>
        <v>0</v>
      </c>
      <c r="Y176" s="16" t="s">
        <v>313</v>
      </c>
    </row>
    <row r="177" spans="1:25" ht="30" customHeight="1">
      <c r="A177" s="11">
        <v>175</v>
      </c>
      <c r="B177" s="46"/>
      <c r="C177" s="46"/>
      <c r="D177" s="12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4">
        <f t="shared" si="28"/>
        <v>0</v>
      </c>
      <c r="T177" s="14">
        <f t="shared" si="29"/>
        <v>0</v>
      </c>
      <c r="U177" s="14">
        <f t="shared" si="30"/>
        <v>0</v>
      </c>
      <c r="V177" s="14">
        <f t="shared" si="31"/>
        <v>0</v>
      </c>
      <c r="W177" s="14">
        <f t="shared" si="26"/>
        <v>0</v>
      </c>
      <c r="X177" s="15">
        <f t="shared" si="32"/>
        <v>0</v>
      </c>
      <c r="Y177" s="16"/>
    </row>
    <row r="178" spans="1:25" ht="30" customHeight="1">
      <c r="A178" s="11">
        <v>176</v>
      </c>
      <c r="B178" s="46"/>
      <c r="C178" s="46"/>
      <c r="D178" s="12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4">
        <f t="shared" si="28"/>
        <v>0</v>
      </c>
      <c r="T178" s="14">
        <f t="shared" si="29"/>
        <v>0</v>
      </c>
      <c r="U178" s="14">
        <f t="shared" si="30"/>
        <v>0</v>
      </c>
      <c r="V178" s="14">
        <f t="shared" si="31"/>
        <v>0</v>
      </c>
      <c r="W178" s="14">
        <f t="shared" si="26"/>
        <v>0</v>
      </c>
      <c r="X178" s="15">
        <f t="shared" si="32"/>
        <v>0</v>
      </c>
      <c r="Y178" s="16"/>
    </row>
    <row r="179" spans="1:25" ht="30" customHeight="1">
      <c r="A179" s="11">
        <v>177</v>
      </c>
      <c r="B179" s="46"/>
      <c r="C179" s="46"/>
      <c r="D179" s="12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4">
        <f t="shared" si="28"/>
        <v>0</v>
      </c>
      <c r="T179" s="14">
        <f t="shared" si="29"/>
        <v>0</v>
      </c>
      <c r="U179" s="14">
        <f t="shared" si="30"/>
        <v>0</v>
      </c>
      <c r="V179" s="14">
        <f t="shared" si="31"/>
        <v>0</v>
      </c>
      <c r="W179" s="14">
        <f t="shared" si="26"/>
        <v>0</v>
      </c>
      <c r="X179" s="15">
        <f t="shared" si="32"/>
        <v>0</v>
      </c>
      <c r="Y179" s="16"/>
    </row>
    <row r="180" spans="1:25" ht="30" customHeight="1">
      <c r="A180" s="11">
        <v>178</v>
      </c>
      <c r="B180" s="46"/>
      <c r="C180" s="46"/>
      <c r="D180" s="12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4">
        <f t="shared" si="28"/>
        <v>0</v>
      </c>
      <c r="T180" s="14">
        <f t="shared" si="29"/>
        <v>0</v>
      </c>
      <c r="U180" s="14">
        <f t="shared" si="30"/>
        <v>0</v>
      </c>
      <c r="V180" s="14">
        <f t="shared" si="31"/>
        <v>0</v>
      </c>
      <c r="W180" s="14">
        <f t="shared" si="26"/>
        <v>0</v>
      </c>
      <c r="X180" s="15">
        <f t="shared" si="32"/>
        <v>0</v>
      </c>
      <c r="Y180" s="16" t="s">
        <v>361</v>
      </c>
    </row>
    <row r="181" spans="1:25" ht="30" customHeight="1">
      <c r="A181" s="11">
        <v>179</v>
      </c>
      <c r="B181" s="46"/>
      <c r="C181" s="46"/>
      <c r="D181" s="12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4">
        <f t="shared" si="28"/>
        <v>0</v>
      </c>
      <c r="T181" s="14">
        <f t="shared" si="29"/>
        <v>0</v>
      </c>
      <c r="U181" s="14">
        <f t="shared" si="30"/>
        <v>0</v>
      </c>
      <c r="V181" s="14">
        <f t="shared" si="31"/>
        <v>0</v>
      </c>
      <c r="W181" s="14">
        <f t="shared" si="26"/>
        <v>0</v>
      </c>
      <c r="X181" s="15">
        <f t="shared" si="32"/>
        <v>0</v>
      </c>
      <c r="Y181" s="16" t="s">
        <v>362</v>
      </c>
    </row>
    <row r="182" spans="1:25" ht="16">
      <c r="A182" s="11">
        <v>180</v>
      </c>
      <c r="B182" s="46"/>
      <c r="C182" s="46"/>
      <c r="D182" s="12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4">
        <f t="shared" si="28"/>
        <v>0</v>
      </c>
      <c r="T182" s="14">
        <f t="shared" si="29"/>
        <v>0</v>
      </c>
      <c r="U182" s="14">
        <f t="shared" si="30"/>
        <v>0</v>
      </c>
      <c r="V182" s="14">
        <f t="shared" si="31"/>
        <v>0</v>
      </c>
      <c r="W182" s="14">
        <f t="shared" si="26"/>
        <v>0</v>
      </c>
      <c r="X182" s="15">
        <f t="shared" si="32"/>
        <v>0</v>
      </c>
      <c r="Y182" s="16" t="s">
        <v>363</v>
      </c>
    </row>
    <row r="183" spans="1:25" ht="16">
      <c r="A183" s="11">
        <v>181</v>
      </c>
      <c r="B183" s="46"/>
      <c r="C183" s="46"/>
      <c r="D183" s="12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4">
        <f t="shared" si="28"/>
        <v>0</v>
      </c>
      <c r="T183" s="14">
        <f t="shared" si="29"/>
        <v>0</v>
      </c>
      <c r="U183" s="14">
        <f t="shared" si="30"/>
        <v>0</v>
      </c>
      <c r="V183" s="14">
        <f t="shared" si="31"/>
        <v>0</v>
      </c>
      <c r="W183" s="14">
        <f t="shared" si="26"/>
        <v>0</v>
      </c>
      <c r="X183" s="15">
        <f t="shared" si="32"/>
        <v>0</v>
      </c>
      <c r="Y183" s="16" t="s">
        <v>364</v>
      </c>
    </row>
    <row r="184" spans="1:25" ht="30" customHeight="1">
      <c r="A184" s="11">
        <v>182</v>
      </c>
      <c r="B184" s="46"/>
      <c r="C184" s="46"/>
      <c r="D184" s="12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4">
        <f t="shared" si="28"/>
        <v>0</v>
      </c>
      <c r="T184" s="14">
        <f t="shared" si="29"/>
        <v>0</v>
      </c>
      <c r="U184" s="14">
        <f t="shared" si="30"/>
        <v>0</v>
      </c>
      <c r="V184" s="14">
        <f t="shared" si="31"/>
        <v>0</v>
      </c>
      <c r="W184" s="14">
        <f t="shared" si="26"/>
        <v>0</v>
      </c>
      <c r="X184" s="15">
        <f t="shared" si="32"/>
        <v>0</v>
      </c>
      <c r="Y184" s="16" t="s">
        <v>365</v>
      </c>
    </row>
    <row r="185" spans="1:25" ht="32">
      <c r="A185" s="11">
        <v>183</v>
      </c>
      <c r="B185" s="46"/>
      <c r="C185" s="46"/>
      <c r="D185" s="12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4">
        <f t="shared" si="28"/>
        <v>0</v>
      </c>
      <c r="T185" s="14">
        <f t="shared" si="29"/>
        <v>0</v>
      </c>
      <c r="U185" s="14">
        <f t="shared" si="30"/>
        <v>0</v>
      </c>
      <c r="V185" s="14">
        <f t="shared" si="31"/>
        <v>0</v>
      </c>
      <c r="W185" s="14">
        <f t="shared" si="26"/>
        <v>0</v>
      </c>
      <c r="X185" s="15">
        <f t="shared" si="32"/>
        <v>0</v>
      </c>
      <c r="Y185" s="16" t="s">
        <v>366</v>
      </c>
    </row>
    <row r="186" spans="1:25" ht="30" customHeight="1">
      <c r="A186" s="11">
        <v>184</v>
      </c>
      <c r="B186" s="46"/>
      <c r="C186" s="46"/>
      <c r="D186" s="12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4">
        <f t="shared" si="28"/>
        <v>0</v>
      </c>
      <c r="T186" s="14">
        <f t="shared" si="29"/>
        <v>0</v>
      </c>
      <c r="U186" s="14">
        <f t="shared" si="30"/>
        <v>0</v>
      </c>
      <c r="V186" s="14">
        <f t="shared" si="31"/>
        <v>0</v>
      </c>
      <c r="W186" s="14">
        <f t="shared" si="26"/>
        <v>0</v>
      </c>
      <c r="X186" s="15">
        <f t="shared" si="32"/>
        <v>0</v>
      </c>
      <c r="Y186" s="16"/>
    </row>
    <row r="187" spans="1:25" ht="30" customHeight="1">
      <c r="A187" s="11">
        <v>185</v>
      </c>
      <c r="B187" s="46"/>
      <c r="C187" s="46"/>
      <c r="D187" s="12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4">
        <f t="shared" si="28"/>
        <v>0</v>
      </c>
      <c r="T187" s="14">
        <f t="shared" si="29"/>
        <v>0</v>
      </c>
      <c r="U187" s="14">
        <f t="shared" si="30"/>
        <v>0</v>
      </c>
      <c r="V187" s="14">
        <f t="shared" si="31"/>
        <v>0</v>
      </c>
      <c r="W187" s="14">
        <f t="shared" si="26"/>
        <v>0</v>
      </c>
      <c r="X187" s="15">
        <f t="shared" si="32"/>
        <v>0</v>
      </c>
      <c r="Y187" s="16" t="s">
        <v>373</v>
      </c>
    </row>
    <row r="188" spans="1:25" ht="30" customHeight="1">
      <c r="A188" s="11">
        <v>186</v>
      </c>
      <c r="B188" s="46"/>
      <c r="C188" s="46"/>
      <c r="D188" s="12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4">
        <f t="shared" si="28"/>
        <v>0</v>
      </c>
      <c r="T188" s="14">
        <f t="shared" si="29"/>
        <v>0</v>
      </c>
      <c r="U188" s="14">
        <f t="shared" si="30"/>
        <v>0</v>
      </c>
      <c r="V188" s="14">
        <f t="shared" si="31"/>
        <v>0</v>
      </c>
      <c r="W188" s="14">
        <f t="shared" si="26"/>
        <v>0</v>
      </c>
      <c r="X188" s="15">
        <f t="shared" si="32"/>
        <v>0</v>
      </c>
      <c r="Y188" s="16" t="s">
        <v>367</v>
      </c>
    </row>
    <row r="189" spans="1:25" ht="30" customHeight="1">
      <c r="A189" s="11">
        <v>187</v>
      </c>
      <c r="B189" s="46"/>
      <c r="C189" s="46"/>
      <c r="D189" s="12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4">
        <f t="shared" si="28"/>
        <v>0</v>
      </c>
      <c r="T189" s="14">
        <f t="shared" si="29"/>
        <v>0</v>
      </c>
      <c r="U189" s="14">
        <f t="shared" si="30"/>
        <v>0</v>
      </c>
      <c r="V189" s="14">
        <f t="shared" si="31"/>
        <v>0</v>
      </c>
      <c r="W189" s="14">
        <f t="shared" si="26"/>
        <v>0</v>
      </c>
      <c r="X189" s="15">
        <f t="shared" si="32"/>
        <v>0</v>
      </c>
      <c r="Y189" s="16"/>
    </row>
    <row r="190" spans="1:25" ht="30" customHeight="1">
      <c r="A190" s="11">
        <v>188</v>
      </c>
      <c r="B190" s="46"/>
      <c r="C190" s="46"/>
      <c r="D190" s="12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4">
        <f t="shared" si="28"/>
        <v>0</v>
      </c>
      <c r="T190" s="14">
        <f t="shared" si="29"/>
        <v>0</v>
      </c>
      <c r="U190" s="14">
        <f t="shared" si="30"/>
        <v>0</v>
      </c>
      <c r="V190" s="14">
        <f t="shared" si="31"/>
        <v>0</v>
      </c>
      <c r="W190" s="14">
        <f t="shared" si="26"/>
        <v>0</v>
      </c>
      <c r="X190" s="15">
        <f t="shared" si="32"/>
        <v>0</v>
      </c>
      <c r="Y190" s="16" t="s">
        <v>368</v>
      </c>
    </row>
    <row r="191" spans="1:25" ht="30" customHeight="1">
      <c r="A191" s="11">
        <v>189</v>
      </c>
      <c r="B191" s="46"/>
      <c r="C191" s="46"/>
      <c r="D191" s="12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4">
        <f t="shared" si="28"/>
        <v>0</v>
      </c>
      <c r="T191" s="14">
        <f t="shared" si="29"/>
        <v>0</v>
      </c>
      <c r="U191" s="14">
        <f t="shared" si="30"/>
        <v>0</v>
      </c>
      <c r="V191" s="14">
        <f t="shared" si="31"/>
        <v>0</v>
      </c>
      <c r="W191" s="14">
        <f t="shared" si="26"/>
        <v>0</v>
      </c>
      <c r="X191" s="15">
        <f t="shared" si="32"/>
        <v>0</v>
      </c>
      <c r="Y191" s="16" t="s">
        <v>369</v>
      </c>
    </row>
    <row r="192" spans="1:25" ht="30" customHeight="1">
      <c r="A192" s="11">
        <v>190</v>
      </c>
      <c r="B192" s="46"/>
      <c r="C192" s="46"/>
      <c r="D192" s="12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4">
        <f t="shared" si="28"/>
        <v>0</v>
      </c>
      <c r="T192" s="14">
        <f t="shared" si="29"/>
        <v>0</v>
      </c>
      <c r="U192" s="14">
        <f t="shared" si="30"/>
        <v>0</v>
      </c>
      <c r="V192" s="14">
        <f t="shared" si="31"/>
        <v>0</v>
      </c>
      <c r="W192" s="14">
        <f t="shared" si="26"/>
        <v>0</v>
      </c>
      <c r="X192" s="15">
        <f t="shared" si="32"/>
        <v>0</v>
      </c>
      <c r="Y192" s="16" t="s">
        <v>370</v>
      </c>
    </row>
    <row r="193" spans="1:25" ht="30" customHeight="1">
      <c r="A193" s="11">
        <v>191</v>
      </c>
      <c r="B193" s="46"/>
      <c r="C193" s="46"/>
      <c r="D193" s="12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4">
        <f t="shared" si="28"/>
        <v>0</v>
      </c>
      <c r="T193" s="14">
        <f t="shared" si="29"/>
        <v>0</v>
      </c>
      <c r="U193" s="14">
        <f t="shared" si="30"/>
        <v>0</v>
      </c>
      <c r="V193" s="14">
        <f t="shared" si="31"/>
        <v>0</v>
      </c>
      <c r="W193" s="14">
        <f t="shared" si="26"/>
        <v>0</v>
      </c>
      <c r="X193" s="15">
        <f t="shared" si="32"/>
        <v>0</v>
      </c>
      <c r="Y193" s="16"/>
    </row>
    <row r="194" spans="1:25" ht="30" customHeight="1">
      <c r="A194" s="11">
        <v>192</v>
      </c>
      <c r="B194" s="46"/>
      <c r="C194" s="46"/>
      <c r="D194" s="12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4">
        <f t="shared" si="28"/>
        <v>0</v>
      </c>
      <c r="T194" s="14">
        <f t="shared" si="29"/>
        <v>0</v>
      </c>
      <c r="U194" s="14">
        <f t="shared" si="30"/>
        <v>0</v>
      </c>
      <c r="V194" s="14">
        <f t="shared" si="31"/>
        <v>0</v>
      </c>
      <c r="W194" s="14">
        <f t="shared" si="26"/>
        <v>0</v>
      </c>
      <c r="X194" s="15">
        <f t="shared" si="32"/>
        <v>0</v>
      </c>
      <c r="Y194" s="16" t="s">
        <v>341</v>
      </c>
    </row>
    <row r="195" spans="1:25" ht="30" customHeight="1">
      <c r="A195" s="11">
        <v>193</v>
      </c>
      <c r="B195" s="46"/>
      <c r="C195" s="46"/>
      <c r="D195" s="12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4">
        <f t="shared" ref="S195:S203" si="33">IF(SUM(E195:R195)&gt;0,1,0)</f>
        <v>0</v>
      </c>
      <c r="T195" s="14">
        <f t="shared" ref="T195:T203" si="34">IF(MAX(G195,H195,I195,J195,K195,M195,N195)&gt;0,1,0)</f>
        <v>0</v>
      </c>
      <c r="U195" s="14">
        <f t="shared" ref="U195:U203" si="35">IF(MAX(E195,F195,L195,O195,Q195)&gt;0,1,0)</f>
        <v>0</v>
      </c>
      <c r="V195" s="14">
        <f t="shared" ref="V195:V203" si="36">IF(P195&gt;0,1,0)</f>
        <v>0</v>
      </c>
      <c r="W195" s="14">
        <f t="shared" ref="W195:W258" si="37">IF(AND(B195&lt;&gt;"",S195=0),1,0)</f>
        <v>0</v>
      </c>
      <c r="X195" s="15">
        <f t="shared" ref="X195:X203" si="38">SUMPRODUCT((E195:R195=1)*0.3)+SUMPRODUCT((E195:R195=2)*0.7)+SUMPRODUCT((E195:R195=3)*1.5)</f>
        <v>0</v>
      </c>
      <c r="Y195" s="16"/>
    </row>
    <row r="196" spans="1:25" ht="30" customHeight="1">
      <c r="A196" s="11">
        <v>194</v>
      </c>
      <c r="B196" s="46"/>
      <c r="C196" s="46"/>
      <c r="D196" s="12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4">
        <f t="shared" si="33"/>
        <v>0</v>
      </c>
      <c r="T196" s="14">
        <f t="shared" si="34"/>
        <v>0</v>
      </c>
      <c r="U196" s="14">
        <f t="shared" si="35"/>
        <v>0</v>
      </c>
      <c r="V196" s="14">
        <f t="shared" si="36"/>
        <v>0</v>
      </c>
      <c r="W196" s="14">
        <f t="shared" si="37"/>
        <v>0</v>
      </c>
      <c r="X196" s="15">
        <f t="shared" si="38"/>
        <v>0</v>
      </c>
      <c r="Y196" s="16" t="s">
        <v>371</v>
      </c>
    </row>
    <row r="197" spans="1:25" ht="30" customHeight="1">
      <c r="A197" s="11">
        <v>195</v>
      </c>
      <c r="B197" s="46"/>
      <c r="C197" s="46"/>
      <c r="D197" s="12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4">
        <f t="shared" si="33"/>
        <v>0</v>
      </c>
      <c r="T197" s="14">
        <f t="shared" si="34"/>
        <v>0</v>
      </c>
      <c r="U197" s="14">
        <f t="shared" si="35"/>
        <v>0</v>
      </c>
      <c r="V197" s="14">
        <f t="shared" si="36"/>
        <v>0</v>
      </c>
      <c r="W197" s="14">
        <f t="shared" si="37"/>
        <v>0</v>
      </c>
      <c r="X197" s="15">
        <f t="shared" si="38"/>
        <v>0</v>
      </c>
      <c r="Y197" s="16" t="s">
        <v>372</v>
      </c>
    </row>
    <row r="198" spans="1:25">
      <c r="A198" s="11">
        <v>196</v>
      </c>
      <c r="B198" s="46"/>
      <c r="C198" s="46"/>
      <c r="D198" s="12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4">
        <f t="shared" si="33"/>
        <v>0</v>
      </c>
      <c r="T198" s="14">
        <f t="shared" si="34"/>
        <v>0</v>
      </c>
      <c r="U198" s="14">
        <f t="shared" si="35"/>
        <v>0</v>
      </c>
      <c r="V198" s="14">
        <f t="shared" si="36"/>
        <v>0</v>
      </c>
      <c r="W198" s="14">
        <f t="shared" si="37"/>
        <v>0</v>
      </c>
      <c r="X198" s="15">
        <f t="shared" si="38"/>
        <v>0</v>
      </c>
      <c r="Y198" s="16"/>
    </row>
    <row r="199" spans="1:25" ht="30" customHeight="1">
      <c r="A199" s="11">
        <v>197</v>
      </c>
      <c r="B199" s="46"/>
      <c r="C199" s="46"/>
      <c r="D199" s="12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4">
        <f t="shared" si="33"/>
        <v>0</v>
      </c>
      <c r="T199" s="14">
        <f t="shared" si="34"/>
        <v>0</v>
      </c>
      <c r="U199" s="14">
        <f t="shared" si="35"/>
        <v>0</v>
      </c>
      <c r="V199" s="14">
        <f t="shared" si="36"/>
        <v>0</v>
      </c>
      <c r="W199" s="14">
        <f t="shared" si="37"/>
        <v>0</v>
      </c>
      <c r="X199" s="15">
        <f t="shared" si="38"/>
        <v>0</v>
      </c>
      <c r="Y199" s="16" t="s">
        <v>373</v>
      </c>
    </row>
    <row r="200" spans="1:25" ht="30" customHeight="1">
      <c r="A200" s="11">
        <v>198</v>
      </c>
      <c r="B200" s="46"/>
      <c r="C200" s="46"/>
      <c r="D200" s="12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4">
        <f t="shared" si="33"/>
        <v>0</v>
      </c>
      <c r="T200" s="14">
        <f t="shared" si="34"/>
        <v>0</v>
      </c>
      <c r="U200" s="14">
        <f t="shared" si="35"/>
        <v>0</v>
      </c>
      <c r="V200" s="14">
        <f t="shared" si="36"/>
        <v>0</v>
      </c>
      <c r="W200" s="14">
        <f t="shared" si="37"/>
        <v>0</v>
      </c>
      <c r="X200" s="15">
        <f t="shared" si="38"/>
        <v>0</v>
      </c>
      <c r="Y200" s="16"/>
    </row>
    <row r="201" spans="1:25" ht="30" customHeight="1">
      <c r="A201" s="11">
        <v>199</v>
      </c>
      <c r="B201" s="46"/>
      <c r="C201" s="46"/>
      <c r="D201" s="12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4">
        <f t="shared" si="33"/>
        <v>0</v>
      </c>
      <c r="T201" s="14">
        <f t="shared" si="34"/>
        <v>0</v>
      </c>
      <c r="U201" s="14">
        <f t="shared" si="35"/>
        <v>0</v>
      </c>
      <c r="V201" s="14">
        <f t="shared" si="36"/>
        <v>0</v>
      </c>
      <c r="W201" s="14">
        <f t="shared" si="37"/>
        <v>0</v>
      </c>
      <c r="X201" s="15">
        <f t="shared" si="38"/>
        <v>0</v>
      </c>
      <c r="Y201" s="16" t="s">
        <v>374</v>
      </c>
    </row>
    <row r="202" spans="1:25" ht="30" customHeight="1">
      <c r="A202" s="11">
        <v>200</v>
      </c>
      <c r="B202" s="46"/>
      <c r="C202" s="46"/>
      <c r="D202" s="12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4">
        <f t="shared" si="33"/>
        <v>0</v>
      </c>
      <c r="T202" s="14">
        <f t="shared" si="34"/>
        <v>0</v>
      </c>
      <c r="U202" s="14">
        <f t="shared" si="35"/>
        <v>0</v>
      </c>
      <c r="V202" s="14">
        <f t="shared" si="36"/>
        <v>0</v>
      </c>
      <c r="W202" s="14">
        <f t="shared" si="37"/>
        <v>0</v>
      </c>
      <c r="X202" s="15">
        <f t="shared" si="38"/>
        <v>0</v>
      </c>
      <c r="Y202" s="16" t="s">
        <v>375</v>
      </c>
    </row>
    <row r="203" spans="1:25" ht="30" customHeight="1">
      <c r="A203" s="11">
        <v>201</v>
      </c>
      <c r="B203" s="46"/>
      <c r="C203" s="46"/>
      <c r="D203" s="12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4">
        <f t="shared" si="33"/>
        <v>0</v>
      </c>
      <c r="T203" s="14">
        <f t="shared" si="34"/>
        <v>0</v>
      </c>
      <c r="U203" s="14">
        <f t="shared" si="35"/>
        <v>0</v>
      </c>
      <c r="V203" s="14">
        <f t="shared" si="36"/>
        <v>0</v>
      </c>
      <c r="W203" s="14">
        <f t="shared" si="37"/>
        <v>0</v>
      </c>
      <c r="X203" s="15">
        <f t="shared" si="38"/>
        <v>0</v>
      </c>
      <c r="Y203" s="16"/>
    </row>
    <row r="204" spans="1:25" ht="30" customHeight="1">
      <c r="A204" s="11">
        <v>202</v>
      </c>
      <c r="B204" s="46"/>
      <c r="C204" s="46"/>
      <c r="D204" s="12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4">
        <f t="shared" ref="S204" si="39">IF(SUM(E204:R204)&gt;0,1,0)</f>
        <v>0</v>
      </c>
      <c r="T204" s="14">
        <f t="shared" ref="T204" si="40">IF(MAX(G204,H204,I204,J204,K204,M204,N204)&gt;0,1,0)</f>
        <v>0</v>
      </c>
      <c r="U204" s="14">
        <f t="shared" ref="U204" si="41">IF(MAX(E204,F204,L204,O204,Q204)&gt;0,1,0)</f>
        <v>0</v>
      </c>
      <c r="V204" s="14">
        <f t="shared" ref="V204" si="42">IF(P204&gt;0,1,0)</f>
        <v>0</v>
      </c>
      <c r="W204" s="14">
        <f t="shared" si="37"/>
        <v>0</v>
      </c>
      <c r="X204" s="15">
        <f t="shared" ref="X204" si="43">SUMPRODUCT((E204:R204=1)*0.3)+SUMPRODUCT((E204:R204=2)*0.7)+SUMPRODUCT((E204:R204=3)*1.5)</f>
        <v>0</v>
      </c>
      <c r="Y204" s="16" t="s">
        <v>376</v>
      </c>
    </row>
    <row r="205" spans="1:25" ht="30" customHeight="1">
      <c r="A205" s="11">
        <v>203</v>
      </c>
      <c r="B205" s="46"/>
      <c r="C205" s="46"/>
      <c r="D205" s="12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4">
        <f t="shared" ref="S205:S225" si="44">IF(SUM(E205:R205)&gt;0,1,0)</f>
        <v>0</v>
      </c>
      <c r="T205" s="14">
        <f t="shared" ref="T205:T225" si="45">IF(MAX(G205,H205,I205,J205,K205,M205,N205)&gt;0,1,0)</f>
        <v>0</v>
      </c>
      <c r="U205" s="14">
        <f t="shared" ref="U205:U225" si="46">IF(MAX(E205,F205,L205,O205,Q205)&gt;0,1,0)</f>
        <v>0</v>
      </c>
      <c r="V205" s="14">
        <f t="shared" ref="V205:V225" si="47">IF(P205&gt;0,1,0)</f>
        <v>0</v>
      </c>
      <c r="W205" s="14">
        <f t="shared" si="37"/>
        <v>0</v>
      </c>
      <c r="X205" s="15">
        <f t="shared" ref="X205:X225" si="48">SUMPRODUCT((E205:R205=1)*0.3)+SUMPRODUCT((E205:R205=2)*0.7)+SUMPRODUCT((E205:R205=3)*1.5)</f>
        <v>0</v>
      </c>
      <c r="Y205" s="16" t="s">
        <v>377</v>
      </c>
    </row>
    <row r="206" spans="1:25">
      <c r="A206" s="11">
        <v>204</v>
      </c>
      <c r="B206" s="46"/>
      <c r="C206" s="46"/>
      <c r="D206" s="12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4">
        <f t="shared" si="44"/>
        <v>0</v>
      </c>
      <c r="T206" s="14">
        <f t="shared" si="45"/>
        <v>0</v>
      </c>
      <c r="U206" s="14">
        <f t="shared" si="46"/>
        <v>0</v>
      </c>
      <c r="V206" s="14">
        <f t="shared" si="47"/>
        <v>0</v>
      </c>
      <c r="W206" s="14">
        <f t="shared" si="37"/>
        <v>0</v>
      </c>
      <c r="X206" s="15">
        <f t="shared" si="48"/>
        <v>0</v>
      </c>
      <c r="Y206" s="16"/>
    </row>
    <row r="207" spans="1:25" ht="30" customHeight="1">
      <c r="A207" s="11">
        <v>205</v>
      </c>
      <c r="B207" s="46"/>
      <c r="C207" s="46"/>
      <c r="D207" s="12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4">
        <f t="shared" si="44"/>
        <v>0</v>
      </c>
      <c r="T207" s="14">
        <f t="shared" si="45"/>
        <v>0</v>
      </c>
      <c r="U207" s="14">
        <f t="shared" si="46"/>
        <v>0</v>
      </c>
      <c r="V207" s="14">
        <f t="shared" si="47"/>
        <v>0</v>
      </c>
      <c r="W207" s="14">
        <f t="shared" si="37"/>
        <v>0</v>
      </c>
      <c r="X207" s="15">
        <f t="shared" si="48"/>
        <v>0</v>
      </c>
      <c r="Y207" s="16" t="s">
        <v>378</v>
      </c>
    </row>
    <row r="208" spans="1:25" ht="30" customHeight="1">
      <c r="A208" s="11">
        <v>206</v>
      </c>
      <c r="B208" s="46"/>
      <c r="C208" s="46"/>
      <c r="D208" s="12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4">
        <f t="shared" si="44"/>
        <v>0</v>
      </c>
      <c r="T208" s="14">
        <f t="shared" si="45"/>
        <v>0</v>
      </c>
      <c r="U208" s="14">
        <f t="shared" si="46"/>
        <v>0</v>
      </c>
      <c r="V208" s="14">
        <f t="shared" si="47"/>
        <v>0</v>
      </c>
      <c r="W208" s="14">
        <f t="shared" si="37"/>
        <v>0</v>
      </c>
      <c r="X208" s="15">
        <f t="shared" si="48"/>
        <v>0</v>
      </c>
      <c r="Y208" s="16"/>
    </row>
    <row r="209" spans="1:25" ht="30" customHeight="1">
      <c r="A209" s="11">
        <v>207</v>
      </c>
      <c r="B209" s="46"/>
      <c r="C209" s="45"/>
      <c r="D209" s="12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4">
        <f t="shared" si="44"/>
        <v>0</v>
      </c>
      <c r="T209" s="14">
        <f t="shared" si="45"/>
        <v>0</v>
      </c>
      <c r="U209" s="14">
        <f t="shared" si="46"/>
        <v>0</v>
      </c>
      <c r="V209" s="14">
        <f t="shared" si="47"/>
        <v>0</v>
      </c>
      <c r="W209" s="14">
        <f t="shared" si="37"/>
        <v>0</v>
      </c>
      <c r="X209" s="15">
        <f t="shared" si="48"/>
        <v>0</v>
      </c>
      <c r="Y209" s="16"/>
    </row>
    <row r="210" spans="1:25" ht="48">
      <c r="A210" s="11">
        <v>208</v>
      </c>
      <c r="B210" s="46"/>
      <c r="C210" s="46"/>
      <c r="D210" s="12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4">
        <f t="shared" si="44"/>
        <v>0</v>
      </c>
      <c r="T210" s="14">
        <f t="shared" si="45"/>
        <v>0</v>
      </c>
      <c r="U210" s="14">
        <f t="shared" si="46"/>
        <v>0</v>
      </c>
      <c r="V210" s="14">
        <f t="shared" si="47"/>
        <v>0</v>
      </c>
      <c r="W210" s="14">
        <f t="shared" si="37"/>
        <v>0</v>
      </c>
      <c r="X210" s="15">
        <f t="shared" si="48"/>
        <v>0</v>
      </c>
      <c r="Y210" s="16" t="s">
        <v>379</v>
      </c>
    </row>
    <row r="211" spans="1:25" ht="48.5" customHeight="1">
      <c r="A211" s="11">
        <v>209</v>
      </c>
      <c r="B211" s="46"/>
      <c r="C211" s="46"/>
      <c r="D211" s="12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4">
        <f t="shared" si="44"/>
        <v>0</v>
      </c>
      <c r="T211" s="14">
        <f t="shared" si="45"/>
        <v>0</v>
      </c>
      <c r="U211" s="14">
        <f t="shared" si="46"/>
        <v>0</v>
      </c>
      <c r="V211" s="14">
        <f t="shared" si="47"/>
        <v>0</v>
      </c>
      <c r="W211" s="14">
        <f t="shared" si="37"/>
        <v>0</v>
      </c>
      <c r="X211" s="15">
        <f t="shared" si="48"/>
        <v>0</v>
      </c>
      <c r="Y211" s="16" t="s">
        <v>380</v>
      </c>
    </row>
    <row r="212" spans="1:25" ht="16">
      <c r="A212" s="11">
        <v>210</v>
      </c>
      <c r="B212" s="46"/>
      <c r="C212" s="46"/>
      <c r="D212" s="12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4">
        <f t="shared" si="44"/>
        <v>0</v>
      </c>
      <c r="T212" s="14">
        <f t="shared" si="45"/>
        <v>0</v>
      </c>
      <c r="U212" s="14">
        <f t="shared" si="46"/>
        <v>0</v>
      </c>
      <c r="V212" s="14">
        <f t="shared" si="47"/>
        <v>0</v>
      </c>
      <c r="W212" s="14">
        <f t="shared" si="37"/>
        <v>0</v>
      </c>
      <c r="X212" s="15">
        <f t="shared" si="48"/>
        <v>0</v>
      </c>
      <c r="Y212" s="16" t="s">
        <v>381</v>
      </c>
    </row>
    <row r="213" spans="1:25" ht="30" customHeight="1">
      <c r="A213" s="11">
        <v>211</v>
      </c>
      <c r="B213" s="46"/>
      <c r="C213" s="46"/>
      <c r="D213" s="12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4">
        <f t="shared" si="44"/>
        <v>0</v>
      </c>
      <c r="T213" s="14">
        <f t="shared" si="45"/>
        <v>0</v>
      </c>
      <c r="U213" s="14">
        <f t="shared" si="46"/>
        <v>0</v>
      </c>
      <c r="V213" s="14">
        <f t="shared" si="47"/>
        <v>0</v>
      </c>
      <c r="W213" s="14">
        <f t="shared" si="37"/>
        <v>0</v>
      </c>
      <c r="X213" s="15">
        <f t="shared" si="48"/>
        <v>0</v>
      </c>
      <c r="Y213" s="16" t="s">
        <v>382</v>
      </c>
    </row>
    <row r="214" spans="1:25" ht="30" customHeight="1">
      <c r="A214" s="11">
        <v>212</v>
      </c>
      <c r="B214" s="46"/>
      <c r="C214" s="46"/>
      <c r="D214" s="12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4">
        <f t="shared" si="44"/>
        <v>0</v>
      </c>
      <c r="T214" s="14">
        <f t="shared" si="45"/>
        <v>0</v>
      </c>
      <c r="U214" s="14">
        <f t="shared" si="46"/>
        <v>0</v>
      </c>
      <c r="V214" s="14">
        <f t="shared" si="47"/>
        <v>0</v>
      </c>
      <c r="W214" s="14">
        <f t="shared" si="37"/>
        <v>0</v>
      </c>
      <c r="X214" s="15">
        <f t="shared" si="48"/>
        <v>0</v>
      </c>
      <c r="Y214" s="16" t="s">
        <v>383</v>
      </c>
    </row>
    <row r="215" spans="1:25" ht="38" customHeight="1">
      <c r="A215" s="11">
        <v>213</v>
      </c>
      <c r="B215" s="46"/>
      <c r="C215" s="46"/>
      <c r="D215" s="12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4">
        <f t="shared" si="44"/>
        <v>0</v>
      </c>
      <c r="T215" s="14">
        <f t="shared" si="45"/>
        <v>0</v>
      </c>
      <c r="U215" s="14">
        <f t="shared" si="46"/>
        <v>0</v>
      </c>
      <c r="V215" s="14">
        <f t="shared" si="47"/>
        <v>0</v>
      </c>
      <c r="W215" s="14">
        <f t="shared" si="37"/>
        <v>0</v>
      </c>
      <c r="X215" s="15">
        <f t="shared" si="48"/>
        <v>0</v>
      </c>
      <c r="Y215" s="16" t="s">
        <v>384</v>
      </c>
    </row>
    <row r="216" spans="1:25" ht="41.5" customHeight="1">
      <c r="A216" s="11">
        <v>214</v>
      </c>
      <c r="B216" s="46"/>
      <c r="C216" s="46"/>
      <c r="D216" s="12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4">
        <f t="shared" si="44"/>
        <v>0</v>
      </c>
      <c r="T216" s="14">
        <f t="shared" si="45"/>
        <v>0</v>
      </c>
      <c r="U216" s="14">
        <f t="shared" si="46"/>
        <v>0</v>
      </c>
      <c r="V216" s="14">
        <f t="shared" si="47"/>
        <v>0</v>
      </c>
      <c r="W216" s="14">
        <f t="shared" si="37"/>
        <v>0</v>
      </c>
      <c r="X216" s="15">
        <f t="shared" si="48"/>
        <v>0</v>
      </c>
      <c r="Y216" s="16" t="s">
        <v>385</v>
      </c>
    </row>
    <row r="217" spans="1:25" ht="30" customHeight="1">
      <c r="A217" s="11">
        <v>215</v>
      </c>
      <c r="B217" s="46"/>
      <c r="C217" s="46"/>
      <c r="D217" s="12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4">
        <f t="shared" si="44"/>
        <v>0</v>
      </c>
      <c r="T217" s="14">
        <f t="shared" si="45"/>
        <v>0</v>
      </c>
      <c r="U217" s="14">
        <f t="shared" si="46"/>
        <v>0</v>
      </c>
      <c r="V217" s="14">
        <f t="shared" si="47"/>
        <v>0</v>
      </c>
      <c r="W217" s="14">
        <f t="shared" si="37"/>
        <v>0</v>
      </c>
      <c r="X217" s="15">
        <f t="shared" si="48"/>
        <v>0</v>
      </c>
      <c r="Y217" s="16"/>
    </row>
    <row r="218" spans="1:25" ht="53" customHeight="1">
      <c r="A218" s="11">
        <v>216</v>
      </c>
      <c r="B218" s="46"/>
      <c r="C218" s="46"/>
      <c r="D218" s="12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4">
        <f t="shared" si="44"/>
        <v>0</v>
      </c>
      <c r="T218" s="14">
        <f t="shared" si="45"/>
        <v>0</v>
      </c>
      <c r="U218" s="14">
        <f t="shared" si="46"/>
        <v>0</v>
      </c>
      <c r="V218" s="14">
        <f t="shared" si="47"/>
        <v>0</v>
      </c>
      <c r="W218" s="14">
        <f t="shared" si="37"/>
        <v>0</v>
      </c>
      <c r="X218" s="15">
        <f t="shared" si="48"/>
        <v>0</v>
      </c>
      <c r="Y218" s="16" t="s">
        <v>386</v>
      </c>
    </row>
    <row r="219" spans="1:25" ht="30" customHeight="1">
      <c r="A219" s="11">
        <v>217</v>
      </c>
      <c r="B219" s="46"/>
      <c r="C219" s="46"/>
      <c r="D219" s="12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4">
        <f t="shared" si="44"/>
        <v>0</v>
      </c>
      <c r="T219" s="14">
        <f t="shared" si="45"/>
        <v>0</v>
      </c>
      <c r="U219" s="14">
        <f t="shared" si="46"/>
        <v>0</v>
      </c>
      <c r="V219" s="14">
        <f t="shared" si="47"/>
        <v>0</v>
      </c>
      <c r="W219" s="14">
        <f t="shared" si="37"/>
        <v>0</v>
      </c>
      <c r="X219" s="15">
        <f t="shared" si="48"/>
        <v>0</v>
      </c>
      <c r="Y219" s="16"/>
    </row>
    <row r="220" spans="1:25" ht="30" customHeight="1">
      <c r="A220" s="11">
        <v>218</v>
      </c>
      <c r="B220" s="46"/>
      <c r="C220" s="46"/>
      <c r="D220" s="12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4">
        <f t="shared" si="44"/>
        <v>0</v>
      </c>
      <c r="T220" s="14">
        <f t="shared" si="45"/>
        <v>0</v>
      </c>
      <c r="U220" s="14">
        <f t="shared" si="46"/>
        <v>0</v>
      </c>
      <c r="V220" s="14">
        <f t="shared" si="47"/>
        <v>0</v>
      </c>
      <c r="W220" s="14">
        <f t="shared" si="37"/>
        <v>0</v>
      </c>
      <c r="X220" s="15">
        <f t="shared" si="48"/>
        <v>0</v>
      </c>
      <c r="Y220" s="16" t="s">
        <v>387</v>
      </c>
    </row>
    <row r="221" spans="1:25" ht="46" customHeight="1">
      <c r="A221" s="11">
        <v>219</v>
      </c>
      <c r="B221" s="46"/>
      <c r="C221" s="46"/>
      <c r="D221" s="12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4">
        <f t="shared" si="44"/>
        <v>0</v>
      </c>
      <c r="T221" s="14">
        <f t="shared" si="45"/>
        <v>0</v>
      </c>
      <c r="U221" s="14">
        <f t="shared" si="46"/>
        <v>0</v>
      </c>
      <c r="V221" s="14">
        <f t="shared" si="47"/>
        <v>0</v>
      </c>
      <c r="W221" s="14">
        <f t="shared" si="37"/>
        <v>0</v>
      </c>
      <c r="X221" s="15">
        <f t="shared" si="48"/>
        <v>0</v>
      </c>
      <c r="Y221" s="16"/>
    </row>
    <row r="222" spans="1:25" ht="30" customHeight="1">
      <c r="A222" s="11">
        <v>220</v>
      </c>
      <c r="B222" s="46"/>
      <c r="C222" s="46"/>
      <c r="D222" s="12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4">
        <f t="shared" si="44"/>
        <v>0</v>
      </c>
      <c r="T222" s="14">
        <f t="shared" si="45"/>
        <v>0</v>
      </c>
      <c r="U222" s="14">
        <f t="shared" si="46"/>
        <v>0</v>
      </c>
      <c r="V222" s="14">
        <f t="shared" si="47"/>
        <v>0</v>
      </c>
      <c r="W222" s="14">
        <f t="shared" si="37"/>
        <v>0</v>
      </c>
      <c r="X222" s="15">
        <f t="shared" si="48"/>
        <v>0</v>
      </c>
      <c r="Y222" s="16"/>
    </row>
    <row r="223" spans="1:25">
      <c r="A223" s="11">
        <v>221</v>
      </c>
      <c r="B223" s="46"/>
      <c r="C223" s="46"/>
      <c r="D223" s="12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4">
        <f t="shared" si="44"/>
        <v>0</v>
      </c>
      <c r="T223" s="14">
        <f t="shared" si="45"/>
        <v>0</v>
      </c>
      <c r="U223" s="14">
        <f t="shared" si="46"/>
        <v>0</v>
      </c>
      <c r="V223" s="14">
        <f t="shared" si="47"/>
        <v>0</v>
      </c>
      <c r="W223" s="14">
        <f t="shared" si="37"/>
        <v>0</v>
      </c>
      <c r="X223" s="15">
        <f t="shared" si="48"/>
        <v>0</v>
      </c>
      <c r="Y223" s="16"/>
    </row>
    <row r="224" spans="1:25" ht="30" customHeight="1">
      <c r="A224" s="11">
        <v>222</v>
      </c>
      <c r="B224" s="46"/>
      <c r="C224" s="46"/>
      <c r="D224" s="12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4">
        <f t="shared" si="44"/>
        <v>0</v>
      </c>
      <c r="T224" s="14">
        <f t="shared" si="45"/>
        <v>0</v>
      </c>
      <c r="U224" s="14">
        <f t="shared" si="46"/>
        <v>0</v>
      </c>
      <c r="V224" s="14">
        <f t="shared" si="47"/>
        <v>0</v>
      </c>
      <c r="W224" s="14">
        <f t="shared" si="37"/>
        <v>0</v>
      </c>
      <c r="X224" s="15">
        <f t="shared" si="48"/>
        <v>0</v>
      </c>
      <c r="Y224" s="16"/>
    </row>
    <row r="225" spans="1:25" ht="30" customHeight="1">
      <c r="A225" s="11">
        <v>223</v>
      </c>
      <c r="B225" s="46"/>
      <c r="C225" s="46"/>
      <c r="D225" s="12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4">
        <f t="shared" si="44"/>
        <v>0</v>
      </c>
      <c r="T225" s="14">
        <f t="shared" si="45"/>
        <v>0</v>
      </c>
      <c r="U225" s="14">
        <f t="shared" si="46"/>
        <v>0</v>
      </c>
      <c r="V225" s="14">
        <f t="shared" si="47"/>
        <v>0</v>
      </c>
      <c r="W225" s="14">
        <f t="shared" si="37"/>
        <v>0</v>
      </c>
      <c r="X225" s="15">
        <f t="shared" si="48"/>
        <v>0</v>
      </c>
      <c r="Y225" s="16" t="s">
        <v>388</v>
      </c>
    </row>
    <row r="226" spans="1:25" ht="43" customHeight="1">
      <c r="A226" s="11">
        <v>224</v>
      </c>
      <c r="B226" s="46"/>
      <c r="C226" s="46"/>
      <c r="D226" s="12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4">
        <f t="shared" ref="S226:S289" si="49">IF(SUM(E226:R226)&gt;0,1,0)</f>
        <v>0</v>
      </c>
      <c r="T226" s="14">
        <f t="shared" ref="T226:T289" si="50">IF(MAX(G226,H226,I226,J226,K226,M226,N226)&gt;0,1,0)</f>
        <v>0</v>
      </c>
      <c r="U226" s="14">
        <f t="shared" ref="U226:U289" si="51">IF(MAX(E226,F226,L226,O226,Q226)&gt;0,1,0)</f>
        <v>0</v>
      </c>
      <c r="V226" s="14">
        <f t="shared" ref="V226:V289" si="52">IF(P226&gt;0,1,0)</f>
        <v>0</v>
      </c>
      <c r="W226" s="14">
        <f t="shared" si="37"/>
        <v>0</v>
      </c>
      <c r="X226" s="15">
        <f t="shared" ref="X226:X289" si="53">SUMPRODUCT((E226:R226=1)*0.3)+SUMPRODUCT((E226:R226=2)*0.7)+SUMPRODUCT((E226:R226=3)*1.5)</f>
        <v>0</v>
      </c>
      <c r="Y226" s="16" t="s">
        <v>389</v>
      </c>
    </row>
    <row r="227" spans="1:25" ht="39" customHeight="1">
      <c r="A227" s="11">
        <v>225</v>
      </c>
      <c r="B227" s="46"/>
      <c r="C227" s="46"/>
      <c r="D227" s="12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4">
        <f t="shared" si="49"/>
        <v>0</v>
      </c>
      <c r="T227" s="14">
        <f t="shared" si="50"/>
        <v>0</v>
      </c>
      <c r="U227" s="14">
        <f t="shared" si="51"/>
        <v>0</v>
      </c>
      <c r="V227" s="14">
        <f t="shared" si="52"/>
        <v>0</v>
      </c>
      <c r="W227" s="14">
        <f t="shared" si="37"/>
        <v>0</v>
      </c>
      <c r="X227" s="15">
        <f t="shared" si="53"/>
        <v>0</v>
      </c>
      <c r="Y227" s="16"/>
    </row>
    <row r="228" spans="1:25" ht="30" customHeight="1">
      <c r="A228" s="11">
        <v>226</v>
      </c>
      <c r="B228" s="46"/>
      <c r="C228" s="46"/>
      <c r="D228" s="12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4">
        <f t="shared" si="49"/>
        <v>0</v>
      </c>
      <c r="T228" s="14">
        <f t="shared" si="50"/>
        <v>0</v>
      </c>
      <c r="U228" s="14">
        <f t="shared" si="51"/>
        <v>0</v>
      </c>
      <c r="V228" s="14">
        <f t="shared" si="52"/>
        <v>0</v>
      </c>
      <c r="W228" s="14">
        <f t="shared" si="37"/>
        <v>0</v>
      </c>
      <c r="X228" s="15">
        <f t="shared" si="53"/>
        <v>0</v>
      </c>
      <c r="Y228" s="16" t="s">
        <v>390</v>
      </c>
    </row>
    <row r="229" spans="1:25" ht="30" customHeight="1">
      <c r="A229" s="11">
        <v>227</v>
      </c>
      <c r="B229" s="46"/>
      <c r="C229" s="46"/>
      <c r="D229" s="12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4">
        <f t="shared" si="49"/>
        <v>0</v>
      </c>
      <c r="T229" s="14">
        <f t="shared" si="50"/>
        <v>0</v>
      </c>
      <c r="U229" s="14">
        <f t="shared" si="51"/>
        <v>0</v>
      </c>
      <c r="V229" s="14">
        <f t="shared" si="52"/>
        <v>0</v>
      </c>
      <c r="W229" s="14">
        <f t="shared" si="37"/>
        <v>0</v>
      </c>
      <c r="X229" s="15">
        <f t="shared" si="53"/>
        <v>0</v>
      </c>
      <c r="Y229" s="16" t="s">
        <v>391</v>
      </c>
    </row>
    <row r="230" spans="1:25" ht="40" customHeight="1">
      <c r="A230" s="11">
        <v>228</v>
      </c>
      <c r="B230" s="46"/>
      <c r="C230" s="46"/>
      <c r="D230" s="12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4">
        <f t="shared" si="49"/>
        <v>0</v>
      </c>
      <c r="T230" s="14">
        <f t="shared" si="50"/>
        <v>0</v>
      </c>
      <c r="U230" s="14">
        <f t="shared" si="51"/>
        <v>0</v>
      </c>
      <c r="V230" s="14">
        <f t="shared" si="52"/>
        <v>0</v>
      </c>
      <c r="W230" s="14">
        <f t="shared" si="37"/>
        <v>0</v>
      </c>
      <c r="X230" s="15">
        <f t="shared" si="53"/>
        <v>0</v>
      </c>
      <c r="Y230" s="16" t="s">
        <v>392</v>
      </c>
    </row>
    <row r="231" spans="1:25" ht="30" customHeight="1">
      <c r="A231" s="11">
        <v>229</v>
      </c>
      <c r="B231" s="46"/>
      <c r="C231" s="46"/>
      <c r="D231" s="12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4">
        <f t="shared" si="49"/>
        <v>0</v>
      </c>
      <c r="T231" s="14">
        <f t="shared" si="50"/>
        <v>0</v>
      </c>
      <c r="U231" s="14">
        <f t="shared" si="51"/>
        <v>0</v>
      </c>
      <c r="V231" s="14">
        <f t="shared" si="52"/>
        <v>0</v>
      </c>
      <c r="W231" s="14">
        <f t="shared" si="37"/>
        <v>0</v>
      </c>
      <c r="X231" s="15">
        <f t="shared" si="53"/>
        <v>0</v>
      </c>
      <c r="Y231" s="16"/>
    </row>
    <row r="232" spans="1:25" ht="30" customHeight="1">
      <c r="A232" s="11">
        <v>230</v>
      </c>
      <c r="B232" s="46"/>
      <c r="C232" s="46"/>
      <c r="D232" s="12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4">
        <f t="shared" si="49"/>
        <v>0</v>
      </c>
      <c r="T232" s="14">
        <f t="shared" si="50"/>
        <v>0</v>
      </c>
      <c r="U232" s="14">
        <f t="shared" si="51"/>
        <v>0</v>
      </c>
      <c r="V232" s="14">
        <f t="shared" si="52"/>
        <v>0</v>
      </c>
      <c r="W232" s="14">
        <f t="shared" si="37"/>
        <v>0</v>
      </c>
      <c r="X232" s="15">
        <f t="shared" si="53"/>
        <v>0</v>
      </c>
      <c r="Y232" s="16" t="s">
        <v>393</v>
      </c>
    </row>
    <row r="233" spans="1:25" ht="30" customHeight="1">
      <c r="A233" s="11">
        <v>231</v>
      </c>
      <c r="B233" s="46"/>
      <c r="C233" s="46"/>
      <c r="D233" s="12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4">
        <f t="shared" si="49"/>
        <v>0</v>
      </c>
      <c r="T233" s="14">
        <f t="shared" si="50"/>
        <v>0</v>
      </c>
      <c r="U233" s="14">
        <f t="shared" si="51"/>
        <v>0</v>
      </c>
      <c r="V233" s="14">
        <f t="shared" si="52"/>
        <v>0</v>
      </c>
      <c r="W233" s="14">
        <f t="shared" si="37"/>
        <v>0</v>
      </c>
      <c r="X233" s="15">
        <f t="shared" si="53"/>
        <v>0</v>
      </c>
      <c r="Y233" s="16" t="s">
        <v>394</v>
      </c>
    </row>
    <row r="234" spans="1:25" ht="40.5" customHeight="1">
      <c r="A234" s="11">
        <v>232</v>
      </c>
      <c r="B234" s="46"/>
      <c r="C234" s="46"/>
      <c r="D234" s="12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4">
        <f t="shared" si="49"/>
        <v>0</v>
      </c>
      <c r="T234" s="14">
        <f t="shared" si="50"/>
        <v>0</v>
      </c>
      <c r="U234" s="14">
        <f t="shared" si="51"/>
        <v>0</v>
      </c>
      <c r="V234" s="14">
        <f t="shared" si="52"/>
        <v>0</v>
      </c>
      <c r="W234" s="14">
        <f t="shared" si="37"/>
        <v>0</v>
      </c>
      <c r="X234" s="15">
        <f t="shared" si="53"/>
        <v>0</v>
      </c>
      <c r="Y234" s="16"/>
    </row>
    <row r="235" spans="1:25" ht="30" customHeight="1">
      <c r="A235" s="11">
        <v>233</v>
      </c>
      <c r="B235" s="46"/>
      <c r="C235" s="46"/>
      <c r="D235" s="12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4">
        <f t="shared" si="49"/>
        <v>0</v>
      </c>
      <c r="T235" s="14">
        <f t="shared" si="50"/>
        <v>0</v>
      </c>
      <c r="U235" s="14">
        <f t="shared" si="51"/>
        <v>0</v>
      </c>
      <c r="V235" s="14">
        <f t="shared" si="52"/>
        <v>0</v>
      </c>
      <c r="W235" s="14">
        <f t="shared" si="37"/>
        <v>0</v>
      </c>
      <c r="X235" s="15">
        <f t="shared" si="53"/>
        <v>0</v>
      </c>
      <c r="Y235" s="16"/>
    </row>
    <row r="236" spans="1:25" ht="30" customHeight="1">
      <c r="A236" s="11">
        <v>234</v>
      </c>
      <c r="B236" s="46"/>
      <c r="C236" s="46"/>
      <c r="D236" s="12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4">
        <f t="shared" si="49"/>
        <v>0</v>
      </c>
      <c r="T236" s="14">
        <f t="shared" si="50"/>
        <v>0</v>
      </c>
      <c r="U236" s="14">
        <f t="shared" si="51"/>
        <v>0</v>
      </c>
      <c r="V236" s="14">
        <f t="shared" si="52"/>
        <v>0</v>
      </c>
      <c r="W236" s="14">
        <f t="shared" si="37"/>
        <v>0</v>
      </c>
      <c r="X236" s="15">
        <f t="shared" si="53"/>
        <v>0</v>
      </c>
      <c r="Y236" s="16"/>
    </row>
    <row r="237" spans="1:25" ht="30" customHeight="1">
      <c r="A237" s="11">
        <v>235</v>
      </c>
      <c r="B237" s="46"/>
      <c r="C237" s="46"/>
      <c r="D237" s="12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4">
        <f t="shared" si="49"/>
        <v>0</v>
      </c>
      <c r="T237" s="14">
        <f t="shared" si="50"/>
        <v>0</v>
      </c>
      <c r="U237" s="14">
        <f t="shared" si="51"/>
        <v>0</v>
      </c>
      <c r="V237" s="14">
        <f t="shared" si="52"/>
        <v>0</v>
      </c>
      <c r="W237" s="14">
        <f t="shared" si="37"/>
        <v>0</v>
      </c>
      <c r="X237" s="15">
        <f t="shared" si="53"/>
        <v>0</v>
      </c>
      <c r="Y237" s="16" t="s">
        <v>395</v>
      </c>
    </row>
    <row r="238" spans="1:25" ht="30" customHeight="1">
      <c r="A238" s="11">
        <v>236</v>
      </c>
      <c r="B238" s="46"/>
      <c r="C238" s="46"/>
      <c r="D238" s="12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4">
        <f t="shared" si="49"/>
        <v>0</v>
      </c>
      <c r="T238" s="14">
        <f t="shared" si="50"/>
        <v>0</v>
      </c>
      <c r="U238" s="14">
        <f t="shared" si="51"/>
        <v>0</v>
      </c>
      <c r="V238" s="14">
        <f t="shared" si="52"/>
        <v>0</v>
      </c>
      <c r="W238" s="14">
        <f t="shared" si="37"/>
        <v>0</v>
      </c>
      <c r="X238" s="15">
        <f t="shared" si="53"/>
        <v>0</v>
      </c>
      <c r="Y238" s="16"/>
    </row>
    <row r="239" spans="1:25" ht="30" customHeight="1">
      <c r="A239" s="11">
        <v>237</v>
      </c>
      <c r="B239" s="46"/>
      <c r="C239" s="46"/>
      <c r="D239" s="12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4">
        <f t="shared" si="49"/>
        <v>0</v>
      </c>
      <c r="T239" s="14">
        <f t="shared" si="50"/>
        <v>0</v>
      </c>
      <c r="U239" s="14">
        <f t="shared" si="51"/>
        <v>0</v>
      </c>
      <c r="V239" s="14">
        <f t="shared" si="52"/>
        <v>0</v>
      </c>
      <c r="W239" s="14">
        <f t="shared" si="37"/>
        <v>0</v>
      </c>
      <c r="X239" s="15">
        <f t="shared" si="53"/>
        <v>0</v>
      </c>
      <c r="Y239" s="16" t="s">
        <v>378</v>
      </c>
    </row>
    <row r="240" spans="1:25" ht="30" customHeight="1">
      <c r="A240" s="11">
        <v>238</v>
      </c>
      <c r="B240" s="46"/>
      <c r="C240" s="46"/>
      <c r="D240" s="12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4">
        <f t="shared" si="49"/>
        <v>0</v>
      </c>
      <c r="T240" s="14">
        <f t="shared" si="50"/>
        <v>0</v>
      </c>
      <c r="U240" s="14">
        <f t="shared" si="51"/>
        <v>0</v>
      </c>
      <c r="V240" s="14">
        <f t="shared" si="52"/>
        <v>0</v>
      </c>
      <c r="W240" s="14">
        <f t="shared" si="37"/>
        <v>0</v>
      </c>
      <c r="X240" s="15">
        <f t="shared" si="53"/>
        <v>0</v>
      </c>
      <c r="Y240" s="16"/>
    </row>
    <row r="241" spans="1:25" ht="30" customHeight="1">
      <c r="A241" s="11">
        <v>239</v>
      </c>
      <c r="B241" s="46"/>
      <c r="C241" s="46"/>
      <c r="D241" s="12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4">
        <f t="shared" si="49"/>
        <v>0</v>
      </c>
      <c r="T241" s="14">
        <f t="shared" si="50"/>
        <v>0</v>
      </c>
      <c r="U241" s="14">
        <f t="shared" si="51"/>
        <v>0</v>
      </c>
      <c r="V241" s="14">
        <f t="shared" si="52"/>
        <v>0</v>
      </c>
      <c r="W241" s="14">
        <f t="shared" si="37"/>
        <v>0</v>
      </c>
      <c r="X241" s="15">
        <f t="shared" si="53"/>
        <v>0</v>
      </c>
      <c r="Y241" s="16"/>
    </row>
    <row r="242" spans="1:25" ht="30" customHeight="1">
      <c r="A242" s="11">
        <v>240</v>
      </c>
      <c r="B242" s="46"/>
      <c r="C242" s="46"/>
      <c r="D242" s="12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4">
        <f t="shared" si="49"/>
        <v>0</v>
      </c>
      <c r="T242" s="14">
        <f t="shared" si="50"/>
        <v>0</v>
      </c>
      <c r="U242" s="14">
        <f t="shared" si="51"/>
        <v>0</v>
      </c>
      <c r="V242" s="14">
        <f t="shared" si="52"/>
        <v>0</v>
      </c>
      <c r="W242" s="14">
        <f t="shared" si="37"/>
        <v>0</v>
      </c>
      <c r="X242" s="15">
        <f t="shared" si="53"/>
        <v>0</v>
      </c>
      <c r="Y242" s="16"/>
    </row>
    <row r="243" spans="1:25" ht="30" customHeight="1">
      <c r="A243" s="11">
        <v>241</v>
      </c>
      <c r="B243" s="46"/>
      <c r="C243" s="46"/>
      <c r="D243" s="12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4">
        <f t="shared" si="49"/>
        <v>0</v>
      </c>
      <c r="T243" s="14">
        <f t="shared" si="50"/>
        <v>0</v>
      </c>
      <c r="U243" s="14">
        <f t="shared" si="51"/>
        <v>0</v>
      </c>
      <c r="V243" s="14">
        <f t="shared" si="52"/>
        <v>0</v>
      </c>
      <c r="W243" s="14">
        <f t="shared" si="37"/>
        <v>0</v>
      </c>
      <c r="X243" s="15">
        <f t="shared" si="53"/>
        <v>0</v>
      </c>
      <c r="Y243" s="16" t="s">
        <v>396</v>
      </c>
    </row>
    <row r="244" spans="1:25" ht="30" customHeight="1">
      <c r="A244" s="11">
        <v>242</v>
      </c>
      <c r="B244" s="46"/>
      <c r="C244" s="46"/>
      <c r="D244" s="12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4">
        <f t="shared" si="49"/>
        <v>0</v>
      </c>
      <c r="T244" s="14">
        <f t="shared" si="50"/>
        <v>0</v>
      </c>
      <c r="U244" s="14">
        <f t="shared" si="51"/>
        <v>0</v>
      </c>
      <c r="V244" s="14">
        <f t="shared" si="52"/>
        <v>0</v>
      </c>
      <c r="W244" s="14">
        <f t="shared" si="37"/>
        <v>0</v>
      </c>
      <c r="X244" s="15">
        <f t="shared" si="53"/>
        <v>0</v>
      </c>
      <c r="Y244" s="16"/>
    </row>
    <row r="245" spans="1:25" ht="30" customHeight="1">
      <c r="A245" s="11">
        <v>243</v>
      </c>
      <c r="B245" s="46"/>
      <c r="C245" s="46"/>
      <c r="D245" s="12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4">
        <f t="shared" si="49"/>
        <v>0</v>
      </c>
      <c r="T245" s="14">
        <f t="shared" si="50"/>
        <v>0</v>
      </c>
      <c r="U245" s="14">
        <f t="shared" si="51"/>
        <v>0</v>
      </c>
      <c r="V245" s="14">
        <f t="shared" si="52"/>
        <v>0</v>
      </c>
      <c r="W245" s="14">
        <f t="shared" si="37"/>
        <v>0</v>
      </c>
      <c r="X245" s="15">
        <f t="shared" si="53"/>
        <v>0</v>
      </c>
      <c r="Y245" s="16" t="s">
        <v>397</v>
      </c>
    </row>
    <row r="246" spans="1:25" ht="30" customHeight="1">
      <c r="A246" s="11">
        <v>244</v>
      </c>
      <c r="B246" s="46"/>
      <c r="C246" s="46"/>
      <c r="D246" s="12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4">
        <f t="shared" si="49"/>
        <v>0</v>
      </c>
      <c r="T246" s="14">
        <f t="shared" si="50"/>
        <v>0</v>
      </c>
      <c r="U246" s="14">
        <f t="shared" si="51"/>
        <v>0</v>
      </c>
      <c r="V246" s="14">
        <f t="shared" si="52"/>
        <v>0</v>
      </c>
      <c r="W246" s="14">
        <f t="shared" si="37"/>
        <v>0</v>
      </c>
      <c r="X246" s="15">
        <f t="shared" si="53"/>
        <v>0</v>
      </c>
      <c r="Y246" s="16" t="s">
        <v>398</v>
      </c>
    </row>
    <row r="247" spans="1:25" ht="30" customHeight="1">
      <c r="A247" s="11">
        <v>245</v>
      </c>
      <c r="B247" s="46"/>
      <c r="C247" s="46"/>
      <c r="D247" s="12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4">
        <f t="shared" si="49"/>
        <v>0</v>
      </c>
      <c r="T247" s="14">
        <f t="shared" si="50"/>
        <v>0</v>
      </c>
      <c r="U247" s="14">
        <f t="shared" si="51"/>
        <v>0</v>
      </c>
      <c r="V247" s="14">
        <f t="shared" si="52"/>
        <v>0</v>
      </c>
      <c r="W247" s="14">
        <f t="shared" si="37"/>
        <v>0</v>
      </c>
      <c r="X247" s="15">
        <f t="shared" si="53"/>
        <v>0</v>
      </c>
      <c r="Y247" s="16" t="s">
        <v>399</v>
      </c>
    </row>
    <row r="248" spans="1:25" ht="30" customHeight="1">
      <c r="A248" s="11">
        <v>246</v>
      </c>
      <c r="B248" s="46"/>
      <c r="C248" s="46"/>
      <c r="D248" s="12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4">
        <f t="shared" si="49"/>
        <v>0</v>
      </c>
      <c r="T248" s="14">
        <f t="shared" si="50"/>
        <v>0</v>
      </c>
      <c r="U248" s="14">
        <f t="shared" si="51"/>
        <v>0</v>
      </c>
      <c r="V248" s="14">
        <f t="shared" si="52"/>
        <v>0</v>
      </c>
      <c r="W248" s="14">
        <f t="shared" si="37"/>
        <v>0</v>
      </c>
      <c r="X248" s="15">
        <f t="shared" si="53"/>
        <v>0</v>
      </c>
      <c r="Y248" s="16" t="s">
        <v>277</v>
      </c>
    </row>
    <row r="249" spans="1:25" ht="30" customHeight="1">
      <c r="A249" s="11">
        <v>247</v>
      </c>
      <c r="B249" s="46"/>
      <c r="C249" s="46"/>
      <c r="D249" s="12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4">
        <f t="shared" si="49"/>
        <v>0</v>
      </c>
      <c r="T249" s="14">
        <f t="shared" si="50"/>
        <v>0</v>
      </c>
      <c r="U249" s="14">
        <f t="shared" si="51"/>
        <v>0</v>
      </c>
      <c r="V249" s="14">
        <f t="shared" si="52"/>
        <v>0</v>
      </c>
      <c r="W249" s="14">
        <f t="shared" si="37"/>
        <v>0</v>
      </c>
      <c r="X249" s="15">
        <f t="shared" si="53"/>
        <v>0</v>
      </c>
      <c r="Y249" s="16"/>
    </row>
    <row r="250" spans="1:25" ht="30" customHeight="1">
      <c r="A250" s="11">
        <v>248</v>
      </c>
      <c r="B250" s="46"/>
      <c r="C250" s="46"/>
      <c r="D250" s="12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4">
        <f t="shared" si="49"/>
        <v>0</v>
      </c>
      <c r="T250" s="14">
        <f t="shared" si="50"/>
        <v>0</v>
      </c>
      <c r="U250" s="14">
        <f t="shared" si="51"/>
        <v>0</v>
      </c>
      <c r="V250" s="14">
        <f t="shared" si="52"/>
        <v>0</v>
      </c>
      <c r="W250" s="14">
        <f t="shared" si="37"/>
        <v>0</v>
      </c>
      <c r="X250" s="15">
        <f t="shared" si="53"/>
        <v>0</v>
      </c>
      <c r="Y250" s="16"/>
    </row>
    <row r="251" spans="1:25" ht="30" customHeight="1">
      <c r="A251" s="11">
        <v>249</v>
      </c>
      <c r="B251" s="46"/>
      <c r="C251" s="46"/>
      <c r="D251" s="12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4">
        <f t="shared" si="49"/>
        <v>0</v>
      </c>
      <c r="T251" s="14">
        <f t="shared" si="50"/>
        <v>0</v>
      </c>
      <c r="U251" s="14">
        <f t="shared" si="51"/>
        <v>0</v>
      </c>
      <c r="V251" s="14">
        <f t="shared" si="52"/>
        <v>0</v>
      </c>
      <c r="W251" s="14">
        <f t="shared" si="37"/>
        <v>0</v>
      </c>
      <c r="X251" s="15">
        <f t="shared" si="53"/>
        <v>0</v>
      </c>
      <c r="Y251" s="16"/>
    </row>
    <row r="252" spans="1:25" ht="30" customHeight="1">
      <c r="A252" s="11">
        <v>250</v>
      </c>
      <c r="B252" s="46"/>
      <c r="C252" s="46"/>
      <c r="D252" s="12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4">
        <f t="shared" si="49"/>
        <v>0</v>
      </c>
      <c r="T252" s="14">
        <f t="shared" si="50"/>
        <v>0</v>
      </c>
      <c r="U252" s="14">
        <f t="shared" si="51"/>
        <v>0</v>
      </c>
      <c r="V252" s="14">
        <f t="shared" si="52"/>
        <v>0</v>
      </c>
      <c r="W252" s="14">
        <f t="shared" si="37"/>
        <v>0</v>
      </c>
      <c r="X252" s="15">
        <f t="shared" si="53"/>
        <v>0</v>
      </c>
      <c r="Y252" s="16" t="s">
        <v>400</v>
      </c>
    </row>
    <row r="253" spans="1:25" ht="30" customHeight="1">
      <c r="A253" s="11">
        <v>251</v>
      </c>
      <c r="B253" s="46"/>
      <c r="C253" s="46"/>
      <c r="D253" s="12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4">
        <f t="shared" si="49"/>
        <v>0</v>
      </c>
      <c r="T253" s="14">
        <f t="shared" si="50"/>
        <v>0</v>
      </c>
      <c r="U253" s="14">
        <f t="shared" si="51"/>
        <v>0</v>
      </c>
      <c r="V253" s="14">
        <f t="shared" si="52"/>
        <v>0</v>
      </c>
      <c r="W253" s="14">
        <f t="shared" si="37"/>
        <v>0</v>
      </c>
      <c r="X253" s="15">
        <f t="shared" si="53"/>
        <v>0</v>
      </c>
      <c r="Y253" s="16"/>
    </row>
    <row r="254" spans="1:25" ht="30" customHeight="1">
      <c r="A254" s="11">
        <v>252</v>
      </c>
      <c r="B254" s="46"/>
      <c r="C254" s="46"/>
      <c r="D254" s="12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4">
        <f t="shared" si="49"/>
        <v>0</v>
      </c>
      <c r="T254" s="14">
        <f t="shared" si="50"/>
        <v>0</v>
      </c>
      <c r="U254" s="14">
        <f t="shared" si="51"/>
        <v>0</v>
      </c>
      <c r="V254" s="14">
        <f t="shared" si="52"/>
        <v>0</v>
      </c>
      <c r="W254" s="14">
        <f t="shared" si="37"/>
        <v>0</v>
      </c>
      <c r="X254" s="15">
        <f t="shared" si="53"/>
        <v>0</v>
      </c>
      <c r="Y254" s="16" t="s">
        <v>401</v>
      </c>
    </row>
    <row r="255" spans="1:25" ht="30" customHeight="1">
      <c r="A255" s="11">
        <v>253</v>
      </c>
      <c r="B255" s="46"/>
      <c r="C255" s="46"/>
      <c r="D255" s="12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4">
        <f t="shared" si="49"/>
        <v>0</v>
      </c>
      <c r="T255" s="14">
        <f t="shared" si="50"/>
        <v>0</v>
      </c>
      <c r="U255" s="14">
        <f t="shared" si="51"/>
        <v>0</v>
      </c>
      <c r="V255" s="14">
        <f t="shared" si="52"/>
        <v>0</v>
      </c>
      <c r="W255" s="14">
        <f t="shared" si="37"/>
        <v>0</v>
      </c>
      <c r="X255" s="15">
        <f t="shared" si="53"/>
        <v>0</v>
      </c>
      <c r="Y255" s="16"/>
    </row>
    <row r="256" spans="1:25" ht="30" customHeight="1">
      <c r="A256" s="11">
        <v>254</v>
      </c>
      <c r="B256" s="46"/>
      <c r="C256" s="46"/>
      <c r="D256" s="12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4">
        <f t="shared" si="49"/>
        <v>0</v>
      </c>
      <c r="T256" s="14">
        <f t="shared" si="50"/>
        <v>0</v>
      </c>
      <c r="U256" s="14">
        <f t="shared" si="51"/>
        <v>0</v>
      </c>
      <c r="V256" s="14">
        <f t="shared" si="52"/>
        <v>0</v>
      </c>
      <c r="W256" s="14">
        <f t="shared" si="37"/>
        <v>0</v>
      </c>
      <c r="X256" s="15">
        <f t="shared" si="53"/>
        <v>0</v>
      </c>
      <c r="Y256" s="16"/>
    </row>
    <row r="257" spans="1:25" ht="41.5" customHeight="1">
      <c r="A257" s="11">
        <v>255</v>
      </c>
      <c r="B257" s="46"/>
      <c r="C257" s="46"/>
      <c r="D257" s="12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4">
        <f t="shared" si="49"/>
        <v>0</v>
      </c>
      <c r="T257" s="14">
        <f t="shared" si="50"/>
        <v>0</v>
      </c>
      <c r="U257" s="14">
        <f t="shared" si="51"/>
        <v>0</v>
      </c>
      <c r="V257" s="14">
        <f t="shared" si="52"/>
        <v>0</v>
      </c>
      <c r="W257" s="14">
        <f t="shared" si="37"/>
        <v>0</v>
      </c>
      <c r="X257" s="15">
        <f t="shared" si="53"/>
        <v>0</v>
      </c>
      <c r="Y257" s="16" t="s">
        <v>402</v>
      </c>
    </row>
    <row r="258" spans="1:25" ht="30" customHeight="1">
      <c r="A258" s="11">
        <v>256</v>
      </c>
      <c r="B258" s="46"/>
      <c r="C258" s="46"/>
      <c r="D258" s="12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4">
        <f t="shared" si="49"/>
        <v>0</v>
      </c>
      <c r="T258" s="14">
        <f t="shared" si="50"/>
        <v>0</v>
      </c>
      <c r="U258" s="14">
        <f t="shared" si="51"/>
        <v>0</v>
      </c>
      <c r="V258" s="14">
        <f t="shared" si="52"/>
        <v>0</v>
      </c>
      <c r="W258" s="14">
        <f t="shared" si="37"/>
        <v>0</v>
      </c>
      <c r="X258" s="15">
        <f t="shared" si="53"/>
        <v>0</v>
      </c>
      <c r="Y258" s="16"/>
    </row>
    <row r="259" spans="1:25" ht="30" customHeight="1">
      <c r="A259" s="11">
        <v>257</v>
      </c>
      <c r="B259" s="46"/>
      <c r="C259" s="46"/>
      <c r="D259" s="12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4">
        <f t="shared" si="49"/>
        <v>0</v>
      </c>
      <c r="T259" s="14">
        <f t="shared" si="50"/>
        <v>0</v>
      </c>
      <c r="U259" s="14">
        <f t="shared" si="51"/>
        <v>0</v>
      </c>
      <c r="V259" s="14">
        <f t="shared" si="52"/>
        <v>0</v>
      </c>
      <c r="W259" s="14">
        <f t="shared" ref="W259:W322" si="54">IF(AND(B259&lt;&gt;"",S259=0),1,0)</f>
        <v>0</v>
      </c>
      <c r="X259" s="15">
        <f t="shared" si="53"/>
        <v>0</v>
      </c>
      <c r="Y259" s="16" t="s">
        <v>403</v>
      </c>
    </row>
    <row r="260" spans="1:25" ht="30" customHeight="1">
      <c r="A260" s="11">
        <v>258</v>
      </c>
      <c r="B260" s="46"/>
      <c r="C260" s="46"/>
      <c r="D260" s="12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4">
        <f t="shared" si="49"/>
        <v>0</v>
      </c>
      <c r="T260" s="14">
        <f t="shared" si="50"/>
        <v>0</v>
      </c>
      <c r="U260" s="14">
        <f t="shared" si="51"/>
        <v>0</v>
      </c>
      <c r="V260" s="14">
        <f t="shared" si="52"/>
        <v>0</v>
      </c>
      <c r="W260" s="14">
        <f t="shared" si="54"/>
        <v>0</v>
      </c>
      <c r="X260" s="15">
        <f t="shared" si="53"/>
        <v>0</v>
      </c>
      <c r="Y260" s="16"/>
    </row>
    <row r="261" spans="1:25" ht="30" customHeight="1">
      <c r="A261" s="11">
        <v>259</v>
      </c>
      <c r="B261" s="46"/>
      <c r="C261" s="46"/>
      <c r="D261" s="12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4">
        <f t="shared" si="49"/>
        <v>0</v>
      </c>
      <c r="T261" s="14">
        <f t="shared" si="50"/>
        <v>0</v>
      </c>
      <c r="U261" s="14">
        <f t="shared" si="51"/>
        <v>0</v>
      </c>
      <c r="V261" s="14">
        <f t="shared" si="52"/>
        <v>0</v>
      </c>
      <c r="W261" s="14">
        <f t="shared" si="54"/>
        <v>0</v>
      </c>
      <c r="X261" s="15">
        <f t="shared" si="53"/>
        <v>0</v>
      </c>
      <c r="Y261" s="16"/>
    </row>
    <row r="262" spans="1:25" ht="48">
      <c r="A262" s="11">
        <v>260</v>
      </c>
      <c r="B262" s="46"/>
      <c r="C262" s="46"/>
      <c r="D262" s="12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4">
        <f t="shared" si="49"/>
        <v>0</v>
      </c>
      <c r="T262" s="14">
        <f t="shared" si="50"/>
        <v>0</v>
      </c>
      <c r="U262" s="14">
        <f t="shared" si="51"/>
        <v>0</v>
      </c>
      <c r="V262" s="14">
        <f t="shared" si="52"/>
        <v>0</v>
      </c>
      <c r="W262" s="14">
        <f t="shared" si="54"/>
        <v>0</v>
      </c>
      <c r="X262" s="15">
        <f t="shared" si="53"/>
        <v>0</v>
      </c>
      <c r="Y262" s="16" t="s">
        <v>404</v>
      </c>
    </row>
    <row r="263" spans="1:25" ht="30" customHeight="1">
      <c r="A263" s="11">
        <v>261</v>
      </c>
      <c r="B263" s="46"/>
      <c r="C263" s="46"/>
      <c r="D263" s="12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4">
        <f t="shared" si="49"/>
        <v>0</v>
      </c>
      <c r="T263" s="14">
        <f t="shared" si="50"/>
        <v>0</v>
      </c>
      <c r="U263" s="14">
        <f t="shared" si="51"/>
        <v>0</v>
      </c>
      <c r="V263" s="14">
        <f t="shared" si="52"/>
        <v>0</v>
      </c>
      <c r="W263" s="14">
        <f t="shared" si="54"/>
        <v>0</v>
      </c>
      <c r="X263" s="15">
        <f t="shared" si="53"/>
        <v>0</v>
      </c>
      <c r="Y263" s="16" t="s">
        <v>405</v>
      </c>
    </row>
    <row r="264" spans="1:25" ht="30" customHeight="1">
      <c r="A264" s="11">
        <v>262</v>
      </c>
      <c r="B264" s="46"/>
      <c r="C264" s="46"/>
      <c r="D264" s="12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4">
        <f t="shared" si="49"/>
        <v>0</v>
      </c>
      <c r="T264" s="14">
        <f t="shared" si="50"/>
        <v>0</v>
      </c>
      <c r="U264" s="14">
        <f t="shared" si="51"/>
        <v>0</v>
      </c>
      <c r="V264" s="14">
        <f t="shared" si="52"/>
        <v>0</v>
      </c>
      <c r="W264" s="14">
        <f t="shared" si="54"/>
        <v>0</v>
      </c>
      <c r="X264" s="15">
        <f t="shared" si="53"/>
        <v>0</v>
      </c>
      <c r="Y264" s="16"/>
    </row>
    <row r="265" spans="1:25" ht="30" customHeight="1">
      <c r="A265" s="11">
        <v>263</v>
      </c>
      <c r="B265" s="46"/>
      <c r="C265" s="46"/>
      <c r="D265" s="12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4">
        <f t="shared" si="49"/>
        <v>0</v>
      </c>
      <c r="T265" s="14">
        <f t="shared" si="50"/>
        <v>0</v>
      </c>
      <c r="U265" s="14">
        <f t="shared" si="51"/>
        <v>0</v>
      </c>
      <c r="V265" s="14">
        <f t="shared" si="52"/>
        <v>0</v>
      </c>
      <c r="W265" s="14">
        <f t="shared" si="54"/>
        <v>0</v>
      </c>
      <c r="X265" s="15">
        <f t="shared" si="53"/>
        <v>0</v>
      </c>
      <c r="Y265" s="16"/>
    </row>
    <row r="266" spans="1:25" ht="30" customHeight="1">
      <c r="A266" s="11">
        <v>264</v>
      </c>
      <c r="B266" s="46"/>
      <c r="C266" s="46"/>
      <c r="D266" s="12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4">
        <f t="shared" si="49"/>
        <v>0</v>
      </c>
      <c r="T266" s="14">
        <f t="shared" si="50"/>
        <v>0</v>
      </c>
      <c r="U266" s="14">
        <f t="shared" si="51"/>
        <v>0</v>
      </c>
      <c r="V266" s="14">
        <f t="shared" si="52"/>
        <v>0</v>
      </c>
      <c r="W266" s="14">
        <f t="shared" si="54"/>
        <v>0</v>
      </c>
      <c r="X266" s="15">
        <f t="shared" si="53"/>
        <v>0</v>
      </c>
      <c r="Y266" s="16" t="s">
        <v>406</v>
      </c>
    </row>
    <row r="267" spans="1:25" ht="30" customHeight="1">
      <c r="A267" s="11">
        <v>265</v>
      </c>
      <c r="B267" s="46"/>
      <c r="C267" s="46"/>
      <c r="D267" s="12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4">
        <f t="shared" si="49"/>
        <v>0</v>
      </c>
      <c r="T267" s="14">
        <f t="shared" si="50"/>
        <v>0</v>
      </c>
      <c r="U267" s="14">
        <f t="shared" si="51"/>
        <v>0</v>
      </c>
      <c r="V267" s="14">
        <f t="shared" si="52"/>
        <v>0</v>
      </c>
      <c r="W267" s="14">
        <f t="shared" si="54"/>
        <v>0</v>
      </c>
      <c r="X267" s="15">
        <f t="shared" si="53"/>
        <v>0</v>
      </c>
      <c r="Y267" s="16" t="s">
        <v>407</v>
      </c>
    </row>
    <row r="268" spans="1:25" ht="30" customHeight="1">
      <c r="A268" s="11">
        <v>266</v>
      </c>
      <c r="B268" s="46"/>
      <c r="C268" s="46"/>
      <c r="D268" s="12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4">
        <f t="shared" si="49"/>
        <v>0</v>
      </c>
      <c r="T268" s="14">
        <f t="shared" si="50"/>
        <v>0</v>
      </c>
      <c r="U268" s="14">
        <f t="shared" si="51"/>
        <v>0</v>
      </c>
      <c r="V268" s="14">
        <f t="shared" si="52"/>
        <v>0</v>
      </c>
      <c r="W268" s="14">
        <f t="shared" si="54"/>
        <v>0</v>
      </c>
      <c r="X268" s="15">
        <f t="shared" si="53"/>
        <v>0</v>
      </c>
      <c r="Y268" s="16"/>
    </row>
    <row r="269" spans="1:25" ht="30" customHeight="1">
      <c r="A269" s="11">
        <v>267</v>
      </c>
      <c r="B269" s="46"/>
      <c r="C269" s="46"/>
      <c r="D269" s="12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4">
        <f t="shared" si="49"/>
        <v>0</v>
      </c>
      <c r="T269" s="14">
        <f t="shared" si="50"/>
        <v>0</v>
      </c>
      <c r="U269" s="14">
        <f t="shared" si="51"/>
        <v>0</v>
      </c>
      <c r="V269" s="14">
        <f t="shared" si="52"/>
        <v>0</v>
      </c>
      <c r="W269" s="14">
        <f t="shared" si="54"/>
        <v>0</v>
      </c>
      <c r="X269" s="15">
        <f t="shared" si="53"/>
        <v>0</v>
      </c>
      <c r="Y269" s="16" t="s">
        <v>367</v>
      </c>
    </row>
    <row r="270" spans="1:25" ht="30" customHeight="1">
      <c r="A270" s="11">
        <v>268</v>
      </c>
      <c r="B270" s="46"/>
      <c r="C270" s="46"/>
      <c r="D270" s="12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4">
        <f t="shared" si="49"/>
        <v>0</v>
      </c>
      <c r="T270" s="14">
        <f t="shared" si="50"/>
        <v>0</v>
      </c>
      <c r="U270" s="14">
        <f t="shared" si="51"/>
        <v>0</v>
      </c>
      <c r="V270" s="14">
        <f t="shared" si="52"/>
        <v>0</v>
      </c>
      <c r="W270" s="14">
        <f t="shared" si="54"/>
        <v>0</v>
      </c>
      <c r="X270" s="15">
        <f t="shared" si="53"/>
        <v>0</v>
      </c>
      <c r="Y270" s="16" t="s">
        <v>408</v>
      </c>
    </row>
    <row r="271" spans="1:25" ht="30" customHeight="1">
      <c r="A271" s="11">
        <v>269</v>
      </c>
      <c r="B271" s="46"/>
      <c r="C271" s="46"/>
      <c r="D271" s="12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4">
        <f t="shared" si="49"/>
        <v>0</v>
      </c>
      <c r="T271" s="14">
        <f t="shared" si="50"/>
        <v>0</v>
      </c>
      <c r="U271" s="14">
        <f t="shared" si="51"/>
        <v>0</v>
      </c>
      <c r="V271" s="14">
        <f t="shared" si="52"/>
        <v>0</v>
      </c>
      <c r="W271" s="14">
        <f t="shared" si="54"/>
        <v>0</v>
      </c>
      <c r="X271" s="15">
        <f t="shared" si="53"/>
        <v>0</v>
      </c>
      <c r="Y271" s="16" t="s">
        <v>409</v>
      </c>
    </row>
    <row r="272" spans="1:25" ht="30" customHeight="1">
      <c r="A272" s="11">
        <v>270</v>
      </c>
      <c r="B272" s="46"/>
      <c r="C272" s="46"/>
      <c r="D272" s="12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4">
        <f t="shared" si="49"/>
        <v>0</v>
      </c>
      <c r="T272" s="14">
        <f t="shared" si="50"/>
        <v>0</v>
      </c>
      <c r="U272" s="14">
        <f t="shared" si="51"/>
        <v>0</v>
      </c>
      <c r="V272" s="14">
        <f t="shared" si="52"/>
        <v>0</v>
      </c>
      <c r="W272" s="14">
        <f t="shared" si="54"/>
        <v>0</v>
      </c>
      <c r="X272" s="15">
        <f t="shared" si="53"/>
        <v>0</v>
      </c>
      <c r="Y272" s="16" t="s">
        <v>410</v>
      </c>
    </row>
    <row r="273" spans="1:25" ht="30" customHeight="1">
      <c r="A273" s="11">
        <v>271</v>
      </c>
      <c r="B273" s="46"/>
      <c r="C273" s="46"/>
      <c r="D273" s="12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4">
        <f t="shared" si="49"/>
        <v>0</v>
      </c>
      <c r="T273" s="14">
        <f t="shared" si="50"/>
        <v>0</v>
      </c>
      <c r="U273" s="14">
        <f t="shared" si="51"/>
        <v>0</v>
      </c>
      <c r="V273" s="14">
        <f t="shared" si="52"/>
        <v>0</v>
      </c>
      <c r="W273" s="14">
        <f t="shared" si="54"/>
        <v>0</v>
      </c>
      <c r="X273" s="15">
        <f t="shared" si="53"/>
        <v>0</v>
      </c>
      <c r="Y273" s="16" t="s">
        <v>411</v>
      </c>
    </row>
    <row r="274" spans="1:25" ht="30" customHeight="1">
      <c r="A274" s="11">
        <v>272</v>
      </c>
      <c r="B274" s="46"/>
      <c r="C274" s="46"/>
      <c r="D274" s="12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4">
        <f t="shared" si="49"/>
        <v>0</v>
      </c>
      <c r="T274" s="14">
        <f t="shared" si="50"/>
        <v>0</v>
      </c>
      <c r="U274" s="14">
        <f t="shared" si="51"/>
        <v>0</v>
      </c>
      <c r="V274" s="14">
        <f t="shared" si="52"/>
        <v>0</v>
      </c>
      <c r="W274" s="14">
        <f t="shared" si="54"/>
        <v>0</v>
      </c>
      <c r="X274" s="15">
        <f t="shared" si="53"/>
        <v>0</v>
      </c>
      <c r="Y274" s="16"/>
    </row>
    <row r="275" spans="1:25" ht="30" customHeight="1">
      <c r="A275" s="11">
        <v>273</v>
      </c>
      <c r="B275" s="46"/>
      <c r="C275" s="46"/>
      <c r="D275" s="12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4">
        <f t="shared" si="49"/>
        <v>0</v>
      </c>
      <c r="T275" s="14">
        <f t="shared" si="50"/>
        <v>0</v>
      </c>
      <c r="U275" s="14">
        <f t="shared" si="51"/>
        <v>0</v>
      </c>
      <c r="V275" s="14">
        <f t="shared" si="52"/>
        <v>0</v>
      </c>
      <c r="W275" s="14">
        <f t="shared" si="54"/>
        <v>0</v>
      </c>
      <c r="X275" s="15">
        <f t="shared" si="53"/>
        <v>0</v>
      </c>
      <c r="Y275" s="16"/>
    </row>
    <row r="276" spans="1:25" ht="30" customHeight="1">
      <c r="A276" s="11">
        <v>274</v>
      </c>
      <c r="B276" s="46"/>
      <c r="C276" s="46"/>
      <c r="D276" s="12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4">
        <f t="shared" si="49"/>
        <v>0</v>
      </c>
      <c r="T276" s="14">
        <f t="shared" si="50"/>
        <v>0</v>
      </c>
      <c r="U276" s="14">
        <f t="shared" si="51"/>
        <v>0</v>
      </c>
      <c r="V276" s="14">
        <f t="shared" si="52"/>
        <v>0</v>
      </c>
      <c r="W276" s="14">
        <f t="shared" si="54"/>
        <v>0</v>
      </c>
      <c r="X276" s="15">
        <f t="shared" si="53"/>
        <v>0</v>
      </c>
      <c r="Y276" s="16" t="s">
        <v>412</v>
      </c>
    </row>
    <row r="277" spans="1:25" ht="30" customHeight="1">
      <c r="A277" s="11">
        <v>275</v>
      </c>
      <c r="B277" s="46"/>
      <c r="C277" s="46"/>
      <c r="D277" s="12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4">
        <f t="shared" si="49"/>
        <v>0</v>
      </c>
      <c r="T277" s="14">
        <f t="shared" si="50"/>
        <v>0</v>
      </c>
      <c r="U277" s="14">
        <f t="shared" si="51"/>
        <v>0</v>
      </c>
      <c r="V277" s="14">
        <f t="shared" si="52"/>
        <v>0</v>
      </c>
      <c r="W277" s="14">
        <f t="shared" si="54"/>
        <v>0</v>
      </c>
      <c r="X277" s="15">
        <f t="shared" si="53"/>
        <v>0</v>
      </c>
      <c r="Y277" s="16"/>
    </row>
    <row r="278" spans="1:25" ht="30" customHeight="1">
      <c r="A278" s="11">
        <v>276</v>
      </c>
      <c r="B278" s="46"/>
      <c r="C278" s="46"/>
      <c r="D278" s="12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4">
        <f t="shared" si="49"/>
        <v>0</v>
      </c>
      <c r="T278" s="14">
        <f t="shared" si="50"/>
        <v>0</v>
      </c>
      <c r="U278" s="14">
        <f t="shared" si="51"/>
        <v>0</v>
      </c>
      <c r="V278" s="14">
        <f t="shared" si="52"/>
        <v>0</v>
      </c>
      <c r="W278" s="14">
        <f t="shared" si="54"/>
        <v>0</v>
      </c>
      <c r="X278" s="15">
        <f t="shared" si="53"/>
        <v>0</v>
      </c>
      <c r="Y278" s="16" t="s">
        <v>414</v>
      </c>
    </row>
    <row r="279" spans="1:25" ht="30" customHeight="1">
      <c r="A279" s="11">
        <v>277</v>
      </c>
      <c r="B279" s="46"/>
      <c r="C279" s="46"/>
      <c r="D279" s="12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4">
        <f t="shared" si="49"/>
        <v>0</v>
      </c>
      <c r="T279" s="14">
        <f t="shared" si="50"/>
        <v>0</v>
      </c>
      <c r="U279" s="14">
        <f t="shared" si="51"/>
        <v>0</v>
      </c>
      <c r="V279" s="14">
        <f t="shared" si="52"/>
        <v>0</v>
      </c>
      <c r="W279" s="14">
        <f t="shared" si="54"/>
        <v>0</v>
      </c>
      <c r="X279" s="15">
        <f t="shared" si="53"/>
        <v>0</v>
      </c>
      <c r="Y279" s="16" t="s">
        <v>280</v>
      </c>
    </row>
    <row r="280" spans="1:25" ht="30" customHeight="1">
      <c r="A280" s="11">
        <v>278</v>
      </c>
      <c r="B280" s="46"/>
      <c r="C280" s="46"/>
      <c r="D280" s="12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4">
        <f t="shared" si="49"/>
        <v>0</v>
      </c>
      <c r="T280" s="14">
        <f t="shared" si="50"/>
        <v>0</v>
      </c>
      <c r="U280" s="14">
        <f t="shared" si="51"/>
        <v>0</v>
      </c>
      <c r="V280" s="14">
        <f t="shared" si="52"/>
        <v>0</v>
      </c>
      <c r="W280" s="14">
        <f t="shared" si="54"/>
        <v>0</v>
      </c>
      <c r="X280" s="15">
        <f t="shared" si="53"/>
        <v>0</v>
      </c>
      <c r="Y280" s="16" t="s">
        <v>415</v>
      </c>
    </row>
    <row r="281" spans="1:25" ht="30" customHeight="1">
      <c r="A281" s="11">
        <v>279</v>
      </c>
      <c r="B281" s="46"/>
      <c r="C281" s="46"/>
      <c r="D281" s="12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4">
        <f t="shared" si="49"/>
        <v>0</v>
      </c>
      <c r="T281" s="14">
        <f t="shared" si="50"/>
        <v>0</v>
      </c>
      <c r="U281" s="14">
        <f t="shared" si="51"/>
        <v>0</v>
      </c>
      <c r="V281" s="14">
        <f t="shared" si="52"/>
        <v>0</v>
      </c>
      <c r="W281" s="14">
        <f t="shared" si="54"/>
        <v>0</v>
      </c>
      <c r="X281" s="15">
        <f t="shared" si="53"/>
        <v>0</v>
      </c>
      <c r="Y281" s="16"/>
    </row>
    <row r="282" spans="1:25" ht="30" customHeight="1">
      <c r="A282" s="11">
        <v>280</v>
      </c>
      <c r="B282" s="46"/>
      <c r="C282" s="46"/>
      <c r="D282" s="12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4">
        <f t="shared" si="49"/>
        <v>0</v>
      </c>
      <c r="T282" s="14">
        <f t="shared" si="50"/>
        <v>0</v>
      </c>
      <c r="U282" s="14">
        <f t="shared" si="51"/>
        <v>0</v>
      </c>
      <c r="V282" s="14">
        <f t="shared" si="52"/>
        <v>0</v>
      </c>
      <c r="W282" s="14">
        <f t="shared" si="54"/>
        <v>0</v>
      </c>
      <c r="X282" s="15">
        <f t="shared" si="53"/>
        <v>0</v>
      </c>
      <c r="Y282" s="16" t="s">
        <v>416</v>
      </c>
    </row>
    <row r="283" spans="1:25" ht="30" customHeight="1">
      <c r="A283" s="11">
        <v>281</v>
      </c>
      <c r="B283" s="46"/>
      <c r="C283" s="46"/>
      <c r="D283" s="12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4">
        <f t="shared" si="49"/>
        <v>0</v>
      </c>
      <c r="T283" s="14">
        <f t="shared" si="50"/>
        <v>0</v>
      </c>
      <c r="U283" s="14">
        <f t="shared" si="51"/>
        <v>0</v>
      </c>
      <c r="V283" s="14">
        <f t="shared" si="52"/>
        <v>0</v>
      </c>
      <c r="W283" s="14">
        <f t="shared" si="54"/>
        <v>0</v>
      </c>
      <c r="X283" s="15">
        <f t="shared" si="53"/>
        <v>0</v>
      </c>
      <c r="Y283" s="16" t="s">
        <v>378</v>
      </c>
    </row>
    <row r="284" spans="1:25" ht="30" customHeight="1">
      <c r="A284" s="11">
        <v>282</v>
      </c>
      <c r="B284" s="46"/>
      <c r="C284" s="46"/>
      <c r="D284" s="12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4">
        <f t="shared" si="49"/>
        <v>0</v>
      </c>
      <c r="T284" s="14">
        <f t="shared" si="50"/>
        <v>0</v>
      </c>
      <c r="U284" s="14">
        <f t="shared" si="51"/>
        <v>0</v>
      </c>
      <c r="V284" s="14">
        <f t="shared" si="52"/>
        <v>0</v>
      </c>
      <c r="W284" s="14">
        <f t="shared" si="54"/>
        <v>0</v>
      </c>
      <c r="X284" s="15">
        <f t="shared" si="53"/>
        <v>0</v>
      </c>
      <c r="Y284" s="16" t="s">
        <v>417</v>
      </c>
    </row>
    <row r="285" spans="1:25" ht="30" customHeight="1">
      <c r="A285" s="11">
        <v>283</v>
      </c>
      <c r="B285" s="46"/>
      <c r="C285" s="46"/>
      <c r="D285" s="12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4">
        <f t="shared" si="49"/>
        <v>0</v>
      </c>
      <c r="T285" s="14">
        <f t="shared" si="50"/>
        <v>0</v>
      </c>
      <c r="U285" s="14">
        <f t="shared" si="51"/>
        <v>0</v>
      </c>
      <c r="V285" s="14">
        <f t="shared" si="52"/>
        <v>0</v>
      </c>
      <c r="W285" s="14">
        <f t="shared" si="54"/>
        <v>0</v>
      </c>
      <c r="X285" s="15">
        <f t="shared" si="53"/>
        <v>0</v>
      </c>
      <c r="Y285" s="16" t="s">
        <v>410</v>
      </c>
    </row>
    <row r="286" spans="1:25" ht="30" customHeight="1">
      <c r="A286" s="11">
        <v>284</v>
      </c>
      <c r="B286" s="46"/>
      <c r="C286" s="46"/>
      <c r="D286" s="12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4">
        <f t="shared" si="49"/>
        <v>0</v>
      </c>
      <c r="T286" s="14">
        <f t="shared" si="50"/>
        <v>0</v>
      </c>
      <c r="U286" s="14">
        <f t="shared" si="51"/>
        <v>0</v>
      </c>
      <c r="V286" s="14">
        <f t="shared" si="52"/>
        <v>0</v>
      </c>
      <c r="W286" s="14">
        <f t="shared" si="54"/>
        <v>0</v>
      </c>
      <c r="X286" s="15">
        <f t="shared" si="53"/>
        <v>0</v>
      </c>
      <c r="Y286" s="16" t="s">
        <v>418</v>
      </c>
    </row>
    <row r="287" spans="1:25" ht="30" customHeight="1">
      <c r="A287" s="11">
        <v>285</v>
      </c>
      <c r="B287" s="46"/>
      <c r="C287" s="46"/>
      <c r="D287" s="12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4">
        <f t="shared" si="49"/>
        <v>0</v>
      </c>
      <c r="T287" s="14">
        <f t="shared" si="50"/>
        <v>0</v>
      </c>
      <c r="U287" s="14">
        <f t="shared" si="51"/>
        <v>0</v>
      </c>
      <c r="V287" s="14">
        <f t="shared" si="52"/>
        <v>0</v>
      </c>
      <c r="W287" s="14">
        <f t="shared" si="54"/>
        <v>0</v>
      </c>
      <c r="X287" s="15">
        <f t="shared" si="53"/>
        <v>0</v>
      </c>
      <c r="Y287" s="16"/>
    </row>
    <row r="288" spans="1:25" ht="30" customHeight="1">
      <c r="A288" s="11">
        <v>286</v>
      </c>
      <c r="B288" s="46"/>
      <c r="C288" s="46"/>
      <c r="D288" s="12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4">
        <f t="shared" si="49"/>
        <v>0</v>
      </c>
      <c r="T288" s="14">
        <f t="shared" si="50"/>
        <v>0</v>
      </c>
      <c r="U288" s="14">
        <f t="shared" si="51"/>
        <v>0</v>
      </c>
      <c r="V288" s="14">
        <f t="shared" si="52"/>
        <v>0</v>
      </c>
      <c r="W288" s="14">
        <f t="shared" si="54"/>
        <v>0</v>
      </c>
      <c r="X288" s="15">
        <f t="shared" si="53"/>
        <v>0</v>
      </c>
      <c r="Y288" s="16" t="s">
        <v>419</v>
      </c>
    </row>
    <row r="289" spans="1:25" ht="16">
      <c r="A289" s="11">
        <v>287</v>
      </c>
      <c r="B289" s="46"/>
      <c r="C289" s="46"/>
      <c r="D289" s="12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4">
        <f t="shared" si="49"/>
        <v>0</v>
      </c>
      <c r="T289" s="14">
        <f t="shared" si="50"/>
        <v>0</v>
      </c>
      <c r="U289" s="14">
        <f t="shared" si="51"/>
        <v>0</v>
      </c>
      <c r="V289" s="14">
        <f t="shared" si="52"/>
        <v>0</v>
      </c>
      <c r="W289" s="14">
        <f t="shared" si="54"/>
        <v>0</v>
      </c>
      <c r="X289" s="15">
        <f t="shared" si="53"/>
        <v>0</v>
      </c>
      <c r="Y289" s="16" t="s">
        <v>420</v>
      </c>
    </row>
    <row r="290" spans="1:25" ht="30" customHeight="1">
      <c r="A290" s="11">
        <v>288</v>
      </c>
      <c r="B290" s="46"/>
      <c r="C290" s="46"/>
      <c r="D290" s="12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4">
        <f t="shared" ref="S290:S349" si="55">IF(SUM(E290:R290)&gt;0,1,0)</f>
        <v>0</v>
      </c>
      <c r="T290" s="14">
        <f t="shared" ref="T290:T349" si="56">IF(MAX(G290,H290,I290,J290,K290,M290,N290)&gt;0,1,0)</f>
        <v>0</v>
      </c>
      <c r="U290" s="14">
        <f t="shared" ref="U290:U349" si="57">IF(MAX(E290,F290,L290,O290,Q290)&gt;0,1,0)</f>
        <v>0</v>
      </c>
      <c r="V290" s="14">
        <f t="shared" ref="V290:V349" si="58">IF(P290&gt;0,1,0)</f>
        <v>0</v>
      </c>
      <c r="W290" s="14">
        <f t="shared" si="54"/>
        <v>0</v>
      </c>
      <c r="X290" s="15">
        <f t="shared" ref="X290:X349" si="59">SUMPRODUCT((E290:R290=1)*0.3)+SUMPRODUCT((E290:R290=2)*0.7)+SUMPRODUCT((E290:R290=3)*1.5)</f>
        <v>0</v>
      </c>
      <c r="Y290" s="16"/>
    </row>
    <row r="291" spans="1:25" ht="30" customHeight="1">
      <c r="A291" s="11">
        <v>289</v>
      </c>
      <c r="B291" s="46"/>
      <c r="C291" s="46"/>
      <c r="D291" s="12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4">
        <f t="shared" si="55"/>
        <v>0</v>
      </c>
      <c r="T291" s="14">
        <f t="shared" si="56"/>
        <v>0</v>
      </c>
      <c r="U291" s="14">
        <f t="shared" si="57"/>
        <v>0</v>
      </c>
      <c r="V291" s="14">
        <f t="shared" si="58"/>
        <v>0</v>
      </c>
      <c r="W291" s="14">
        <f t="shared" si="54"/>
        <v>0</v>
      </c>
      <c r="X291" s="15">
        <f t="shared" si="59"/>
        <v>0</v>
      </c>
      <c r="Y291" s="16"/>
    </row>
    <row r="292" spans="1:25" ht="40" customHeight="1">
      <c r="A292" s="11">
        <v>290</v>
      </c>
      <c r="B292" s="46"/>
      <c r="C292" s="46"/>
      <c r="D292" s="12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4">
        <f t="shared" si="55"/>
        <v>0</v>
      </c>
      <c r="T292" s="14">
        <f t="shared" si="56"/>
        <v>0</v>
      </c>
      <c r="U292" s="14">
        <f t="shared" si="57"/>
        <v>0</v>
      </c>
      <c r="V292" s="14">
        <f t="shared" si="58"/>
        <v>0</v>
      </c>
      <c r="W292" s="14">
        <f t="shared" si="54"/>
        <v>0</v>
      </c>
      <c r="X292" s="15">
        <f t="shared" si="59"/>
        <v>0</v>
      </c>
      <c r="Y292" s="16" t="s">
        <v>421</v>
      </c>
    </row>
    <row r="293" spans="1:25" ht="30" customHeight="1">
      <c r="A293" s="11">
        <v>291</v>
      </c>
      <c r="B293" s="46"/>
      <c r="C293" s="46"/>
      <c r="D293" s="12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4">
        <f t="shared" si="55"/>
        <v>0</v>
      </c>
      <c r="T293" s="14">
        <f t="shared" si="56"/>
        <v>0</v>
      </c>
      <c r="U293" s="14">
        <f t="shared" si="57"/>
        <v>0</v>
      </c>
      <c r="V293" s="14">
        <f t="shared" si="58"/>
        <v>0</v>
      </c>
      <c r="W293" s="14">
        <f t="shared" si="54"/>
        <v>0</v>
      </c>
      <c r="X293" s="15">
        <f t="shared" si="59"/>
        <v>0</v>
      </c>
      <c r="Y293" s="16"/>
    </row>
    <row r="294" spans="1:25" ht="30" customHeight="1">
      <c r="A294" s="11">
        <v>292</v>
      </c>
      <c r="B294" s="46"/>
      <c r="C294" s="46"/>
      <c r="D294" s="12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4">
        <f t="shared" si="55"/>
        <v>0</v>
      </c>
      <c r="T294" s="14">
        <f t="shared" si="56"/>
        <v>0</v>
      </c>
      <c r="U294" s="14">
        <f t="shared" si="57"/>
        <v>0</v>
      </c>
      <c r="V294" s="14">
        <f t="shared" si="58"/>
        <v>0</v>
      </c>
      <c r="W294" s="14">
        <f t="shared" si="54"/>
        <v>0</v>
      </c>
      <c r="X294" s="15">
        <f t="shared" si="59"/>
        <v>0</v>
      </c>
      <c r="Y294" s="16"/>
    </row>
    <row r="295" spans="1:25" ht="30" customHeight="1">
      <c r="A295" s="11">
        <v>293</v>
      </c>
      <c r="B295" s="46"/>
      <c r="C295" s="46"/>
      <c r="D295" s="12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4">
        <f t="shared" si="55"/>
        <v>0</v>
      </c>
      <c r="T295" s="14">
        <f t="shared" si="56"/>
        <v>0</v>
      </c>
      <c r="U295" s="14">
        <f t="shared" si="57"/>
        <v>0</v>
      </c>
      <c r="V295" s="14">
        <f t="shared" si="58"/>
        <v>0</v>
      </c>
      <c r="W295" s="14">
        <f t="shared" si="54"/>
        <v>0</v>
      </c>
      <c r="X295" s="15">
        <f t="shared" si="59"/>
        <v>0</v>
      </c>
      <c r="Y295" s="16"/>
    </row>
    <row r="296" spans="1:25" ht="30" customHeight="1">
      <c r="A296" s="11">
        <v>294</v>
      </c>
      <c r="B296" s="46"/>
      <c r="C296" s="46"/>
      <c r="D296" s="12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4">
        <f t="shared" si="55"/>
        <v>0</v>
      </c>
      <c r="T296" s="14">
        <f t="shared" si="56"/>
        <v>0</v>
      </c>
      <c r="U296" s="14">
        <f t="shared" si="57"/>
        <v>0</v>
      </c>
      <c r="V296" s="14">
        <f t="shared" si="58"/>
        <v>0</v>
      </c>
      <c r="W296" s="14">
        <f t="shared" si="54"/>
        <v>0</v>
      </c>
      <c r="X296" s="15">
        <f t="shared" si="59"/>
        <v>0</v>
      </c>
      <c r="Y296" s="16" t="s">
        <v>422</v>
      </c>
    </row>
    <row r="297" spans="1:25" ht="30" customHeight="1">
      <c r="A297" s="11">
        <v>295</v>
      </c>
      <c r="B297" s="46"/>
      <c r="C297" s="46"/>
      <c r="D297" s="12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4">
        <f t="shared" si="55"/>
        <v>0</v>
      </c>
      <c r="T297" s="14">
        <f t="shared" si="56"/>
        <v>0</v>
      </c>
      <c r="U297" s="14">
        <f t="shared" si="57"/>
        <v>0</v>
      </c>
      <c r="V297" s="14">
        <f t="shared" si="58"/>
        <v>0</v>
      </c>
      <c r="W297" s="14">
        <f t="shared" si="54"/>
        <v>0</v>
      </c>
      <c r="X297" s="15">
        <f t="shared" si="59"/>
        <v>0</v>
      </c>
      <c r="Y297" s="16" t="s">
        <v>423</v>
      </c>
    </row>
    <row r="298" spans="1:25" ht="30" customHeight="1">
      <c r="A298" s="11">
        <v>296</v>
      </c>
      <c r="B298" s="46"/>
      <c r="C298" s="46"/>
      <c r="D298" s="12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4">
        <f t="shared" si="55"/>
        <v>0</v>
      </c>
      <c r="T298" s="14">
        <f t="shared" si="56"/>
        <v>0</v>
      </c>
      <c r="U298" s="14">
        <f t="shared" si="57"/>
        <v>0</v>
      </c>
      <c r="V298" s="14">
        <f t="shared" si="58"/>
        <v>0</v>
      </c>
      <c r="W298" s="14">
        <f t="shared" si="54"/>
        <v>0</v>
      </c>
      <c r="X298" s="15">
        <f t="shared" si="59"/>
        <v>0</v>
      </c>
      <c r="Y298" s="16"/>
    </row>
    <row r="299" spans="1:25" ht="30" customHeight="1">
      <c r="A299" s="11">
        <v>297</v>
      </c>
      <c r="B299" s="46"/>
      <c r="C299" s="46"/>
      <c r="D299" s="12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4">
        <f t="shared" si="55"/>
        <v>0</v>
      </c>
      <c r="T299" s="14">
        <f t="shared" si="56"/>
        <v>0</v>
      </c>
      <c r="U299" s="14">
        <f t="shared" si="57"/>
        <v>0</v>
      </c>
      <c r="V299" s="14">
        <f t="shared" si="58"/>
        <v>0</v>
      </c>
      <c r="W299" s="14">
        <f t="shared" si="54"/>
        <v>0</v>
      </c>
      <c r="X299" s="15">
        <f t="shared" si="59"/>
        <v>0</v>
      </c>
      <c r="Y299" s="16"/>
    </row>
    <row r="300" spans="1:25" ht="30" customHeight="1">
      <c r="A300" s="11">
        <v>298</v>
      </c>
      <c r="B300" s="46"/>
      <c r="C300" s="46"/>
      <c r="D300" s="12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4">
        <f t="shared" si="55"/>
        <v>0</v>
      </c>
      <c r="T300" s="14">
        <f t="shared" si="56"/>
        <v>0</v>
      </c>
      <c r="U300" s="14">
        <f t="shared" si="57"/>
        <v>0</v>
      </c>
      <c r="V300" s="14">
        <f t="shared" si="58"/>
        <v>0</v>
      </c>
      <c r="W300" s="14">
        <f t="shared" si="54"/>
        <v>0</v>
      </c>
      <c r="X300" s="15">
        <f t="shared" si="59"/>
        <v>0</v>
      </c>
      <c r="Y300" s="16" t="s">
        <v>341</v>
      </c>
    </row>
    <row r="301" spans="1:25" ht="30" customHeight="1">
      <c r="A301" s="11">
        <v>299</v>
      </c>
      <c r="B301" s="46"/>
      <c r="C301" s="46"/>
      <c r="D301" s="12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4">
        <f t="shared" si="55"/>
        <v>0</v>
      </c>
      <c r="T301" s="14">
        <f t="shared" si="56"/>
        <v>0</v>
      </c>
      <c r="U301" s="14">
        <f t="shared" si="57"/>
        <v>0</v>
      </c>
      <c r="V301" s="14">
        <f t="shared" si="58"/>
        <v>0</v>
      </c>
      <c r="W301" s="14">
        <f t="shared" si="54"/>
        <v>0</v>
      </c>
      <c r="X301" s="15">
        <f t="shared" si="59"/>
        <v>0</v>
      </c>
      <c r="Y301" s="16"/>
    </row>
    <row r="302" spans="1:25" ht="30" customHeight="1">
      <c r="A302" s="11">
        <v>300</v>
      </c>
      <c r="B302" s="46"/>
      <c r="C302" s="46"/>
      <c r="D302" s="12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4">
        <f t="shared" si="55"/>
        <v>0</v>
      </c>
      <c r="T302" s="14">
        <f t="shared" si="56"/>
        <v>0</v>
      </c>
      <c r="U302" s="14">
        <f t="shared" si="57"/>
        <v>0</v>
      </c>
      <c r="V302" s="14">
        <f t="shared" si="58"/>
        <v>0</v>
      </c>
      <c r="W302" s="14">
        <f t="shared" si="54"/>
        <v>0</v>
      </c>
      <c r="X302" s="15">
        <f t="shared" si="59"/>
        <v>0</v>
      </c>
      <c r="Y302" s="16" t="s">
        <v>424</v>
      </c>
    </row>
    <row r="303" spans="1:25" ht="30" customHeight="1">
      <c r="A303" s="11">
        <v>301</v>
      </c>
      <c r="B303" s="46"/>
      <c r="C303" s="46"/>
      <c r="D303" s="12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4">
        <f t="shared" si="55"/>
        <v>0</v>
      </c>
      <c r="T303" s="14">
        <f t="shared" si="56"/>
        <v>0</v>
      </c>
      <c r="U303" s="14">
        <f t="shared" si="57"/>
        <v>0</v>
      </c>
      <c r="V303" s="14">
        <f t="shared" si="58"/>
        <v>0</v>
      </c>
      <c r="W303" s="14">
        <f t="shared" si="54"/>
        <v>0</v>
      </c>
      <c r="X303" s="15">
        <f t="shared" si="59"/>
        <v>0</v>
      </c>
      <c r="Y303" s="16" t="s">
        <v>425</v>
      </c>
    </row>
    <row r="304" spans="1:25" ht="30" customHeight="1">
      <c r="A304" s="11">
        <v>302</v>
      </c>
      <c r="B304" s="46"/>
      <c r="C304" s="46"/>
      <c r="D304" s="12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4">
        <f t="shared" si="55"/>
        <v>0</v>
      </c>
      <c r="T304" s="14">
        <f t="shared" si="56"/>
        <v>0</v>
      </c>
      <c r="U304" s="14">
        <f t="shared" si="57"/>
        <v>0</v>
      </c>
      <c r="V304" s="14">
        <f t="shared" si="58"/>
        <v>0</v>
      </c>
      <c r="W304" s="14">
        <f t="shared" si="54"/>
        <v>0</v>
      </c>
      <c r="X304" s="15">
        <f t="shared" si="59"/>
        <v>0</v>
      </c>
      <c r="Y304" s="16" t="s">
        <v>426</v>
      </c>
    </row>
    <row r="305" spans="1:25" ht="30" customHeight="1">
      <c r="A305" s="11">
        <v>303</v>
      </c>
      <c r="B305" s="46"/>
      <c r="C305" s="45"/>
      <c r="D305" s="12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4">
        <f t="shared" si="55"/>
        <v>0</v>
      </c>
      <c r="T305" s="14">
        <f t="shared" si="56"/>
        <v>0</v>
      </c>
      <c r="U305" s="14">
        <f t="shared" si="57"/>
        <v>0</v>
      </c>
      <c r="V305" s="14">
        <f t="shared" si="58"/>
        <v>0</v>
      </c>
      <c r="W305" s="14">
        <f t="shared" si="54"/>
        <v>0</v>
      </c>
      <c r="X305" s="15">
        <f t="shared" si="59"/>
        <v>0</v>
      </c>
      <c r="Y305" s="16" t="s">
        <v>427</v>
      </c>
    </row>
    <row r="306" spans="1:25" ht="30" customHeight="1">
      <c r="A306" s="11">
        <v>304</v>
      </c>
      <c r="B306" s="46"/>
      <c r="C306" s="45"/>
      <c r="D306" s="12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4">
        <f t="shared" si="55"/>
        <v>0</v>
      </c>
      <c r="T306" s="14">
        <f t="shared" si="56"/>
        <v>0</v>
      </c>
      <c r="U306" s="14">
        <f t="shared" si="57"/>
        <v>0</v>
      </c>
      <c r="V306" s="14">
        <f t="shared" si="58"/>
        <v>0</v>
      </c>
      <c r="W306" s="14">
        <f t="shared" si="54"/>
        <v>0</v>
      </c>
      <c r="X306" s="15">
        <f t="shared" si="59"/>
        <v>0</v>
      </c>
      <c r="Y306" s="16" t="s">
        <v>428</v>
      </c>
    </row>
    <row r="307" spans="1:25" ht="30" customHeight="1">
      <c r="A307" s="11">
        <v>305</v>
      </c>
      <c r="B307" s="46"/>
      <c r="C307" s="45"/>
      <c r="D307" s="12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4">
        <f t="shared" si="55"/>
        <v>0</v>
      </c>
      <c r="T307" s="14">
        <f t="shared" si="56"/>
        <v>0</v>
      </c>
      <c r="U307" s="14">
        <f t="shared" si="57"/>
        <v>0</v>
      </c>
      <c r="V307" s="14">
        <f t="shared" si="58"/>
        <v>0</v>
      </c>
      <c r="W307" s="14">
        <f t="shared" si="54"/>
        <v>0</v>
      </c>
      <c r="X307" s="15">
        <f t="shared" si="59"/>
        <v>0</v>
      </c>
      <c r="Y307" s="16" t="s">
        <v>375</v>
      </c>
    </row>
    <row r="308" spans="1:25" ht="30" customHeight="1">
      <c r="A308" s="11">
        <v>306</v>
      </c>
      <c r="B308" s="46"/>
      <c r="C308" s="45"/>
      <c r="D308" s="12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4">
        <f t="shared" si="55"/>
        <v>0</v>
      </c>
      <c r="T308" s="14">
        <f t="shared" si="56"/>
        <v>0</v>
      </c>
      <c r="U308" s="14">
        <f t="shared" si="57"/>
        <v>0</v>
      </c>
      <c r="V308" s="14">
        <f t="shared" si="58"/>
        <v>0</v>
      </c>
      <c r="W308" s="14">
        <f t="shared" si="54"/>
        <v>0</v>
      </c>
      <c r="X308" s="15">
        <f t="shared" si="59"/>
        <v>0</v>
      </c>
      <c r="Y308" s="16" t="s">
        <v>429</v>
      </c>
    </row>
    <row r="309" spans="1:25" ht="30" customHeight="1">
      <c r="A309" s="11">
        <v>307</v>
      </c>
      <c r="B309" s="46"/>
      <c r="C309" s="45"/>
      <c r="D309" s="12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4">
        <f t="shared" si="55"/>
        <v>0</v>
      </c>
      <c r="T309" s="14">
        <f t="shared" si="56"/>
        <v>0</v>
      </c>
      <c r="U309" s="14">
        <f t="shared" si="57"/>
        <v>0</v>
      </c>
      <c r="V309" s="14">
        <f t="shared" si="58"/>
        <v>0</v>
      </c>
      <c r="W309" s="14">
        <f t="shared" si="54"/>
        <v>0</v>
      </c>
      <c r="X309" s="15">
        <f t="shared" si="59"/>
        <v>0</v>
      </c>
      <c r="Y309" s="16" t="s">
        <v>430</v>
      </c>
    </row>
    <row r="310" spans="1:25" ht="30" customHeight="1">
      <c r="A310" s="11">
        <v>308</v>
      </c>
      <c r="B310" s="46"/>
      <c r="C310" s="45"/>
      <c r="D310" s="12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4">
        <f t="shared" si="55"/>
        <v>0</v>
      </c>
      <c r="T310" s="14">
        <f t="shared" si="56"/>
        <v>0</v>
      </c>
      <c r="U310" s="14">
        <f t="shared" si="57"/>
        <v>0</v>
      </c>
      <c r="V310" s="14">
        <f t="shared" si="58"/>
        <v>0</v>
      </c>
      <c r="W310" s="14">
        <f t="shared" si="54"/>
        <v>0</v>
      </c>
      <c r="X310" s="15">
        <f t="shared" si="59"/>
        <v>0</v>
      </c>
      <c r="Y310" s="16"/>
    </row>
    <row r="311" spans="1:25" ht="30" customHeight="1">
      <c r="A311" s="11">
        <v>309</v>
      </c>
      <c r="B311" s="46"/>
      <c r="C311" s="45"/>
      <c r="D311" s="12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4">
        <f t="shared" si="55"/>
        <v>0</v>
      </c>
      <c r="T311" s="14">
        <f t="shared" si="56"/>
        <v>0</v>
      </c>
      <c r="U311" s="14">
        <f t="shared" si="57"/>
        <v>0</v>
      </c>
      <c r="V311" s="14">
        <f t="shared" si="58"/>
        <v>0</v>
      </c>
      <c r="W311" s="14">
        <f t="shared" si="54"/>
        <v>0</v>
      </c>
      <c r="X311" s="15">
        <f t="shared" si="59"/>
        <v>0</v>
      </c>
      <c r="Y311" s="16" t="s">
        <v>431</v>
      </c>
    </row>
    <row r="312" spans="1:25" ht="30" customHeight="1">
      <c r="A312" s="11">
        <v>310</v>
      </c>
      <c r="B312" s="46"/>
      <c r="C312" s="45"/>
      <c r="D312" s="12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4">
        <f t="shared" si="55"/>
        <v>0</v>
      </c>
      <c r="T312" s="14">
        <f t="shared" si="56"/>
        <v>0</v>
      </c>
      <c r="U312" s="14">
        <f t="shared" si="57"/>
        <v>0</v>
      </c>
      <c r="V312" s="14">
        <f t="shared" si="58"/>
        <v>0</v>
      </c>
      <c r="W312" s="14">
        <f t="shared" si="54"/>
        <v>0</v>
      </c>
      <c r="X312" s="15">
        <f t="shared" si="59"/>
        <v>0</v>
      </c>
      <c r="Y312" s="16"/>
    </row>
    <row r="313" spans="1:25" ht="30" customHeight="1">
      <c r="A313" s="11">
        <v>311</v>
      </c>
      <c r="B313" s="46"/>
      <c r="C313" s="46"/>
      <c r="D313" s="12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4">
        <f t="shared" si="55"/>
        <v>0</v>
      </c>
      <c r="T313" s="14">
        <f t="shared" si="56"/>
        <v>0</v>
      </c>
      <c r="U313" s="14">
        <f t="shared" si="57"/>
        <v>0</v>
      </c>
      <c r="V313" s="14">
        <f t="shared" si="58"/>
        <v>0</v>
      </c>
      <c r="W313" s="14">
        <f t="shared" si="54"/>
        <v>0</v>
      </c>
      <c r="X313" s="15">
        <f t="shared" si="59"/>
        <v>0</v>
      </c>
      <c r="Y313" s="16"/>
    </row>
    <row r="314" spans="1:25" ht="30" customHeight="1">
      <c r="A314" s="11">
        <v>312</v>
      </c>
      <c r="B314" s="46"/>
      <c r="C314" s="46"/>
      <c r="D314" s="12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4">
        <f t="shared" si="55"/>
        <v>0</v>
      </c>
      <c r="T314" s="14">
        <f t="shared" si="56"/>
        <v>0</v>
      </c>
      <c r="U314" s="14">
        <f t="shared" si="57"/>
        <v>0</v>
      </c>
      <c r="V314" s="14">
        <f t="shared" si="58"/>
        <v>0</v>
      </c>
      <c r="W314" s="14">
        <f t="shared" si="54"/>
        <v>0</v>
      </c>
      <c r="X314" s="15">
        <f t="shared" si="59"/>
        <v>0</v>
      </c>
      <c r="Y314" s="16" t="s">
        <v>432</v>
      </c>
    </row>
    <row r="315" spans="1:25" ht="30" customHeight="1">
      <c r="A315" s="11">
        <v>313</v>
      </c>
      <c r="B315" s="46"/>
      <c r="C315" s="46"/>
      <c r="D315" s="12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4">
        <f t="shared" si="55"/>
        <v>0</v>
      </c>
      <c r="T315" s="14">
        <f t="shared" si="56"/>
        <v>0</v>
      </c>
      <c r="U315" s="14">
        <f t="shared" si="57"/>
        <v>0</v>
      </c>
      <c r="V315" s="14">
        <f t="shared" si="58"/>
        <v>0</v>
      </c>
      <c r="W315" s="14">
        <f t="shared" si="54"/>
        <v>0</v>
      </c>
      <c r="X315" s="15">
        <f t="shared" si="59"/>
        <v>0</v>
      </c>
      <c r="Y315" s="16"/>
    </row>
    <row r="316" spans="1:25" ht="30" customHeight="1">
      <c r="A316" s="11">
        <v>314</v>
      </c>
      <c r="B316" s="46"/>
      <c r="C316" s="46"/>
      <c r="D316" s="12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4">
        <f t="shared" si="55"/>
        <v>0</v>
      </c>
      <c r="T316" s="14">
        <f t="shared" si="56"/>
        <v>0</v>
      </c>
      <c r="U316" s="14">
        <f t="shared" si="57"/>
        <v>0</v>
      </c>
      <c r="V316" s="14">
        <f t="shared" si="58"/>
        <v>0</v>
      </c>
      <c r="W316" s="14">
        <f t="shared" si="54"/>
        <v>0</v>
      </c>
      <c r="X316" s="15">
        <f t="shared" si="59"/>
        <v>0</v>
      </c>
      <c r="Y316" s="16" t="s">
        <v>433</v>
      </c>
    </row>
    <row r="317" spans="1:25" ht="30" customHeight="1">
      <c r="A317" s="11">
        <v>315</v>
      </c>
      <c r="B317" s="46"/>
      <c r="C317" s="46"/>
      <c r="D317" s="12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4">
        <f t="shared" si="55"/>
        <v>0</v>
      </c>
      <c r="T317" s="14">
        <f t="shared" si="56"/>
        <v>0</v>
      </c>
      <c r="U317" s="14">
        <f t="shared" si="57"/>
        <v>0</v>
      </c>
      <c r="V317" s="14">
        <f t="shared" si="58"/>
        <v>0</v>
      </c>
      <c r="W317" s="14">
        <f t="shared" si="54"/>
        <v>0</v>
      </c>
      <c r="X317" s="15">
        <f t="shared" si="59"/>
        <v>0</v>
      </c>
      <c r="Y317" s="16"/>
    </row>
    <row r="318" spans="1:25" ht="30" customHeight="1">
      <c r="A318" s="11">
        <v>316</v>
      </c>
      <c r="B318" s="46"/>
      <c r="C318" s="46"/>
      <c r="D318" s="12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4">
        <f t="shared" si="55"/>
        <v>0</v>
      </c>
      <c r="T318" s="14">
        <f t="shared" si="56"/>
        <v>0</v>
      </c>
      <c r="U318" s="14">
        <f t="shared" si="57"/>
        <v>0</v>
      </c>
      <c r="V318" s="14">
        <f t="shared" si="58"/>
        <v>0</v>
      </c>
      <c r="W318" s="14">
        <f t="shared" si="54"/>
        <v>0</v>
      </c>
      <c r="X318" s="15">
        <f t="shared" si="59"/>
        <v>0</v>
      </c>
      <c r="Y318" s="16"/>
    </row>
    <row r="319" spans="1:25" ht="30" customHeight="1">
      <c r="A319" s="11">
        <v>317</v>
      </c>
      <c r="B319" s="46"/>
      <c r="C319" s="46"/>
      <c r="D319" s="12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4">
        <f t="shared" si="55"/>
        <v>0</v>
      </c>
      <c r="T319" s="14">
        <f t="shared" si="56"/>
        <v>0</v>
      </c>
      <c r="U319" s="14">
        <f t="shared" si="57"/>
        <v>0</v>
      </c>
      <c r="V319" s="14">
        <f t="shared" si="58"/>
        <v>0</v>
      </c>
      <c r="W319" s="14">
        <f t="shared" si="54"/>
        <v>0</v>
      </c>
      <c r="X319" s="15">
        <f t="shared" si="59"/>
        <v>0</v>
      </c>
      <c r="Y319" s="16"/>
    </row>
    <row r="320" spans="1:25" ht="30" customHeight="1">
      <c r="A320" s="11">
        <v>318</v>
      </c>
      <c r="B320" s="46"/>
      <c r="C320" s="46"/>
      <c r="D320" s="12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4">
        <f t="shared" si="55"/>
        <v>0</v>
      </c>
      <c r="T320" s="14">
        <f t="shared" si="56"/>
        <v>0</v>
      </c>
      <c r="U320" s="14">
        <f t="shared" si="57"/>
        <v>0</v>
      </c>
      <c r="V320" s="14">
        <f t="shared" si="58"/>
        <v>0</v>
      </c>
      <c r="W320" s="14">
        <f t="shared" si="54"/>
        <v>0</v>
      </c>
      <c r="X320" s="15">
        <f t="shared" si="59"/>
        <v>0</v>
      </c>
      <c r="Y320" s="16" t="s">
        <v>434</v>
      </c>
    </row>
    <row r="321" spans="1:25" ht="30" customHeight="1">
      <c r="A321" s="11">
        <v>319</v>
      </c>
      <c r="B321" s="46"/>
      <c r="C321" s="46"/>
      <c r="D321" s="12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4">
        <f t="shared" si="55"/>
        <v>0</v>
      </c>
      <c r="T321" s="14">
        <f t="shared" si="56"/>
        <v>0</v>
      </c>
      <c r="U321" s="14">
        <f t="shared" si="57"/>
        <v>0</v>
      </c>
      <c r="V321" s="14">
        <f t="shared" si="58"/>
        <v>0</v>
      </c>
      <c r="W321" s="14">
        <f t="shared" si="54"/>
        <v>0</v>
      </c>
      <c r="X321" s="15">
        <f t="shared" si="59"/>
        <v>0</v>
      </c>
      <c r="Y321" s="16"/>
    </row>
    <row r="322" spans="1:25" ht="30" customHeight="1">
      <c r="A322" s="11">
        <v>320</v>
      </c>
      <c r="B322" s="46"/>
      <c r="C322" s="46"/>
      <c r="D322" s="12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4">
        <f t="shared" si="55"/>
        <v>0</v>
      </c>
      <c r="T322" s="14">
        <f t="shared" si="56"/>
        <v>0</v>
      </c>
      <c r="U322" s="14">
        <f t="shared" si="57"/>
        <v>0</v>
      </c>
      <c r="V322" s="14">
        <f t="shared" si="58"/>
        <v>0</v>
      </c>
      <c r="W322" s="14">
        <f t="shared" si="54"/>
        <v>0</v>
      </c>
      <c r="X322" s="15">
        <f t="shared" si="59"/>
        <v>0</v>
      </c>
      <c r="Y322" s="16" t="s">
        <v>435</v>
      </c>
    </row>
    <row r="323" spans="1:25" ht="51.5" customHeight="1">
      <c r="A323" s="11">
        <v>321</v>
      </c>
      <c r="B323" s="46"/>
      <c r="C323" s="46"/>
      <c r="D323" s="12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4">
        <f t="shared" si="55"/>
        <v>0</v>
      </c>
      <c r="T323" s="14">
        <f t="shared" si="56"/>
        <v>0</v>
      </c>
      <c r="U323" s="14">
        <f t="shared" si="57"/>
        <v>0</v>
      </c>
      <c r="V323" s="14">
        <f t="shared" si="58"/>
        <v>0</v>
      </c>
      <c r="W323" s="14">
        <f t="shared" ref="W323:W349" si="60">IF(AND(B323&lt;&gt;"",S323=0),1,0)</f>
        <v>0</v>
      </c>
      <c r="X323" s="15">
        <f t="shared" si="59"/>
        <v>0</v>
      </c>
      <c r="Y323" s="16" t="s">
        <v>436</v>
      </c>
    </row>
    <row r="324" spans="1:25" ht="30" customHeight="1">
      <c r="A324" s="11">
        <v>322</v>
      </c>
      <c r="B324" s="46"/>
      <c r="C324" s="46"/>
      <c r="D324" s="12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4">
        <f t="shared" si="55"/>
        <v>0</v>
      </c>
      <c r="T324" s="14">
        <f t="shared" si="56"/>
        <v>0</v>
      </c>
      <c r="U324" s="14">
        <f t="shared" si="57"/>
        <v>0</v>
      </c>
      <c r="V324" s="14">
        <f t="shared" si="58"/>
        <v>0</v>
      </c>
      <c r="W324" s="14">
        <f t="shared" si="60"/>
        <v>0</v>
      </c>
      <c r="X324" s="15">
        <f t="shared" si="59"/>
        <v>0</v>
      </c>
      <c r="Y324" s="16"/>
    </row>
    <row r="325" spans="1:25" ht="36.5" customHeight="1">
      <c r="A325" s="11">
        <v>323</v>
      </c>
      <c r="B325" s="46"/>
      <c r="C325" s="46"/>
      <c r="D325" s="12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4">
        <f t="shared" si="55"/>
        <v>0</v>
      </c>
      <c r="T325" s="14">
        <f t="shared" si="56"/>
        <v>0</v>
      </c>
      <c r="U325" s="14">
        <f t="shared" si="57"/>
        <v>0</v>
      </c>
      <c r="V325" s="14">
        <f t="shared" si="58"/>
        <v>0</v>
      </c>
      <c r="W325" s="14">
        <f t="shared" si="60"/>
        <v>0</v>
      </c>
      <c r="X325" s="15">
        <f t="shared" si="59"/>
        <v>0</v>
      </c>
      <c r="Y325" s="16" t="s">
        <v>437</v>
      </c>
    </row>
    <row r="326" spans="1:25" ht="30" customHeight="1">
      <c r="A326" s="11">
        <v>324</v>
      </c>
      <c r="B326" s="46"/>
      <c r="C326" s="46"/>
      <c r="D326" s="12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4">
        <f t="shared" si="55"/>
        <v>0</v>
      </c>
      <c r="T326" s="14">
        <f t="shared" si="56"/>
        <v>0</v>
      </c>
      <c r="U326" s="14">
        <f t="shared" si="57"/>
        <v>0</v>
      </c>
      <c r="V326" s="14">
        <f t="shared" si="58"/>
        <v>0</v>
      </c>
      <c r="W326" s="14">
        <f t="shared" si="60"/>
        <v>0</v>
      </c>
      <c r="X326" s="15">
        <f t="shared" si="59"/>
        <v>0</v>
      </c>
      <c r="Y326" s="16" t="s">
        <v>438</v>
      </c>
    </row>
    <row r="327" spans="1:25" ht="30" customHeight="1">
      <c r="A327" s="11">
        <v>325</v>
      </c>
      <c r="B327" s="46"/>
      <c r="C327" s="46"/>
      <c r="D327" s="12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4">
        <f t="shared" si="55"/>
        <v>0</v>
      </c>
      <c r="T327" s="14">
        <f t="shared" si="56"/>
        <v>0</v>
      </c>
      <c r="U327" s="14">
        <f t="shared" si="57"/>
        <v>0</v>
      </c>
      <c r="V327" s="14">
        <f t="shared" si="58"/>
        <v>0</v>
      </c>
      <c r="W327" s="14">
        <f t="shared" si="60"/>
        <v>0</v>
      </c>
      <c r="X327" s="15">
        <f t="shared" si="59"/>
        <v>0</v>
      </c>
      <c r="Y327" s="16"/>
    </row>
    <row r="328" spans="1:25" ht="30" customHeight="1">
      <c r="A328" s="11">
        <v>326</v>
      </c>
      <c r="B328" s="46"/>
      <c r="C328" s="46"/>
      <c r="D328" s="12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4">
        <f t="shared" si="55"/>
        <v>0</v>
      </c>
      <c r="T328" s="14">
        <f t="shared" si="56"/>
        <v>0</v>
      </c>
      <c r="U328" s="14">
        <f t="shared" si="57"/>
        <v>0</v>
      </c>
      <c r="V328" s="14">
        <f t="shared" si="58"/>
        <v>0</v>
      </c>
      <c r="W328" s="14">
        <f t="shared" si="60"/>
        <v>0</v>
      </c>
      <c r="X328" s="15">
        <f t="shared" si="59"/>
        <v>0</v>
      </c>
      <c r="Y328" s="16"/>
    </row>
    <row r="329" spans="1:25" ht="30" customHeight="1">
      <c r="A329" s="11">
        <v>327</v>
      </c>
      <c r="B329" s="46"/>
      <c r="C329" s="46"/>
      <c r="D329" s="12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4">
        <f t="shared" si="55"/>
        <v>0</v>
      </c>
      <c r="T329" s="14">
        <f t="shared" si="56"/>
        <v>0</v>
      </c>
      <c r="U329" s="14">
        <f t="shared" si="57"/>
        <v>0</v>
      </c>
      <c r="V329" s="14">
        <f t="shared" si="58"/>
        <v>0</v>
      </c>
      <c r="W329" s="14">
        <f t="shared" si="60"/>
        <v>0</v>
      </c>
      <c r="X329" s="15">
        <f t="shared" si="59"/>
        <v>0</v>
      </c>
      <c r="Y329" s="16"/>
    </row>
    <row r="330" spans="1:25" ht="30" customHeight="1">
      <c r="A330" s="11">
        <v>328</v>
      </c>
      <c r="B330" s="46"/>
      <c r="C330" s="46"/>
      <c r="D330" s="12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4">
        <f t="shared" si="55"/>
        <v>0</v>
      </c>
      <c r="T330" s="14">
        <f t="shared" si="56"/>
        <v>0</v>
      </c>
      <c r="U330" s="14">
        <f t="shared" si="57"/>
        <v>0</v>
      </c>
      <c r="V330" s="14">
        <f t="shared" si="58"/>
        <v>0</v>
      </c>
      <c r="W330" s="14">
        <f t="shared" si="60"/>
        <v>0</v>
      </c>
      <c r="X330" s="15">
        <f t="shared" si="59"/>
        <v>0</v>
      </c>
      <c r="Y330" s="16" t="s">
        <v>342</v>
      </c>
    </row>
    <row r="331" spans="1:25" ht="30" customHeight="1">
      <c r="A331" s="11">
        <v>329</v>
      </c>
      <c r="B331" s="46"/>
      <c r="C331" s="46"/>
      <c r="D331" s="12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4">
        <f t="shared" si="55"/>
        <v>0</v>
      </c>
      <c r="T331" s="14">
        <f t="shared" si="56"/>
        <v>0</v>
      </c>
      <c r="U331" s="14">
        <f t="shared" si="57"/>
        <v>0</v>
      </c>
      <c r="V331" s="14">
        <f t="shared" si="58"/>
        <v>0</v>
      </c>
      <c r="W331" s="14">
        <f t="shared" si="60"/>
        <v>0</v>
      </c>
      <c r="X331" s="15">
        <f t="shared" si="59"/>
        <v>0</v>
      </c>
      <c r="Y331" s="16"/>
    </row>
    <row r="332" spans="1:25" ht="30" customHeight="1">
      <c r="A332" s="11">
        <v>330</v>
      </c>
      <c r="B332" s="46"/>
      <c r="C332" s="46"/>
      <c r="D332" s="12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4">
        <f t="shared" si="55"/>
        <v>0</v>
      </c>
      <c r="T332" s="14">
        <f t="shared" si="56"/>
        <v>0</v>
      </c>
      <c r="U332" s="14">
        <f t="shared" si="57"/>
        <v>0</v>
      </c>
      <c r="V332" s="14">
        <f t="shared" si="58"/>
        <v>0</v>
      </c>
      <c r="W332" s="14">
        <f t="shared" si="60"/>
        <v>0</v>
      </c>
      <c r="X332" s="15">
        <f t="shared" si="59"/>
        <v>0</v>
      </c>
      <c r="Y332" s="16" t="s">
        <v>439</v>
      </c>
    </row>
    <row r="333" spans="1:25" ht="30" customHeight="1">
      <c r="A333" s="11">
        <v>331</v>
      </c>
      <c r="B333" s="46"/>
      <c r="C333" s="46"/>
      <c r="D333" s="12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4">
        <f t="shared" si="55"/>
        <v>0</v>
      </c>
      <c r="T333" s="14">
        <f t="shared" si="56"/>
        <v>0</v>
      </c>
      <c r="U333" s="14">
        <f t="shared" si="57"/>
        <v>0</v>
      </c>
      <c r="V333" s="14">
        <f t="shared" si="58"/>
        <v>0</v>
      </c>
      <c r="W333" s="14">
        <f t="shared" si="60"/>
        <v>0</v>
      </c>
      <c r="X333" s="15">
        <f t="shared" si="59"/>
        <v>0</v>
      </c>
      <c r="Y333" s="16"/>
    </row>
    <row r="334" spans="1:25" ht="30" customHeight="1">
      <c r="A334" s="11">
        <v>332</v>
      </c>
      <c r="B334" s="46"/>
      <c r="C334" s="46"/>
      <c r="D334" s="12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4">
        <f t="shared" si="55"/>
        <v>0</v>
      </c>
      <c r="T334" s="14">
        <f t="shared" si="56"/>
        <v>0</v>
      </c>
      <c r="U334" s="14">
        <f t="shared" si="57"/>
        <v>0</v>
      </c>
      <c r="V334" s="14">
        <f t="shared" si="58"/>
        <v>0</v>
      </c>
      <c r="W334" s="14">
        <f t="shared" si="60"/>
        <v>0</v>
      </c>
      <c r="X334" s="15">
        <f t="shared" si="59"/>
        <v>0</v>
      </c>
      <c r="Y334" s="16" t="s">
        <v>440</v>
      </c>
    </row>
    <row r="335" spans="1:25" ht="30" customHeight="1">
      <c r="A335" s="11">
        <v>333</v>
      </c>
      <c r="B335" s="46"/>
      <c r="C335" s="46"/>
      <c r="D335" s="12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4">
        <f t="shared" si="55"/>
        <v>0</v>
      </c>
      <c r="T335" s="14">
        <f t="shared" si="56"/>
        <v>0</v>
      </c>
      <c r="U335" s="14">
        <f t="shared" si="57"/>
        <v>0</v>
      </c>
      <c r="V335" s="14">
        <f t="shared" si="58"/>
        <v>0</v>
      </c>
      <c r="W335" s="14">
        <f t="shared" si="60"/>
        <v>0</v>
      </c>
      <c r="X335" s="15">
        <f t="shared" si="59"/>
        <v>0</v>
      </c>
      <c r="Y335" s="16"/>
    </row>
    <row r="336" spans="1:25" ht="30" customHeight="1">
      <c r="A336" s="11">
        <v>334</v>
      </c>
      <c r="B336" s="46"/>
      <c r="C336" s="46"/>
      <c r="D336" s="12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4">
        <f t="shared" si="55"/>
        <v>0</v>
      </c>
      <c r="T336" s="14">
        <f t="shared" si="56"/>
        <v>0</v>
      </c>
      <c r="U336" s="14">
        <f t="shared" si="57"/>
        <v>0</v>
      </c>
      <c r="V336" s="14">
        <f t="shared" si="58"/>
        <v>0</v>
      </c>
      <c r="W336" s="14">
        <f t="shared" si="60"/>
        <v>0</v>
      </c>
      <c r="X336" s="15">
        <f t="shared" si="59"/>
        <v>0</v>
      </c>
      <c r="Y336" s="16" t="s">
        <v>441</v>
      </c>
    </row>
    <row r="337" spans="1:25" ht="30" customHeight="1">
      <c r="A337" s="11">
        <v>335</v>
      </c>
      <c r="B337" s="46"/>
      <c r="C337" s="46"/>
      <c r="D337" s="12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4">
        <f t="shared" si="55"/>
        <v>0</v>
      </c>
      <c r="T337" s="14">
        <f t="shared" si="56"/>
        <v>0</v>
      </c>
      <c r="U337" s="14">
        <f t="shared" si="57"/>
        <v>0</v>
      </c>
      <c r="V337" s="14">
        <f t="shared" si="58"/>
        <v>0</v>
      </c>
      <c r="W337" s="14">
        <f t="shared" si="60"/>
        <v>0</v>
      </c>
      <c r="X337" s="15">
        <f t="shared" si="59"/>
        <v>0</v>
      </c>
      <c r="Y337" s="16"/>
    </row>
    <row r="338" spans="1:25" ht="30" customHeight="1">
      <c r="A338" s="11">
        <v>336</v>
      </c>
      <c r="B338" s="46"/>
      <c r="C338" s="46"/>
      <c r="D338" s="12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4">
        <f t="shared" si="55"/>
        <v>0</v>
      </c>
      <c r="T338" s="14">
        <f t="shared" si="56"/>
        <v>0</v>
      </c>
      <c r="U338" s="14">
        <f t="shared" si="57"/>
        <v>0</v>
      </c>
      <c r="V338" s="14">
        <f t="shared" si="58"/>
        <v>0</v>
      </c>
      <c r="W338" s="14">
        <f t="shared" si="60"/>
        <v>0</v>
      </c>
      <c r="X338" s="15">
        <f t="shared" si="59"/>
        <v>0</v>
      </c>
      <c r="Y338" s="16" t="s">
        <v>442</v>
      </c>
    </row>
    <row r="339" spans="1:25" ht="30" customHeight="1">
      <c r="A339" s="11">
        <v>337</v>
      </c>
      <c r="B339" s="46"/>
      <c r="C339" s="46"/>
      <c r="D339" s="12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4">
        <f t="shared" si="55"/>
        <v>0</v>
      </c>
      <c r="T339" s="14">
        <f t="shared" si="56"/>
        <v>0</v>
      </c>
      <c r="U339" s="14">
        <f t="shared" si="57"/>
        <v>0</v>
      </c>
      <c r="V339" s="14">
        <f t="shared" si="58"/>
        <v>0</v>
      </c>
      <c r="W339" s="14">
        <f t="shared" si="60"/>
        <v>0</v>
      </c>
      <c r="X339" s="15">
        <f t="shared" si="59"/>
        <v>0</v>
      </c>
      <c r="Y339" s="16"/>
    </row>
    <row r="340" spans="1:25" ht="30" customHeight="1">
      <c r="A340" s="11">
        <v>338</v>
      </c>
      <c r="B340" s="46"/>
      <c r="C340" s="46"/>
      <c r="D340" s="12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4">
        <f t="shared" si="55"/>
        <v>0</v>
      </c>
      <c r="T340" s="14">
        <f t="shared" si="56"/>
        <v>0</v>
      </c>
      <c r="U340" s="14">
        <f t="shared" si="57"/>
        <v>0</v>
      </c>
      <c r="V340" s="14">
        <f t="shared" si="58"/>
        <v>0</v>
      </c>
      <c r="W340" s="14">
        <f t="shared" si="60"/>
        <v>0</v>
      </c>
      <c r="X340" s="15">
        <f t="shared" si="59"/>
        <v>0</v>
      </c>
      <c r="Y340" s="16"/>
    </row>
    <row r="341" spans="1:25" ht="30" customHeight="1">
      <c r="A341" s="11">
        <v>339</v>
      </c>
      <c r="B341" s="46"/>
      <c r="C341" s="48"/>
      <c r="D341" s="12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4">
        <f t="shared" si="55"/>
        <v>0</v>
      </c>
      <c r="T341" s="14">
        <f t="shared" si="56"/>
        <v>0</v>
      </c>
      <c r="U341" s="14">
        <f t="shared" si="57"/>
        <v>0</v>
      </c>
      <c r="V341" s="14">
        <f t="shared" si="58"/>
        <v>0</v>
      </c>
      <c r="W341" s="14">
        <f t="shared" si="60"/>
        <v>0</v>
      </c>
      <c r="X341" s="15">
        <f t="shared" si="59"/>
        <v>0</v>
      </c>
      <c r="Y341" s="16"/>
    </row>
    <row r="342" spans="1:25" ht="30" customHeight="1">
      <c r="A342" s="11">
        <v>340</v>
      </c>
      <c r="B342" s="46"/>
      <c r="C342" s="46"/>
      <c r="D342" s="12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4">
        <f t="shared" si="55"/>
        <v>0</v>
      </c>
      <c r="T342" s="14">
        <f t="shared" si="56"/>
        <v>0</v>
      </c>
      <c r="U342" s="14">
        <f t="shared" si="57"/>
        <v>0</v>
      </c>
      <c r="V342" s="14">
        <f t="shared" si="58"/>
        <v>0</v>
      </c>
      <c r="W342" s="14">
        <f t="shared" si="60"/>
        <v>0</v>
      </c>
      <c r="X342" s="15">
        <f t="shared" si="59"/>
        <v>0</v>
      </c>
      <c r="Y342" s="16"/>
    </row>
    <row r="343" spans="1:25" ht="30" customHeight="1">
      <c r="A343" s="11">
        <v>341</v>
      </c>
      <c r="B343" s="46"/>
      <c r="C343" s="46"/>
      <c r="D343" s="12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4">
        <f t="shared" si="55"/>
        <v>0</v>
      </c>
      <c r="T343" s="14">
        <f t="shared" si="56"/>
        <v>0</v>
      </c>
      <c r="U343" s="14">
        <f t="shared" si="57"/>
        <v>0</v>
      </c>
      <c r="V343" s="14">
        <f t="shared" si="58"/>
        <v>0</v>
      </c>
      <c r="W343" s="14">
        <f t="shared" si="60"/>
        <v>0</v>
      </c>
      <c r="X343" s="15">
        <f t="shared" si="59"/>
        <v>0</v>
      </c>
      <c r="Y343" s="16"/>
    </row>
    <row r="344" spans="1:25" ht="30" customHeight="1">
      <c r="A344" s="11">
        <v>342</v>
      </c>
      <c r="B344" s="46"/>
      <c r="C344" s="46"/>
      <c r="D344" s="12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4">
        <f t="shared" si="55"/>
        <v>0</v>
      </c>
      <c r="T344" s="14">
        <f t="shared" si="56"/>
        <v>0</v>
      </c>
      <c r="U344" s="14">
        <f t="shared" si="57"/>
        <v>0</v>
      </c>
      <c r="V344" s="14">
        <f t="shared" si="58"/>
        <v>0</v>
      </c>
      <c r="W344" s="14">
        <f t="shared" si="60"/>
        <v>0</v>
      </c>
      <c r="X344" s="15">
        <f t="shared" si="59"/>
        <v>0</v>
      </c>
      <c r="Y344" s="16" t="s">
        <v>443</v>
      </c>
    </row>
    <row r="345" spans="1:25" ht="30" customHeight="1">
      <c r="A345" s="11">
        <v>343</v>
      </c>
      <c r="B345" s="46"/>
      <c r="C345" s="46"/>
      <c r="D345" s="12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4">
        <f t="shared" si="55"/>
        <v>0</v>
      </c>
      <c r="T345" s="14">
        <f t="shared" si="56"/>
        <v>0</v>
      </c>
      <c r="U345" s="14">
        <f t="shared" si="57"/>
        <v>0</v>
      </c>
      <c r="V345" s="14">
        <f t="shared" si="58"/>
        <v>0</v>
      </c>
      <c r="W345" s="14">
        <f t="shared" si="60"/>
        <v>0</v>
      </c>
      <c r="X345" s="15">
        <f t="shared" si="59"/>
        <v>0</v>
      </c>
      <c r="Y345" s="16"/>
    </row>
    <row r="346" spans="1:25" ht="30" customHeight="1">
      <c r="A346" s="11">
        <v>344</v>
      </c>
      <c r="B346" s="46"/>
      <c r="C346" s="46"/>
      <c r="D346" s="12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4">
        <f t="shared" si="55"/>
        <v>0</v>
      </c>
      <c r="T346" s="14">
        <f t="shared" si="56"/>
        <v>0</v>
      </c>
      <c r="U346" s="14">
        <f t="shared" si="57"/>
        <v>0</v>
      </c>
      <c r="V346" s="14">
        <f t="shared" si="58"/>
        <v>0</v>
      </c>
      <c r="W346" s="14">
        <f t="shared" si="60"/>
        <v>0</v>
      </c>
      <c r="X346" s="15">
        <f t="shared" si="59"/>
        <v>0</v>
      </c>
      <c r="Y346" s="16"/>
    </row>
    <row r="347" spans="1:25" ht="30" customHeight="1">
      <c r="A347" s="11">
        <v>345</v>
      </c>
      <c r="B347" s="46"/>
      <c r="C347" s="46"/>
      <c r="D347" s="12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4">
        <f t="shared" si="55"/>
        <v>0</v>
      </c>
      <c r="T347" s="14">
        <f t="shared" si="56"/>
        <v>0</v>
      </c>
      <c r="U347" s="14">
        <f t="shared" si="57"/>
        <v>0</v>
      </c>
      <c r="V347" s="14">
        <f t="shared" si="58"/>
        <v>0</v>
      </c>
      <c r="W347" s="14">
        <f t="shared" si="60"/>
        <v>0</v>
      </c>
      <c r="X347" s="15">
        <f t="shared" si="59"/>
        <v>0</v>
      </c>
      <c r="Y347" s="16" t="s">
        <v>444</v>
      </c>
    </row>
    <row r="348" spans="1:25" ht="30" customHeight="1">
      <c r="A348" s="11">
        <v>346</v>
      </c>
      <c r="B348" s="46"/>
      <c r="C348" s="46"/>
      <c r="D348" s="12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4">
        <f t="shared" si="55"/>
        <v>0</v>
      </c>
      <c r="T348" s="14">
        <f t="shared" si="56"/>
        <v>0</v>
      </c>
      <c r="U348" s="14">
        <f t="shared" si="57"/>
        <v>0</v>
      </c>
      <c r="V348" s="14">
        <f t="shared" si="58"/>
        <v>0</v>
      </c>
      <c r="W348" s="14">
        <f t="shared" si="60"/>
        <v>0</v>
      </c>
      <c r="X348" s="15">
        <f t="shared" si="59"/>
        <v>0</v>
      </c>
      <c r="Y348" s="16"/>
    </row>
    <row r="349" spans="1:25" ht="30" customHeight="1">
      <c r="A349" s="11">
        <v>347</v>
      </c>
      <c r="B349" s="46"/>
      <c r="C349" s="45"/>
      <c r="D349" s="12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4">
        <f t="shared" si="55"/>
        <v>0</v>
      </c>
      <c r="T349" s="14">
        <f t="shared" si="56"/>
        <v>0</v>
      </c>
      <c r="U349" s="14">
        <f t="shared" si="57"/>
        <v>0</v>
      </c>
      <c r="V349" s="14">
        <f t="shared" si="58"/>
        <v>0</v>
      </c>
      <c r="W349" s="14">
        <f t="shared" si="60"/>
        <v>0</v>
      </c>
      <c r="X349" s="15">
        <f t="shared" si="59"/>
        <v>0</v>
      </c>
      <c r="Y349" s="16" t="s">
        <v>445</v>
      </c>
    </row>
  </sheetData>
  <mergeCells count="7">
    <mergeCell ref="Y1:Y2"/>
    <mergeCell ref="A1:A2"/>
    <mergeCell ref="E1:R1"/>
    <mergeCell ref="S1:X1"/>
    <mergeCell ref="C1:C2"/>
    <mergeCell ref="B1:B2"/>
    <mergeCell ref="D1:D2"/>
  </mergeCells>
  <phoneticPr fontId="21" type="noConversion"/>
  <conditionalFormatting sqref="E3:R349">
    <cfRule type="cellIs" dxfId="17" priority="10" operator="equal">
      <formula>3</formula>
    </cfRule>
    <cfRule type="cellIs" dxfId="16" priority="11" operator="equal">
      <formula>2</formula>
    </cfRule>
    <cfRule type="cellIs" dxfId="15" priority="12" operator="equal">
      <formula>1</formula>
    </cfRule>
  </conditionalFormatting>
  <dataValidations count="1">
    <dataValidation type="list" allowBlank="1" sqref="E3:R349" xr:uid="{00000000-0002-0000-0200-000000000000}">
      <formula1>"0,1,2,3"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4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26" sqref="G26"/>
    </sheetView>
  </sheetViews>
  <sheetFormatPr baseColWidth="10" defaultColWidth="8.6640625" defaultRowHeight="15"/>
  <cols>
    <col min="1" max="1" width="10" customWidth="1"/>
    <col min="2" max="2" width="30" customWidth="1"/>
    <col min="3" max="7" width="12" customWidth="1"/>
    <col min="8" max="8" width="16" customWidth="1"/>
    <col min="9" max="9" width="12" customWidth="1"/>
    <col min="10" max="10" width="14" customWidth="1"/>
    <col min="11" max="11" width="24" customWidth="1"/>
    <col min="12" max="12" width="27.83203125" customWidth="1"/>
  </cols>
  <sheetData>
    <row r="1" spans="1:11" ht="24" customHeight="1">
      <c r="A1" s="84" t="s">
        <v>176</v>
      </c>
      <c r="B1" s="66"/>
      <c r="C1" s="66"/>
      <c r="D1" s="66"/>
      <c r="E1" s="66"/>
      <c r="F1" s="66"/>
      <c r="G1" s="66"/>
      <c r="H1" s="66"/>
      <c r="I1" s="66"/>
      <c r="J1" s="66"/>
      <c r="K1" s="66"/>
    </row>
    <row r="2" spans="1:11" ht="42" customHeight="1">
      <c r="A2" s="17" t="s">
        <v>177</v>
      </c>
      <c r="B2" s="17" t="s">
        <v>178</v>
      </c>
      <c r="C2" s="17" t="s">
        <v>179</v>
      </c>
      <c r="D2" s="17" t="s">
        <v>180</v>
      </c>
      <c r="E2" s="17" t="s">
        <v>181</v>
      </c>
      <c r="F2" s="17" t="s">
        <v>182</v>
      </c>
      <c r="G2" s="17" t="s">
        <v>183</v>
      </c>
      <c r="H2" s="17" t="s">
        <v>184</v>
      </c>
      <c r="I2" s="17" t="s">
        <v>185</v>
      </c>
      <c r="J2" s="18" t="s">
        <v>186</v>
      </c>
      <c r="K2" s="17" t="s">
        <v>155</v>
      </c>
    </row>
    <row r="3" spans="1:11" ht="21.75" customHeight="1">
      <c r="A3" s="16"/>
      <c r="B3" s="58"/>
      <c r="C3" s="19"/>
      <c r="D3" s="19"/>
      <c r="E3" s="19"/>
      <c r="F3" s="19"/>
      <c r="G3" s="19"/>
      <c r="H3" s="19"/>
      <c r="I3" s="19"/>
      <c r="J3" s="20">
        <f t="shared" ref="J3:J32" si="0">IFERROR((C3/2*3+D3/2*2+E3/2*2+F3/2*3+G3/2*3),0)</f>
        <v>0</v>
      </c>
      <c r="K3" s="11"/>
    </row>
    <row r="4" spans="1:11" ht="21.75" customHeight="1">
      <c r="A4" s="16"/>
      <c r="B4" s="16"/>
      <c r="C4" s="19"/>
      <c r="D4" s="19"/>
      <c r="E4" s="19"/>
      <c r="F4" s="19"/>
      <c r="G4" s="19"/>
      <c r="H4" s="19"/>
      <c r="I4" s="19"/>
      <c r="J4" s="20">
        <f t="shared" si="0"/>
        <v>0</v>
      </c>
      <c r="K4" s="11"/>
    </row>
    <row r="5" spans="1:11" ht="21.75" customHeight="1">
      <c r="A5" s="16"/>
      <c r="B5" s="16"/>
      <c r="C5" s="19"/>
      <c r="D5" s="19"/>
      <c r="E5" s="19"/>
      <c r="F5" s="19"/>
      <c r="G5" s="19"/>
      <c r="H5" s="19"/>
      <c r="I5" s="19"/>
      <c r="J5" s="20">
        <f t="shared" si="0"/>
        <v>0</v>
      </c>
      <c r="K5" s="11"/>
    </row>
    <row r="6" spans="1:11" ht="21.75" customHeight="1">
      <c r="A6" s="16"/>
      <c r="B6" s="58"/>
      <c r="C6" s="19"/>
      <c r="D6" s="19"/>
      <c r="E6" s="19"/>
      <c r="F6" s="19"/>
      <c r="G6" s="19"/>
      <c r="H6" s="19"/>
      <c r="I6" s="19"/>
      <c r="J6" s="20">
        <f t="shared" si="0"/>
        <v>0</v>
      </c>
      <c r="K6" s="11"/>
    </row>
    <row r="7" spans="1:11" ht="21.75" customHeight="1">
      <c r="A7" s="16"/>
      <c r="B7" s="16"/>
      <c r="C7" s="19"/>
      <c r="D7" s="19"/>
      <c r="E7" s="19"/>
      <c r="F7" s="19"/>
      <c r="G7" s="19"/>
      <c r="H7" s="19"/>
      <c r="I7" s="19"/>
      <c r="J7" s="20">
        <f t="shared" si="0"/>
        <v>0</v>
      </c>
      <c r="K7" s="11"/>
    </row>
    <row r="8" spans="1:11" ht="21.75" customHeight="1">
      <c r="A8" s="16"/>
      <c r="B8" s="16"/>
      <c r="C8" s="19"/>
      <c r="D8" s="19"/>
      <c r="E8" s="19"/>
      <c r="F8" s="19"/>
      <c r="G8" s="19"/>
      <c r="H8" s="19"/>
      <c r="I8" s="19"/>
      <c r="J8" s="20">
        <f t="shared" si="0"/>
        <v>0</v>
      </c>
      <c r="K8" s="11"/>
    </row>
    <row r="9" spans="1:11" ht="21.75" customHeight="1">
      <c r="A9" s="16"/>
      <c r="B9" s="16"/>
      <c r="C9" s="19"/>
      <c r="D9" s="19"/>
      <c r="E9" s="19"/>
      <c r="F9" s="19"/>
      <c r="G9" s="19"/>
      <c r="H9" s="19"/>
      <c r="I9" s="19"/>
      <c r="J9" s="20">
        <f t="shared" si="0"/>
        <v>0</v>
      </c>
      <c r="K9" s="11"/>
    </row>
    <row r="10" spans="1:11" ht="21.75" customHeight="1">
      <c r="A10" s="16"/>
      <c r="B10" s="16"/>
      <c r="C10" s="19"/>
      <c r="D10" s="19"/>
      <c r="E10" s="19"/>
      <c r="F10" s="19"/>
      <c r="G10" s="19"/>
      <c r="H10" s="19"/>
      <c r="I10" s="19"/>
      <c r="J10" s="20">
        <f t="shared" si="0"/>
        <v>0</v>
      </c>
      <c r="K10" s="11"/>
    </row>
    <row r="11" spans="1:11" ht="21.75" customHeight="1">
      <c r="A11" s="16"/>
      <c r="B11" s="58"/>
      <c r="C11" s="19"/>
      <c r="D11" s="19"/>
      <c r="E11" s="19"/>
      <c r="F11" s="19"/>
      <c r="G11" s="19"/>
      <c r="H11" s="19"/>
      <c r="I11" s="19"/>
      <c r="J11" s="20">
        <f t="shared" si="0"/>
        <v>0</v>
      </c>
      <c r="K11" s="11"/>
    </row>
    <row r="12" spans="1:11" ht="21.75" customHeight="1">
      <c r="A12" s="16"/>
      <c r="B12" s="16"/>
      <c r="C12" s="19"/>
      <c r="D12" s="19"/>
      <c r="E12" s="19"/>
      <c r="F12" s="19"/>
      <c r="G12" s="19"/>
      <c r="H12" s="19"/>
      <c r="I12" s="19"/>
      <c r="J12" s="20">
        <f t="shared" si="0"/>
        <v>0</v>
      </c>
      <c r="K12" s="11"/>
    </row>
    <row r="13" spans="1:11" ht="21.75" customHeight="1">
      <c r="A13" s="16"/>
      <c r="B13" s="16"/>
      <c r="C13" s="19"/>
      <c r="D13" s="19"/>
      <c r="E13" s="19"/>
      <c r="F13" s="19"/>
      <c r="G13" s="19"/>
      <c r="H13" s="19"/>
      <c r="I13" s="19"/>
      <c r="J13" s="20">
        <f t="shared" si="0"/>
        <v>0</v>
      </c>
      <c r="K13" s="11"/>
    </row>
    <row r="14" spans="1:11" ht="21.75" customHeight="1">
      <c r="A14" s="16"/>
      <c r="B14" s="16"/>
      <c r="C14" s="19"/>
      <c r="D14" s="19"/>
      <c r="E14" s="19"/>
      <c r="F14" s="19"/>
      <c r="G14" s="19"/>
      <c r="H14" s="19"/>
      <c r="I14" s="19"/>
      <c r="J14" s="20">
        <f t="shared" si="0"/>
        <v>0</v>
      </c>
      <c r="K14" s="11"/>
    </row>
    <row r="15" spans="1:11" ht="21.75" customHeight="1">
      <c r="A15" s="16"/>
      <c r="B15" s="16"/>
      <c r="C15" s="19"/>
      <c r="D15" s="19"/>
      <c r="E15" s="19"/>
      <c r="F15" s="19"/>
      <c r="G15" s="19"/>
      <c r="H15" s="19"/>
      <c r="I15" s="19"/>
      <c r="J15" s="20">
        <f t="shared" si="0"/>
        <v>0</v>
      </c>
      <c r="K15" s="11"/>
    </row>
    <row r="16" spans="1:11" ht="21.75" customHeight="1">
      <c r="A16" s="16"/>
      <c r="B16" s="16"/>
      <c r="C16" s="19"/>
      <c r="D16" s="19"/>
      <c r="E16" s="19"/>
      <c r="F16" s="19"/>
      <c r="G16" s="19"/>
      <c r="H16" s="19"/>
      <c r="I16" s="19"/>
      <c r="J16" s="20">
        <f t="shared" si="0"/>
        <v>0</v>
      </c>
      <c r="K16" s="11"/>
    </row>
    <row r="17" spans="1:11" ht="21.75" customHeight="1">
      <c r="A17" s="16"/>
      <c r="B17" s="16"/>
      <c r="C17" s="19"/>
      <c r="D17" s="19"/>
      <c r="E17" s="19"/>
      <c r="F17" s="19"/>
      <c r="G17" s="19"/>
      <c r="H17" s="19"/>
      <c r="I17" s="19"/>
      <c r="J17" s="20">
        <f t="shared" si="0"/>
        <v>0</v>
      </c>
      <c r="K17" s="11"/>
    </row>
    <row r="18" spans="1:11" ht="21.75" customHeight="1">
      <c r="A18" s="16"/>
      <c r="B18" s="16"/>
      <c r="C18" s="19"/>
      <c r="D18" s="19"/>
      <c r="E18" s="19"/>
      <c r="F18" s="19"/>
      <c r="G18" s="19"/>
      <c r="H18" s="19"/>
      <c r="I18" s="19"/>
      <c r="J18" s="20">
        <f t="shared" si="0"/>
        <v>0</v>
      </c>
      <c r="K18" s="11"/>
    </row>
    <row r="19" spans="1:11" ht="21.75" customHeight="1">
      <c r="A19" s="16"/>
      <c r="B19" s="16"/>
      <c r="C19" s="19"/>
      <c r="D19" s="19"/>
      <c r="E19" s="19"/>
      <c r="F19" s="19"/>
      <c r="G19" s="19"/>
      <c r="H19" s="19"/>
      <c r="I19" s="19"/>
      <c r="J19" s="20">
        <f t="shared" si="0"/>
        <v>0</v>
      </c>
      <c r="K19" s="11"/>
    </row>
    <row r="20" spans="1:11" ht="21.75" customHeight="1">
      <c r="A20" s="16"/>
      <c r="B20" s="16"/>
      <c r="C20" s="19"/>
      <c r="D20" s="19"/>
      <c r="E20" s="19"/>
      <c r="F20" s="19"/>
      <c r="G20" s="19"/>
      <c r="H20" s="19"/>
      <c r="I20" s="19"/>
      <c r="J20" s="20">
        <f t="shared" si="0"/>
        <v>0</v>
      </c>
      <c r="K20" s="11"/>
    </row>
    <row r="21" spans="1:11" ht="21.75" customHeight="1">
      <c r="A21" s="16"/>
      <c r="B21" s="16"/>
      <c r="C21" s="19"/>
      <c r="D21" s="19"/>
      <c r="E21" s="19"/>
      <c r="F21" s="19"/>
      <c r="G21" s="19"/>
      <c r="H21" s="19"/>
      <c r="I21" s="19"/>
      <c r="J21" s="20">
        <f t="shared" si="0"/>
        <v>0</v>
      </c>
      <c r="K21" s="11"/>
    </row>
    <row r="22" spans="1:11" ht="21.75" customHeight="1">
      <c r="A22" s="16"/>
      <c r="B22" s="16"/>
      <c r="C22" s="19"/>
      <c r="D22" s="19"/>
      <c r="E22" s="19"/>
      <c r="F22" s="19"/>
      <c r="G22" s="19"/>
      <c r="H22" s="19"/>
      <c r="I22" s="19"/>
      <c r="J22" s="20">
        <f t="shared" si="0"/>
        <v>0</v>
      </c>
      <c r="K22" s="11"/>
    </row>
    <row r="23" spans="1:11" ht="21.75" customHeight="1">
      <c r="A23" s="16"/>
      <c r="B23" s="16"/>
      <c r="C23" s="19"/>
      <c r="D23" s="19"/>
      <c r="E23" s="19"/>
      <c r="F23" s="19"/>
      <c r="G23" s="19"/>
      <c r="H23" s="19"/>
      <c r="I23" s="19"/>
      <c r="J23" s="20">
        <f t="shared" si="0"/>
        <v>0</v>
      </c>
      <c r="K23" s="11"/>
    </row>
    <row r="24" spans="1:11" ht="21.75" customHeight="1">
      <c r="A24" s="16"/>
      <c r="B24" s="16"/>
      <c r="C24" s="19"/>
      <c r="D24" s="19"/>
      <c r="E24" s="19"/>
      <c r="F24" s="19"/>
      <c r="G24" s="19"/>
      <c r="H24" s="19"/>
      <c r="I24" s="19"/>
      <c r="J24" s="20">
        <f t="shared" si="0"/>
        <v>0</v>
      </c>
      <c r="K24" s="11"/>
    </row>
    <row r="25" spans="1:11" ht="21.75" customHeight="1">
      <c r="A25" s="16"/>
      <c r="B25" s="16"/>
      <c r="C25" s="19"/>
      <c r="D25" s="19"/>
      <c r="E25" s="19"/>
      <c r="F25" s="19"/>
      <c r="G25" s="19"/>
      <c r="H25" s="19"/>
      <c r="I25" s="19"/>
      <c r="J25" s="20">
        <f t="shared" si="0"/>
        <v>0</v>
      </c>
      <c r="K25" s="11"/>
    </row>
    <row r="26" spans="1:11" ht="21.75" customHeight="1">
      <c r="A26" s="16"/>
      <c r="B26" s="16"/>
      <c r="C26" s="19"/>
      <c r="D26" s="19"/>
      <c r="E26" s="19"/>
      <c r="F26" s="19"/>
      <c r="G26" s="19"/>
      <c r="H26" s="19"/>
      <c r="I26" s="19"/>
      <c r="J26" s="20">
        <f t="shared" si="0"/>
        <v>0</v>
      </c>
      <c r="K26" s="11"/>
    </row>
    <row r="27" spans="1:11" ht="21.75" customHeight="1">
      <c r="A27" s="16"/>
      <c r="B27" s="16"/>
      <c r="C27" s="19"/>
      <c r="D27" s="19"/>
      <c r="E27" s="19"/>
      <c r="F27" s="19"/>
      <c r="G27" s="19"/>
      <c r="H27" s="19"/>
      <c r="I27" s="19"/>
      <c r="J27" s="20">
        <f t="shared" si="0"/>
        <v>0</v>
      </c>
      <c r="K27" s="11"/>
    </row>
    <row r="28" spans="1:11" ht="21.75" customHeight="1">
      <c r="A28" s="16"/>
      <c r="B28" s="16"/>
      <c r="C28" s="19"/>
      <c r="D28" s="19"/>
      <c r="E28" s="19"/>
      <c r="F28" s="19"/>
      <c r="G28" s="19"/>
      <c r="H28" s="19"/>
      <c r="I28" s="19"/>
      <c r="J28" s="20">
        <f t="shared" si="0"/>
        <v>0</v>
      </c>
      <c r="K28" s="11"/>
    </row>
    <row r="29" spans="1:11" ht="21.75" customHeight="1">
      <c r="A29" s="16"/>
      <c r="B29" s="16"/>
      <c r="C29" s="19"/>
      <c r="D29" s="19"/>
      <c r="E29" s="19"/>
      <c r="F29" s="19"/>
      <c r="G29" s="19"/>
      <c r="H29" s="19"/>
      <c r="I29" s="19"/>
      <c r="J29" s="20">
        <f t="shared" si="0"/>
        <v>0</v>
      </c>
      <c r="K29" s="11"/>
    </row>
    <row r="30" spans="1:11" ht="21.75" customHeight="1">
      <c r="A30" s="16"/>
      <c r="B30" s="16"/>
      <c r="C30" s="19"/>
      <c r="D30" s="19"/>
      <c r="E30" s="19"/>
      <c r="F30" s="19"/>
      <c r="G30" s="19"/>
      <c r="H30" s="19"/>
      <c r="I30" s="19"/>
      <c r="J30" s="20">
        <f t="shared" si="0"/>
        <v>0</v>
      </c>
      <c r="K30" s="11"/>
    </row>
    <row r="31" spans="1:11" ht="21.75" customHeight="1">
      <c r="A31" s="16"/>
      <c r="B31" s="16"/>
      <c r="C31" s="19"/>
      <c r="D31" s="19"/>
      <c r="E31" s="19"/>
      <c r="F31" s="19"/>
      <c r="G31" s="19"/>
      <c r="H31" s="19"/>
      <c r="I31" s="19"/>
      <c r="J31" s="20">
        <f t="shared" si="0"/>
        <v>0</v>
      </c>
      <c r="K31" s="11"/>
    </row>
    <row r="32" spans="1:11" ht="21.75" customHeight="1">
      <c r="A32" s="16"/>
      <c r="B32" s="16"/>
      <c r="C32" s="19"/>
      <c r="D32" s="19"/>
      <c r="E32" s="19"/>
      <c r="F32" s="19"/>
      <c r="G32" s="19"/>
      <c r="H32" s="19"/>
      <c r="I32" s="19"/>
      <c r="J32" s="20">
        <f t="shared" si="0"/>
        <v>0</v>
      </c>
      <c r="K32" s="11"/>
    </row>
    <row r="34" spans="1:11" ht="15" customHeight="1">
      <c r="A34" s="21" t="s">
        <v>187</v>
      </c>
      <c r="B34" s="22"/>
      <c r="C34" s="23">
        <f t="shared" ref="C34:J34" si="1">IFERROR(AVERAGE(C3:C32),0)</f>
        <v>0</v>
      </c>
      <c r="D34" s="23">
        <f t="shared" si="1"/>
        <v>0</v>
      </c>
      <c r="E34" s="23">
        <f t="shared" si="1"/>
        <v>0</v>
      </c>
      <c r="F34" s="23">
        <f t="shared" si="1"/>
        <v>0</v>
      </c>
      <c r="G34" s="23">
        <f t="shared" si="1"/>
        <v>0</v>
      </c>
      <c r="H34" s="23">
        <f t="shared" si="1"/>
        <v>0</v>
      </c>
      <c r="I34" s="23">
        <f t="shared" si="1"/>
        <v>0</v>
      </c>
      <c r="J34" s="23">
        <f t="shared" si="1"/>
        <v>0</v>
      </c>
      <c r="K34" s="22"/>
    </row>
  </sheetData>
  <mergeCells count="1">
    <mergeCell ref="A1:K1"/>
  </mergeCells>
  <phoneticPr fontId="21" type="noConversion"/>
  <dataValidations count="2">
    <dataValidation type="list" allowBlank="1" sqref="C3:G32" xr:uid="{00000000-0002-0000-0300-000000000000}">
      <formula1>"0,1,2"</formula1>
      <formula2>0</formula2>
    </dataValidation>
    <dataValidation type="list" allowBlank="1" sqref="H3:H32" xr:uid="{00000000-0002-0000-0300-000001000000}">
      <formula1>"0,1,2,3,4,5"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5"/>
  <sheetViews>
    <sheetView zoomScaleNormal="100" workbookViewId="0">
      <selection activeCell="D16" sqref="D16:D29"/>
    </sheetView>
  </sheetViews>
  <sheetFormatPr baseColWidth="10" defaultColWidth="8.6640625" defaultRowHeight="15"/>
  <cols>
    <col min="1" max="1" width="28" customWidth="1"/>
    <col min="2" max="2" width="18" customWidth="1"/>
    <col min="3" max="3" width="16" customWidth="1"/>
    <col min="4" max="4" width="14" customWidth="1"/>
    <col min="5" max="5" width="28" customWidth="1"/>
  </cols>
  <sheetData>
    <row r="1" spans="1:5" ht="19.5" customHeight="1">
      <c r="A1" s="87" t="s">
        <v>188</v>
      </c>
      <c r="B1" s="66"/>
      <c r="C1" s="66"/>
      <c r="D1" s="66"/>
      <c r="E1" s="66"/>
    </row>
    <row r="4" spans="1:5" ht="15" customHeight="1">
      <c r="A4" s="10" t="s">
        <v>189</v>
      </c>
      <c r="B4" s="19" t="s">
        <v>446</v>
      </c>
      <c r="C4" s="10" t="s">
        <v>190</v>
      </c>
      <c r="D4" s="49">
        <v>46181</v>
      </c>
    </row>
    <row r="6" spans="1:5" ht="15" customHeight="1">
      <c r="A6" s="67" t="s">
        <v>191</v>
      </c>
      <c r="B6" s="66"/>
      <c r="C6" s="66"/>
      <c r="D6" s="66"/>
      <c r="E6" s="66"/>
    </row>
    <row r="7" spans="1:5" ht="24" customHeight="1">
      <c r="A7" s="1" t="s">
        <v>192</v>
      </c>
      <c r="B7" s="1" t="s">
        <v>193</v>
      </c>
      <c r="C7" s="1" t="s">
        <v>194</v>
      </c>
      <c r="D7" s="1" t="s">
        <v>195</v>
      </c>
      <c r="E7" s="1" t="s">
        <v>155</v>
      </c>
    </row>
    <row r="8" spans="1:5" ht="15" customHeight="1">
      <c r="A8" s="10" t="s">
        <v>196</v>
      </c>
      <c r="B8" s="24" t="s">
        <v>197</v>
      </c>
      <c r="C8" s="25">
        <f>IFERROR(SUM('③ 평가 입력'!S3:S202)/COUNTA('③ 평가 입력'!B3:B202)*100,0)</f>
        <v>0</v>
      </c>
      <c r="D8" s="26" t="str">
        <f>IF(C8="","",IF(C8&lt;=50,"통과","미달"))</f>
        <v>통과</v>
      </c>
      <c r="E8" s="19"/>
    </row>
    <row r="9" spans="1:5" ht="15" customHeight="1">
      <c r="A9" s="10" t="s">
        <v>198</v>
      </c>
      <c r="B9" s="24" t="s">
        <v>199</v>
      </c>
      <c r="C9" s="25">
        <f>IFERROR(SUM('③ 평가 입력'!T3:T202)/COUNTA('③ 평가 입력'!B3:B202)*100,0)</f>
        <v>0</v>
      </c>
      <c r="D9" s="26" t="str">
        <f>IF(C9="","",IF(C9&lt;=20,"통과","미달"))</f>
        <v>통과</v>
      </c>
      <c r="E9" s="19"/>
    </row>
    <row r="10" spans="1:5" ht="15" customHeight="1">
      <c r="A10" s="10" t="s">
        <v>200</v>
      </c>
      <c r="B10" s="24" t="s">
        <v>201</v>
      </c>
      <c r="C10" s="25">
        <f>IFERROR(SUM('③ 평가 입력'!U3:U202)/COUNTA('③ 평가 입력'!B3:B202)*100,0)</f>
        <v>0</v>
      </c>
      <c r="D10" s="26" t="str">
        <f>IF(C10="","",IF(C10&lt;=15,"통과","미달"))</f>
        <v>통과</v>
      </c>
      <c r="E10" s="19"/>
    </row>
    <row r="11" spans="1:5" ht="15" customHeight="1">
      <c r="A11" s="10" t="s">
        <v>202</v>
      </c>
      <c r="B11" s="24" t="s">
        <v>203</v>
      </c>
      <c r="C11" s="25">
        <f>IFERROR(SUM('③ 평가 입력'!V3:V202)/COUNTA('③ 평가 입력'!B3:B202)*100,0)</f>
        <v>0</v>
      </c>
      <c r="D11" s="26" t="str">
        <f>IF(C11="","",IF(C11&lt;=10,"통과","미달"))</f>
        <v>통과</v>
      </c>
      <c r="E11" s="19"/>
    </row>
    <row r="12" spans="1:5" ht="15" customHeight="1">
      <c r="A12" s="10" t="s">
        <v>204</v>
      </c>
      <c r="B12" s="24" t="s">
        <v>205</v>
      </c>
      <c r="C12" s="25">
        <f>IFERROR(SUM('③ 평가 입력'!W3:W202)/COUNTA('③ 평가 입력'!B3:B202)*100,0)</f>
        <v>0</v>
      </c>
      <c r="D12" s="26" t="str">
        <f>IF(C12="","",IF(C12&gt;=30,"통과","미달"))</f>
        <v>미달</v>
      </c>
      <c r="E12" s="19"/>
    </row>
    <row r="14" spans="1:5" ht="18.75" customHeight="1">
      <c r="A14" s="67" t="s">
        <v>206</v>
      </c>
      <c r="B14" s="66"/>
      <c r="C14" s="66"/>
      <c r="D14" s="66"/>
      <c r="E14" s="66"/>
    </row>
    <row r="15" spans="1:5" ht="21.75" customHeight="1">
      <c r="A15" s="27" t="s">
        <v>0</v>
      </c>
      <c r="B15" s="1" t="s">
        <v>1</v>
      </c>
      <c r="C15" s="1" t="s">
        <v>207</v>
      </c>
      <c r="D15" s="1" t="s">
        <v>208</v>
      </c>
      <c r="E15" s="1" t="s">
        <v>155</v>
      </c>
    </row>
    <row r="16" spans="1:5" ht="15" customHeight="1">
      <c r="A16" s="8" t="s">
        <v>8</v>
      </c>
      <c r="B16" s="28" t="s">
        <v>209</v>
      </c>
      <c r="C16" s="8">
        <f>COUNTIF('③ 평가 입력'!E3:E202,"&gt;=1")</f>
        <v>0</v>
      </c>
      <c r="D16" s="29">
        <f>IFERROR(C16/COUNTA('③ 평가 입력'!B3:B202)*100,0)</f>
        <v>0</v>
      </c>
      <c r="E16" s="13"/>
    </row>
    <row r="17" spans="1:5" ht="15" customHeight="1">
      <c r="A17" s="8" t="s">
        <v>16</v>
      </c>
      <c r="B17" s="28" t="s">
        <v>210</v>
      </c>
      <c r="C17" s="8">
        <f>COUNTIF('③ 평가 입력'!F3:F202,"&gt;=1")</f>
        <v>0</v>
      </c>
      <c r="D17" s="29">
        <f>IFERROR(C17/COUNTA('③ 평가 입력'!B3:B202)*100,0)</f>
        <v>0</v>
      </c>
      <c r="E17" s="13"/>
    </row>
    <row r="18" spans="1:5" ht="15" customHeight="1">
      <c r="A18" s="8" t="s">
        <v>23</v>
      </c>
      <c r="B18" s="28" t="s">
        <v>24</v>
      </c>
      <c r="C18" s="8">
        <f>COUNTIF('③ 평가 입력'!G3:G202,"&gt;=1")</f>
        <v>0</v>
      </c>
      <c r="D18" s="29">
        <f>IFERROR(C18/COUNTA('③ 평가 입력'!B3:B202)*100,0)</f>
        <v>0</v>
      </c>
      <c r="E18" s="13"/>
    </row>
    <row r="19" spans="1:5" ht="15" customHeight="1">
      <c r="A19" s="8" t="s">
        <v>31</v>
      </c>
      <c r="B19" s="28" t="s">
        <v>211</v>
      </c>
      <c r="C19" s="8">
        <f>COUNTIF('③ 평가 입력'!H3:H202,"&gt;=1")</f>
        <v>0</v>
      </c>
      <c r="D19" s="29">
        <f>IFERROR(C19/COUNTA('③ 평가 입력'!B3:B202)*100,0)</f>
        <v>0</v>
      </c>
      <c r="E19" s="13"/>
    </row>
    <row r="20" spans="1:5" ht="15" customHeight="1">
      <c r="A20" s="8" t="s">
        <v>38</v>
      </c>
      <c r="B20" s="28" t="s">
        <v>212</v>
      </c>
      <c r="C20" s="8">
        <f>COUNTIF('③ 평가 입력'!I3:I202,"&gt;=1")</f>
        <v>0</v>
      </c>
      <c r="D20" s="29">
        <f>IFERROR(C20/COUNTA('③ 평가 입력'!B3:B202)*100,0)</f>
        <v>0</v>
      </c>
      <c r="E20" s="13"/>
    </row>
    <row r="21" spans="1:5" ht="15" customHeight="1">
      <c r="A21" s="8" t="s">
        <v>44</v>
      </c>
      <c r="B21" s="28" t="s">
        <v>213</v>
      </c>
      <c r="C21" s="8">
        <f>COUNTIF('③ 평가 입력'!J3:J202,"&gt;=1")</f>
        <v>0</v>
      </c>
      <c r="D21" s="29">
        <f>IFERROR(C21/COUNTA('③ 평가 입력'!B3:B202)*100,0)</f>
        <v>0</v>
      </c>
      <c r="E21" s="13"/>
    </row>
    <row r="22" spans="1:5" ht="15" customHeight="1">
      <c r="A22" s="8" t="s">
        <v>49</v>
      </c>
      <c r="B22" s="30" t="s">
        <v>214</v>
      </c>
      <c r="C22" s="8">
        <f>COUNTIF('③ 평가 입력'!K3:K202,"&gt;=1")</f>
        <v>0</v>
      </c>
      <c r="D22" s="29">
        <f>IFERROR(C22/COUNTA('③ 평가 입력'!B3:B202)*100,0)</f>
        <v>0</v>
      </c>
      <c r="E22" s="13"/>
    </row>
    <row r="23" spans="1:5" ht="15" customHeight="1">
      <c r="A23" s="8" t="s">
        <v>56</v>
      </c>
      <c r="B23" s="28" t="s">
        <v>215</v>
      </c>
      <c r="C23" s="8">
        <f>COUNTIF('③ 평가 입력'!L3:L202,"&gt;=1")</f>
        <v>0</v>
      </c>
      <c r="D23" s="29">
        <f>IFERROR(C23/COUNTA('③ 평가 입력'!B3:B202)*100,0)</f>
        <v>0</v>
      </c>
      <c r="E23" s="13"/>
    </row>
    <row r="24" spans="1:5" ht="15" customHeight="1">
      <c r="A24" s="8" t="s">
        <v>63</v>
      </c>
      <c r="B24" s="28" t="s">
        <v>216</v>
      </c>
      <c r="C24" s="8">
        <f>COUNTIF('③ 평가 입력'!M3:M202,"&gt;=1")</f>
        <v>0</v>
      </c>
      <c r="D24" s="29">
        <f>IFERROR(C24/COUNTA('③ 평가 입력'!B3:B202)*100,0)</f>
        <v>0</v>
      </c>
      <c r="E24" s="13"/>
    </row>
    <row r="25" spans="1:5" ht="15" customHeight="1">
      <c r="A25" s="8" t="s">
        <v>69</v>
      </c>
      <c r="B25" s="28" t="s">
        <v>217</v>
      </c>
      <c r="C25" s="8">
        <f>COUNTIF('③ 평가 입력'!N3:N202,"&gt;=1")</f>
        <v>0</v>
      </c>
      <c r="D25" s="29">
        <f>IFERROR(C25/COUNTA('③ 평가 입력'!B3:B202)*100,0)</f>
        <v>0</v>
      </c>
      <c r="E25" s="13"/>
    </row>
    <row r="26" spans="1:5" ht="15" customHeight="1">
      <c r="A26" s="8" t="s">
        <v>75</v>
      </c>
      <c r="B26" s="28" t="s">
        <v>218</v>
      </c>
      <c r="C26" s="8">
        <f>COUNTIF('③ 평가 입력'!O3:O202,"&gt;=1")</f>
        <v>0</v>
      </c>
      <c r="D26" s="29">
        <f>IFERROR(C26/COUNTA('③ 평가 입력'!B3:B202)*100,0)</f>
        <v>0</v>
      </c>
      <c r="E26" s="13"/>
    </row>
    <row r="27" spans="1:5" ht="15" customHeight="1">
      <c r="A27" s="8" t="s">
        <v>81</v>
      </c>
      <c r="B27" s="28" t="s">
        <v>219</v>
      </c>
      <c r="C27" s="8">
        <f>COUNTIF('③ 평가 입력'!P3:P202,"&gt;=1")</f>
        <v>0</v>
      </c>
      <c r="D27" s="29">
        <f>IFERROR(C27/COUNTA('③ 평가 입력'!B3:B202)*100,0)</f>
        <v>0</v>
      </c>
      <c r="E27" s="13"/>
    </row>
    <row r="28" spans="1:5" ht="15" customHeight="1">
      <c r="A28" s="8" t="s">
        <v>89</v>
      </c>
      <c r="B28" s="28" t="s">
        <v>90</v>
      </c>
      <c r="C28" s="8">
        <f>COUNTIF('③ 평가 입력'!Q3:Q202,"&gt;=1")</f>
        <v>0</v>
      </c>
      <c r="D28" s="29">
        <f>IFERROR(C28/COUNTA('③ 평가 입력'!B3:B202)*100,0)</f>
        <v>0</v>
      </c>
      <c r="E28" s="13"/>
    </row>
    <row r="29" spans="1:5" ht="15" customHeight="1">
      <c r="A29" s="8" t="s">
        <v>91</v>
      </c>
      <c r="B29" s="28" t="s">
        <v>92</v>
      </c>
      <c r="C29" s="8">
        <f>COUNTIF('③ 평가 입력'!R3:R202,"&gt;=1")</f>
        <v>0</v>
      </c>
      <c r="D29" s="29">
        <f>IFERROR(C29/COUNTA('③ 평가 입력'!B3:B202)*100,0)</f>
        <v>0</v>
      </c>
      <c r="E29" s="13"/>
    </row>
    <row r="31" spans="1:5" ht="15" customHeight="1">
      <c r="A31" s="67" t="s">
        <v>220</v>
      </c>
      <c r="B31" s="66"/>
      <c r="C31" s="66"/>
      <c r="D31" s="66"/>
      <c r="E31" s="66"/>
    </row>
    <row r="32" spans="1:5" ht="15" customHeight="1">
      <c r="A32" s="10" t="s">
        <v>221</v>
      </c>
      <c r="B32" s="31">
        <f>'④ 정성 평가'!J34</f>
        <v>0</v>
      </c>
      <c r="C32" s="10" t="s">
        <v>222</v>
      </c>
      <c r="D32" s="20">
        <f>MAX(0,C8-B32)</f>
        <v>0</v>
      </c>
      <c r="E32" s="24"/>
    </row>
    <row r="34" spans="1:5" ht="15" customHeight="1">
      <c r="A34" s="85" t="s">
        <v>223</v>
      </c>
      <c r="B34" s="66"/>
      <c r="C34" s="66"/>
      <c r="D34" s="66"/>
      <c r="E34" s="66"/>
    </row>
    <row r="35" spans="1:5" ht="21" customHeight="1">
      <c r="A35" s="10" t="s">
        <v>195</v>
      </c>
      <c r="B35" s="86" t="str">
        <f>IF(COUNTIF(D8:D12,"미달")=0,"✅ 통과",IF(AND(COUNTIF(D8:D12,"미달")=1,D32&lt;=50,C9&gt;20=FALSE()),"⚠ 조건부 통과",IF(OR(COUNTIF(D8:D12,"미달")&gt;=2,C9&gt;20),"❌ 실패","⚠ 조건부 통과")))</f>
        <v>⚠ 조건부 통과</v>
      </c>
      <c r="C35" s="76"/>
      <c r="D35" s="76"/>
      <c r="E35" s="64"/>
    </row>
  </sheetData>
  <mergeCells count="6">
    <mergeCell ref="A34:E34"/>
    <mergeCell ref="B35:E35"/>
    <mergeCell ref="A14:E14"/>
    <mergeCell ref="A1:E1"/>
    <mergeCell ref="A31:E31"/>
    <mergeCell ref="A6:E6"/>
  </mergeCells>
  <phoneticPr fontId="21" type="noConversion"/>
  <conditionalFormatting sqref="D8:D12">
    <cfRule type="cellIs" dxfId="14" priority="2" operator="equal">
      <formula>"통과"</formula>
    </cfRule>
    <cfRule type="cellIs" dxfId="13" priority="3" operator="equal">
      <formula>"미달"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6"/>
  <sheetViews>
    <sheetView topLeftCell="A4" zoomScaleNormal="100" workbookViewId="0">
      <selection activeCell="C32" sqref="C32"/>
    </sheetView>
  </sheetViews>
  <sheetFormatPr baseColWidth="10" defaultColWidth="8.6640625" defaultRowHeight="15"/>
  <cols>
    <col min="1" max="1" width="26" customWidth="1"/>
    <col min="2" max="7" width="14" customWidth="1"/>
    <col min="8" max="8" width="24" customWidth="1"/>
  </cols>
  <sheetData>
    <row r="1" spans="1:8" ht="21" customHeight="1">
      <c r="A1" s="65" t="s">
        <v>224</v>
      </c>
      <c r="B1" s="66"/>
      <c r="C1" s="66"/>
      <c r="D1" s="66"/>
      <c r="E1" s="66"/>
      <c r="F1" s="66"/>
      <c r="G1" s="66"/>
      <c r="H1" s="66"/>
    </row>
    <row r="2" spans="1:8" ht="13.5" customHeight="1">
      <c r="A2" s="73" t="s">
        <v>225</v>
      </c>
      <c r="B2" s="66"/>
      <c r="C2" s="66"/>
      <c r="D2" s="66"/>
      <c r="E2" s="66"/>
      <c r="F2" s="66"/>
      <c r="G2" s="66"/>
      <c r="H2" s="66"/>
    </row>
    <row r="4" spans="1:8" ht="24" customHeight="1">
      <c r="A4" s="6" t="s">
        <v>192</v>
      </c>
      <c r="B4" s="6" t="s">
        <v>226</v>
      </c>
      <c r="C4" s="6" t="s">
        <v>227</v>
      </c>
      <c r="D4" s="6" t="s">
        <v>228</v>
      </c>
      <c r="E4" s="6" t="s">
        <v>229</v>
      </c>
      <c r="F4" s="6" t="s">
        <v>230</v>
      </c>
      <c r="G4" s="6" t="s">
        <v>231</v>
      </c>
      <c r="H4" s="6" t="s">
        <v>195</v>
      </c>
    </row>
    <row r="5" spans="1:8" ht="15" customHeight="1">
      <c r="A5" s="33" t="s">
        <v>232</v>
      </c>
      <c r="B5" s="25">
        <f>IFERROR(SUM('③ 평가 입력'!#REF!)/COUNTA('③ 평가 입력'!#REF!)*100,0)</f>
        <v>0</v>
      </c>
      <c r="C5" s="13"/>
      <c r="D5" s="34">
        <f>IFERROR(C5-B5,"")</f>
        <v>0</v>
      </c>
      <c r="E5" s="35" t="str">
        <f>IF(D5="","",IF(D5&lt;0,"개선",IF(D5&gt;0,"악화","유지")))</f>
        <v>유지</v>
      </c>
      <c r="F5" s="36" t="str">
        <f>IF(D5="","",IF(D5&gt;=2,"⚠ 나빠짐",""))</f>
        <v/>
      </c>
      <c r="G5" s="7" t="s">
        <v>197</v>
      </c>
      <c r="H5" s="43" t="str">
        <f>IF(C5="","",IF(C5&lt;=VALUE(SUBSTITUTE(G5,"≤ ","")),"통과","미달"))</f>
        <v/>
      </c>
    </row>
    <row r="6" spans="1:8" ht="15" customHeight="1">
      <c r="A6" s="33" t="s">
        <v>198</v>
      </c>
      <c r="B6" s="25">
        <f>IFERROR(SUM('③ 평가 입력'!#REF!)/COUNTA('③ 평가 입력'!#REF!)*100,0)</f>
        <v>0</v>
      </c>
      <c r="C6" s="13"/>
      <c r="D6" s="34">
        <f>IFERROR(C6-B6,"")</f>
        <v>0</v>
      </c>
      <c r="E6" s="35" t="str">
        <f>IF(D6="","",IF(D6&lt;0,"개선",IF(D6&gt;0,"악화","유지")))</f>
        <v>유지</v>
      </c>
      <c r="F6" s="36" t="str">
        <f>IF(D6="","",IF(D6&gt;=2,"⚠ 나빠짐",""))</f>
        <v/>
      </c>
      <c r="G6" s="7" t="s">
        <v>199</v>
      </c>
      <c r="H6" s="43" t="str">
        <f>IF(C6="","",IF(C6&lt;=VALUE(SUBSTITUTE(G6,"≤ ","")),"통과","미달"))</f>
        <v/>
      </c>
    </row>
    <row r="7" spans="1:8" ht="15" customHeight="1">
      <c r="A7" s="33" t="s">
        <v>200</v>
      </c>
      <c r="B7" s="25">
        <f>IFERROR(SUM('③ 평가 입력'!#REF!)/COUNTA('③ 평가 입력'!#REF!)*100,0)</f>
        <v>0</v>
      </c>
      <c r="C7" s="13"/>
      <c r="D7" s="34">
        <f>IFERROR(C7-B7,"")</f>
        <v>0</v>
      </c>
      <c r="E7" s="35" t="str">
        <f>IF(D7="","",IF(D7&lt;0,"개선",IF(D7&gt;0,"악화","유지")))</f>
        <v>유지</v>
      </c>
      <c r="F7" s="36" t="str">
        <f>IF(D7="","",IF(D7&gt;=2,"⚠ 나빠짐",""))</f>
        <v/>
      </c>
      <c r="G7" s="7" t="s">
        <v>201</v>
      </c>
      <c r="H7" s="43" t="str">
        <f>IF(C7="","",IF(C7&lt;=VALUE(SUBSTITUTE(G7,"≤ ","")),"통과","미달"))</f>
        <v/>
      </c>
    </row>
    <row r="8" spans="1:8" ht="15" customHeight="1">
      <c r="A8" s="33" t="s">
        <v>202</v>
      </c>
      <c r="B8" s="25">
        <f>IFERROR(SUM('③ 평가 입력'!#REF!)/COUNTA('③ 평가 입력'!#REF!)*100,0)</f>
        <v>0</v>
      </c>
      <c r="C8" s="13"/>
      <c r="D8" s="34">
        <f>IFERROR(C8-B8,"")</f>
        <v>0</v>
      </c>
      <c r="E8" s="35" t="str">
        <f>IF(D8="","",IF(D8&lt;0,"개선",IF(D8&gt;0,"악화","유지")))</f>
        <v>유지</v>
      </c>
      <c r="F8" s="36" t="str">
        <f>IF(D8="","",IF(D8&gt;=2,"⚠ 나빠짐",""))</f>
        <v/>
      </c>
      <c r="G8" s="7" t="s">
        <v>203</v>
      </c>
      <c r="H8" s="43" t="str">
        <f>IF(C8="","",IF(C8&lt;=VALUE(SUBSTITUTE(G8,"≤ ","")),"통과","미달"))</f>
        <v/>
      </c>
    </row>
    <row r="9" spans="1:8" ht="15" customHeight="1">
      <c r="A9" s="33" t="s">
        <v>204</v>
      </c>
      <c r="B9" s="25">
        <f>IFERROR(SUM('③ 평가 입력'!#REF!)/COUNTA('③ 평가 입력'!#REF!)*100,0)</f>
        <v>0</v>
      </c>
      <c r="C9" s="13"/>
      <c r="D9" s="34">
        <f>IFERROR(C9-B9,"")</f>
        <v>0</v>
      </c>
      <c r="E9" s="35" t="str">
        <f>IF(D9="","",IF(D9&gt;0,"개선",IF(D9&lt;0,"악화","유지")))</f>
        <v>유지</v>
      </c>
      <c r="F9" s="36" t="str">
        <f>IF(D9="","",IF(D9&lt;=-2,"⚠ 나빠짐",""))</f>
        <v/>
      </c>
      <c r="G9" s="7" t="s">
        <v>205</v>
      </c>
      <c r="H9" s="43" t="str">
        <f>IF(C9="","",IF(C9&gt;=VALUE(SUBSTITUTE(G9,"≥ ","")),"통과","미달"))</f>
        <v/>
      </c>
    </row>
    <row r="11" spans="1:8" ht="18.75" customHeight="1">
      <c r="A11" s="67" t="s">
        <v>233</v>
      </c>
      <c r="B11" s="66"/>
      <c r="C11" s="66"/>
      <c r="D11" s="66"/>
      <c r="E11" s="66"/>
      <c r="F11" s="66"/>
      <c r="G11" s="66"/>
      <c r="H11" s="66"/>
    </row>
    <row r="12" spans="1:8" ht="21.75" customHeight="1">
      <c r="A12" s="27" t="s">
        <v>0</v>
      </c>
      <c r="B12" s="1" t="s">
        <v>1</v>
      </c>
      <c r="C12" s="1" t="s">
        <v>234</v>
      </c>
      <c r="D12" s="1" t="s">
        <v>235</v>
      </c>
      <c r="E12" s="1" t="s">
        <v>236</v>
      </c>
      <c r="F12" s="1" t="s">
        <v>229</v>
      </c>
      <c r="G12" s="1" t="s">
        <v>237</v>
      </c>
      <c r="H12" s="1" t="s">
        <v>155</v>
      </c>
    </row>
    <row r="13" spans="1:8" ht="15" customHeight="1">
      <c r="A13" s="8" t="s">
        <v>8</v>
      </c>
      <c r="B13" s="28" t="s">
        <v>209</v>
      </c>
      <c r="C13" s="29">
        <f>IFERROR(B13/COUNTA('③ 평가 입력'!#REF!)*100,0)</f>
        <v>0</v>
      </c>
      <c r="D13" s="13"/>
      <c r="E13" s="34">
        <f t="shared" ref="E13:E26" si="0">IFERROR(D13-C13,"")</f>
        <v>0</v>
      </c>
      <c r="F13" s="35" t="str">
        <f t="shared" ref="F13:F26" si="1">IF(E13="","",IF(E13&lt;0,"개선",IF(E13&gt;0,"악화","유지")))</f>
        <v>유지</v>
      </c>
      <c r="G13" s="36" t="str">
        <f t="shared" ref="G13:G26" si="2">IF(E13="","",IF(E13&gt;=2,"⚠ 나빠짐",""))</f>
        <v/>
      </c>
      <c r="H13" s="13"/>
    </row>
    <row r="14" spans="1:8" ht="15" customHeight="1">
      <c r="A14" s="8" t="s">
        <v>16</v>
      </c>
      <c r="B14" s="28" t="s">
        <v>210</v>
      </c>
      <c r="C14" s="29">
        <f>IFERROR(B14/COUNTA('③ 평가 입력'!#REF!)*100,0)</f>
        <v>0</v>
      </c>
      <c r="D14" s="13"/>
      <c r="E14" s="34">
        <f t="shared" si="0"/>
        <v>0</v>
      </c>
      <c r="F14" s="35" t="str">
        <f t="shared" si="1"/>
        <v>유지</v>
      </c>
      <c r="G14" s="36" t="str">
        <f t="shared" si="2"/>
        <v/>
      </c>
      <c r="H14" s="13"/>
    </row>
    <row r="15" spans="1:8" ht="15" customHeight="1">
      <c r="A15" s="8" t="s">
        <v>23</v>
      </c>
      <c r="B15" s="28" t="s">
        <v>24</v>
      </c>
      <c r="C15" s="29">
        <f>IFERROR(B15/COUNTA('③ 평가 입력'!#REF!)*100,0)</f>
        <v>0</v>
      </c>
      <c r="D15" s="13"/>
      <c r="E15" s="34">
        <f t="shared" si="0"/>
        <v>0</v>
      </c>
      <c r="F15" s="35" t="str">
        <f t="shared" si="1"/>
        <v>유지</v>
      </c>
      <c r="G15" s="36" t="str">
        <f t="shared" si="2"/>
        <v/>
      </c>
      <c r="H15" s="13"/>
    </row>
    <row r="16" spans="1:8" ht="15" customHeight="1">
      <c r="A16" s="8" t="s">
        <v>31</v>
      </c>
      <c r="B16" s="28" t="s">
        <v>211</v>
      </c>
      <c r="C16" s="29">
        <f>IFERROR(B16/COUNTA('③ 평가 입력'!#REF!)*100,0)</f>
        <v>0</v>
      </c>
      <c r="D16" s="13"/>
      <c r="E16" s="34">
        <f t="shared" si="0"/>
        <v>0</v>
      </c>
      <c r="F16" s="35" t="str">
        <f t="shared" si="1"/>
        <v>유지</v>
      </c>
      <c r="G16" s="36" t="str">
        <f t="shared" si="2"/>
        <v/>
      </c>
      <c r="H16" s="13"/>
    </row>
    <row r="17" spans="1:8" ht="15" customHeight="1">
      <c r="A17" s="8" t="s">
        <v>38</v>
      </c>
      <c r="B17" s="28" t="s">
        <v>212</v>
      </c>
      <c r="C17" s="29">
        <f>IFERROR(B17/COUNTA('③ 평가 입력'!#REF!)*100,0)</f>
        <v>0</v>
      </c>
      <c r="D17" s="13"/>
      <c r="E17" s="34">
        <f t="shared" si="0"/>
        <v>0</v>
      </c>
      <c r="F17" s="35" t="str">
        <f t="shared" si="1"/>
        <v>유지</v>
      </c>
      <c r="G17" s="36" t="str">
        <f t="shared" si="2"/>
        <v/>
      </c>
      <c r="H17" s="13"/>
    </row>
    <row r="18" spans="1:8" ht="15" customHeight="1">
      <c r="A18" s="8" t="s">
        <v>44</v>
      </c>
      <c r="B18" s="28" t="s">
        <v>213</v>
      </c>
      <c r="C18" s="29">
        <f>IFERROR(B18/COUNTA('③ 평가 입력'!#REF!)*100,0)</f>
        <v>0</v>
      </c>
      <c r="D18" s="13"/>
      <c r="E18" s="34">
        <f t="shared" si="0"/>
        <v>0</v>
      </c>
      <c r="F18" s="35" t="str">
        <f t="shared" si="1"/>
        <v>유지</v>
      </c>
      <c r="G18" s="36" t="str">
        <f t="shared" si="2"/>
        <v/>
      </c>
      <c r="H18" s="13"/>
    </row>
    <row r="19" spans="1:8" ht="15" customHeight="1">
      <c r="A19" s="8" t="s">
        <v>49</v>
      </c>
      <c r="B19" s="30" t="s">
        <v>214</v>
      </c>
      <c r="C19" s="29">
        <f>IFERROR(B19/COUNTA('③ 평가 입력'!#REF!)*100,0)</f>
        <v>0</v>
      </c>
      <c r="D19" s="13"/>
      <c r="E19" s="34">
        <f t="shared" si="0"/>
        <v>0</v>
      </c>
      <c r="F19" s="35" t="str">
        <f t="shared" si="1"/>
        <v>유지</v>
      </c>
      <c r="G19" s="36" t="str">
        <f t="shared" si="2"/>
        <v/>
      </c>
      <c r="H19" s="13"/>
    </row>
    <row r="20" spans="1:8" ht="15" customHeight="1">
      <c r="A20" s="8" t="s">
        <v>56</v>
      </c>
      <c r="B20" s="28" t="s">
        <v>215</v>
      </c>
      <c r="C20" s="29">
        <f>IFERROR(B20/COUNTA('③ 평가 입력'!#REF!)*100,0)</f>
        <v>0</v>
      </c>
      <c r="D20" s="13"/>
      <c r="E20" s="34">
        <f t="shared" si="0"/>
        <v>0</v>
      </c>
      <c r="F20" s="35" t="str">
        <f t="shared" si="1"/>
        <v>유지</v>
      </c>
      <c r="G20" s="36" t="str">
        <f t="shared" si="2"/>
        <v/>
      </c>
      <c r="H20" s="13"/>
    </row>
    <row r="21" spans="1:8" ht="15" customHeight="1">
      <c r="A21" s="8" t="s">
        <v>63</v>
      </c>
      <c r="B21" s="28" t="s">
        <v>216</v>
      </c>
      <c r="C21" s="29">
        <f>IFERROR(B21/COUNTA('③ 평가 입력'!#REF!)*100,0)</f>
        <v>0</v>
      </c>
      <c r="D21" s="13"/>
      <c r="E21" s="34">
        <f t="shared" si="0"/>
        <v>0</v>
      </c>
      <c r="F21" s="35" t="str">
        <f t="shared" si="1"/>
        <v>유지</v>
      </c>
      <c r="G21" s="36" t="str">
        <f t="shared" si="2"/>
        <v/>
      </c>
      <c r="H21" s="13"/>
    </row>
    <row r="22" spans="1:8" ht="15" customHeight="1">
      <c r="A22" s="8" t="s">
        <v>69</v>
      </c>
      <c r="B22" s="28" t="s">
        <v>217</v>
      </c>
      <c r="C22" s="29">
        <f>IFERROR(B22/COUNTA('③ 평가 입력'!#REF!)*100,0)</f>
        <v>0</v>
      </c>
      <c r="D22" s="13"/>
      <c r="E22" s="34">
        <f t="shared" si="0"/>
        <v>0</v>
      </c>
      <c r="F22" s="35" t="str">
        <f t="shared" si="1"/>
        <v>유지</v>
      </c>
      <c r="G22" s="36" t="str">
        <f t="shared" si="2"/>
        <v/>
      </c>
      <c r="H22" s="13"/>
    </row>
    <row r="23" spans="1:8" ht="15" customHeight="1">
      <c r="A23" s="8" t="s">
        <v>75</v>
      </c>
      <c r="B23" s="28" t="s">
        <v>218</v>
      </c>
      <c r="C23" s="29">
        <f>IFERROR(B23/COUNTA('③ 평가 입력'!#REF!)*100,0)</f>
        <v>0</v>
      </c>
      <c r="D23" s="13"/>
      <c r="E23" s="34">
        <f t="shared" si="0"/>
        <v>0</v>
      </c>
      <c r="F23" s="35" t="str">
        <f t="shared" si="1"/>
        <v>유지</v>
      </c>
      <c r="G23" s="36" t="str">
        <f t="shared" si="2"/>
        <v/>
      </c>
      <c r="H23" s="13"/>
    </row>
    <row r="24" spans="1:8" ht="15" customHeight="1">
      <c r="A24" s="8" t="s">
        <v>81</v>
      </c>
      <c r="B24" s="28" t="s">
        <v>219</v>
      </c>
      <c r="C24" s="29">
        <f>IFERROR(B24/COUNTA('③ 평가 입력'!#REF!)*100,0)</f>
        <v>0</v>
      </c>
      <c r="D24" s="13"/>
      <c r="E24" s="34">
        <f t="shared" si="0"/>
        <v>0</v>
      </c>
      <c r="F24" s="35" t="str">
        <f t="shared" si="1"/>
        <v>유지</v>
      </c>
      <c r="G24" s="36" t="str">
        <f t="shared" si="2"/>
        <v/>
      </c>
      <c r="H24" s="13"/>
    </row>
    <row r="25" spans="1:8" ht="15" customHeight="1">
      <c r="A25" s="8" t="s">
        <v>89</v>
      </c>
      <c r="B25" s="28" t="s">
        <v>90</v>
      </c>
      <c r="C25" s="29">
        <f>IFERROR(B25/COUNTA('③ 평가 입력'!#REF!)*100,0)</f>
        <v>0</v>
      </c>
      <c r="D25" s="13"/>
      <c r="E25" s="34">
        <f t="shared" si="0"/>
        <v>0</v>
      </c>
      <c r="F25" s="35" t="str">
        <f t="shared" si="1"/>
        <v>유지</v>
      </c>
      <c r="G25" s="36" t="str">
        <f t="shared" si="2"/>
        <v/>
      </c>
      <c r="H25" s="13"/>
    </row>
    <row r="26" spans="1:8" ht="15" customHeight="1">
      <c r="A26" s="8" t="s">
        <v>91</v>
      </c>
      <c r="B26" s="28" t="s">
        <v>92</v>
      </c>
      <c r="C26" s="29">
        <f>IFERROR(B26/COUNTA('③ 평가 입력'!#REF!)*100,0)</f>
        <v>0</v>
      </c>
      <c r="D26" s="13"/>
      <c r="E26" s="34">
        <f t="shared" si="0"/>
        <v>0</v>
      </c>
      <c r="F26" s="35" t="str">
        <f t="shared" si="1"/>
        <v>유지</v>
      </c>
      <c r="G26" s="36" t="str">
        <f t="shared" si="2"/>
        <v/>
      </c>
      <c r="H26" s="13"/>
    </row>
  </sheetData>
  <mergeCells count="3">
    <mergeCell ref="A2:H2"/>
    <mergeCell ref="A11:H11"/>
    <mergeCell ref="A1:H1"/>
  </mergeCells>
  <phoneticPr fontId="21" type="noConversion"/>
  <conditionalFormatting sqref="E5:E9">
    <cfRule type="cellIs" dxfId="12" priority="2" operator="equal">
      <formula>"악화"</formula>
    </cfRule>
    <cfRule type="cellIs" dxfId="11" priority="3" operator="equal">
      <formula>"개선"</formula>
    </cfRule>
  </conditionalFormatting>
  <conditionalFormatting sqref="F5:F9">
    <cfRule type="cellIs" dxfId="10" priority="6" operator="equal">
      <formula>"⚠ 나빠짐"</formula>
    </cfRule>
  </conditionalFormatting>
  <conditionalFormatting sqref="F13:F26">
    <cfRule type="cellIs" dxfId="9" priority="4" operator="equal">
      <formula>"악화"</formula>
    </cfRule>
    <cfRule type="cellIs" dxfId="8" priority="5" operator="equal">
      <formula>"개선"</formula>
    </cfRule>
  </conditionalFormatting>
  <conditionalFormatting sqref="G13:G26">
    <cfRule type="cellIs" dxfId="7" priority="7" operator="equal">
      <formula>"⚠ 나빠짐"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3"/>
  <sheetViews>
    <sheetView topLeftCell="D1" zoomScaleNormal="100" workbookViewId="0">
      <selection activeCell="A4" sqref="A4:F4"/>
    </sheetView>
  </sheetViews>
  <sheetFormatPr baseColWidth="10" defaultColWidth="8.6640625" defaultRowHeight="15"/>
  <cols>
    <col min="1" max="1" width="12" style="44" customWidth="1"/>
    <col min="2" max="2" width="10" style="44" customWidth="1"/>
    <col min="3" max="4" width="32" style="44" customWidth="1"/>
    <col min="5" max="5" width="28" style="44" customWidth="1"/>
    <col min="6" max="6" width="16" style="44" customWidth="1"/>
  </cols>
  <sheetData>
    <row r="1" spans="1:6" ht="21" customHeight="1">
      <c r="A1" s="88" t="s">
        <v>238</v>
      </c>
      <c r="B1" s="89"/>
      <c r="C1" s="89"/>
      <c r="D1" s="89"/>
      <c r="E1" s="89"/>
      <c r="F1" s="89"/>
    </row>
    <row r="3" spans="1:6" ht="25.5" customHeight="1">
      <c r="A3" s="6" t="s">
        <v>239</v>
      </c>
      <c r="B3" s="6" t="s">
        <v>240</v>
      </c>
      <c r="C3" s="6" t="s">
        <v>241</v>
      </c>
      <c r="D3" s="5" t="s">
        <v>242</v>
      </c>
      <c r="E3" s="6" t="s">
        <v>243</v>
      </c>
      <c r="F3" s="6" t="s">
        <v>244</v>
      </c>
    </row>
    <row r="4" spans="1:6" ht="59" customHeight="1">
      <c r="A4" s="50"/>
      <c r="B4" s="46"/>
      <c r="C4" s="46"/>
      <c r="D4" s="46"/>
      <c r="E4" s="46"/>
      <c r="F4" s="51"/>
    </row>
    <row r="5" spans="1:6" ht="30" customHeight="1">
      <c r="A5" s="50"/>
      <c r="B5" s="46"/>
      <c r="C5" s="46"/>
      <c r="D5" s="46"/>
      <c r="E5" s="46"/>
      <c r="F5" s="45"/>
    </row>
    <row r="6" spans="1:6" ht="30" customHeight="1">
      <c r="A6" s="50"/>
      <c r="B6" s="45"/>
      <c r="C6" s="45"/>
      <c r="D6" s="45"/>
      <c r="E6" s="45"/>
      <c r="F6" s="45"/>
    </row>
    <row r="7" spans="1:6" ht="30" customHeight="1">
      <c r="A7" s="50"/>
      <c r="B7" s="45"/>
      <c r="C7" s="45"/>
      <c r="D7" s="45"/>
      <c r="E7" s="45"/>
      <c r="F7" s="45"/>
    </row>
    <row r="8" spans="1:6" ht="30" customHeight="1">
      <c r="A8" s="50"/>
      <c r="B8" s="45"/>
      <c r="C8" s="45"/>
      <c r="D8" s="45"/>
      <c r="E8" s="45"/>
      <c r="F8" s="45"/>
    </row>
    <row r="9" spans="1:6" ht="30" customHeight="1">
      <c r="A9" s="50"/>
      <c r="B9" s="45"/>
      <c r="C9" s="45"/>
      <c r="D9" s="45"/>
      <c r="E9" s="45"/>
      <c r="F9" s="45"/>
    </row>
    <row r="10" spans="1:6" ht="30" customHeight="1">
      <c r="A10" s="50"/>
      <c r="B10" s="45"/>
      <c r="C10" s="45"/>
      <c r="D10" s="45"/>
      <c r="E10" s="45"/>
      <c r="F10" s="45"/>
    </row>
    <row r="11" spans="1:6" ht="30" customHeight="1">
      <c r="A11" s="50"/>
      <c r="B11" s="45"/>
      <c r="C11" s="45"/>
      <c r="D11" s="45"/>
      <c r="E11" s="45"/>
      <c r="F11" s="45"/>
    </row>
    <row r="12" spans="1:6" ht="30" customHeight="1">
      <c r="A12" s="50"/>
      <c r="B12" s="45"/>
      <c r="C12" s="45"/>
      <c r="D12" s="45"/>
      <c r="E12" s="45"/>
      <c r="F12" s="45"/>
    </row>
    <row r="13" spans="1:6" ht="30" customHeight="1">
      <c r="A13" s="50"/>
      <c r="B13" s="45"/>
      <c r="C13" s="45"/>
      <c r="D13" s="45"/>
      <c r="E13" s="45"/>
      <c r="F13" s="45"/>
    </row>
    <row r="14" spans="1:6" ht="30" customHeight="1">
      <c r="A14" s="50"/>
      <c r="B14" s="45"/>
      <c r="C14" s="45"/>
      <c r="D14" s="45"/>
      <c r="E14" s="45"/>
      <c r="F14" s="45"/>
    </row>
    <row r="15" spans="1:6" ht="30" customHeight="1">
      <c r="A15" s="50"/>
      <c r="B15" s="45"/>
      <c r="C15" s="45"/>
      <c r="D15" s="45"/>
      <c r="E15" s="45"/>
      <c r="F15" s="45"/>
    </row>
    <row r="16" spans="1:6" ht="30" customHeight="1">
      <c r="A16" s="50"/>
      <c r="B16" s="45"/>
      <c r="C16" s="45"/>
      <c r="D16" s="45"/>
      <c r="E16" s="45"/>
      <c r="F16" s="45"/>
    </row>
    <row r="17" spans="1:6" ht="30" customHeight="1">
      <c r="A17" s="50"/>
      <c r="B17" s="45"/>
      <c r="C17" s="45"/>
      <c r="D17" s="45"/>
      <c r="E17" s="45"/>
      <c r="F17" s="45"/>
    </row>
    <row r="18" spans="1:6" ht="30" customHeight="1">
      <c r="A18" s="50"/>
      <c r="B18" s="45"/>
      <c r="C18" s="45"/>
      <c r="D18" s="45"/>
      <c r="E18" s="45"/>
      <c r="F18" s="45"/>
    </row>
    <row r="19" spans="1:6" ht="30" customHeight="1">
      <c r="A19" s="50"/>
      <c r="B19" s="45"/>
      <c r="C19" s="45"/>
      <c r="D19" s="45"/>
      <c r="E19" s="45"/>
      <c r="F19" s="45"/>
    </row>
    <row r="20" spans="1:6" ht="30" customHeight="1">
      <c r="A20" s="50"/>
      <c r="B20" s="45"/>
      <c r="C20" s="45"/>
      <c r="D20" s="45"/>
      <c r="E20" s="45"/>
      <c r="F20" s="45"/>
    </row>
    <row r="21" spans="1:6" ht="30" customHeight="1">
      <c r="A21" s="50"/>
      <c r="B21" s="45"/>
      <c r="C21" s="45"/>
      <c r="D21" s="45"/>
      <c r="E21" s="45"/>
      <c r="F21" s="45"/>
    </row>
    <row r="22" spans="1:6" ht="30" customHeight="1">
      <c r="A22" s="50"/>
      <c r="B22" s="45"/>
      <c r="C22" s="45"/>
      <c r="D22" s="45"/>
      <c r="E22" s="45"/>
      <c r="F22" s="45"/>
    </row>
    <row r="23" spans="1:6" ht="30" customHeight="1">
      <c r="A23" s="50"/>
      <c r="B23" s="45"/>
      <c r="C23" s="45"/>
      <c r="D23" s="45"/>
      <c r="E23" s="45"/>
      <c r="F23" s="45"/>
    </row>
    <row r="24" spans="1:6" ht="30" customHeight="1">
      <c r="A24" s="50"/>
      <c r="B24" s="45"/>
      <c r="C24" s="45"/>
      <c r="D24" s="45"/>
      <c r="E24" s="45"/>
      <c r="F24" s="45"/>
    </row>
    <row r="25" spans="1:6" ht="30" customHeight="1">
      <c r="A25" s="50"/>
      <c r="B25" s="45"/>
      <c r="C25" s="45"/>
      <c r="D25" s="45"/>
      <c r="E25" s="45"/>
      <c r="F25" s="45"/>
    </row>
    <row r="26" spans="1:6" ht="30" customHeight="1">
      <c r="A26" s="50"/>
      <c r="B26" s="45"/>
      <c r="C26" s="45"/>
      <c r="D26" s="45"/>
      <c r="E26" s="45"/>
      <c r="F26" s="45"/>
    </row>
    <row r="27" spans="1:6" ht="30" customHeight="1">
      <c r="A27" s="50"/>
      <c r="B27" s="45"/>
      <c r="C27" s="45"/>
      <c r="D27" s="45"/>
      <c r="E27" s="45"/>
      <c r="F27" s="45"/>
    </row>
    <row r="28" spans="1:6" ht="30" customHeight="1">
      <c r="A28" s="50"/>
      <c r="B28" s="45"/>
      <c r="C28" s="45"/>
      <c r="D28" s="45"/>
      <c r="E28" s="45"/>
      <c r="F28" s="45"/>
    </row>
    <row r="29" spans="1:6" ht="30" customHeight="1">
      <c r="A29" s="50"/>
      <c r="B29" s="45"/>
      <c r="C29" s="45"/>
      <c r="D29" s="45"/>
      <c r="E29" s="45"/>
      <c r="F29" s="45"/>
    </row>
    <row r="30" spans="1:6" ht="30" customHeight="1">
      <c r="A30" s="50"/>
      <c r="B30" s="45"/>
      <c r="C30" s="45"/>
      <c r="D30" s="45"/>
      <c r="E30" s="45"/>
      <c r="F30" s="45"/>
    </row>
    <row r="31" spans="1:6" ht="30" customHeight="1">
      <c r="A31" s="50"/>
      <c r="B31" s="45"/>
      <c r="C31" s="45"/>
      <c r="D31" s="45"/>
      <c r="E31" s="45"/>
      <c r="F31" s="45"/>
    </row>
    <row r="32" spans="1:6" ht="30" customHeight="1">
      <c r="A32" s="50"/>
      <c r="B32" s="45"/>
      <c r="C32" s="45"/>
      <c r="D32" s="45"/>
      <c r="E32" s="45"/>
      <c r="F32" s="45"/>
    </row>
    <row r="33" spans="1:6" ht="30" customHeight="1">
      <c r="A33" s="50"/>
      <c r="B33" s="45"/>
      <c r="C33" s="45"/>
      <c r="D33" s="45"/>
      <c r="E33" s="45"/>
      <c r="F33" s="45"/>
    </row>
    <row r="34" spans="1:6" ht="30" customHeight="1">
      <c r="A34" s="50"/>
      <c r="B34" s="45"/>
      <c r="C34" s="45"/>
      <c r="D34" s="45"/>
      <c r="E34" s="45"/>
      <c r="F34" s="45"/>
    </row>
    <row r="35" spans="1:6" ht="30" customHeight="1">
      <c r="A35" s="50"/>
      <c r="B35" s="45"/>
      <c r="C35" s="45"/>
      <c r="D35" s="45"/>
      <c r="E35" s="45"/>
      <c r="F35" s="45"/>
    </row>
    <row r="36" spans="1:6" ht="30" customHeight="1">
      <c r="A36" s="50"/>
      <c r="B36" s="45"/>
      <c r="C36" s="45"/>
      <c r="D36" s="45"/>
      <c r="E36" s="45"/>
      <c r="F36" s="45"/>
    </row>
    <row r="37" spans="1:6" ht="30" customHeight="1">
      <c r="A37" s="50"/>
      <c r="B37" s="45"/>
      <c r="C37" s="45"/>
      <c r="D37" s="45"/>
      <c r="E37" s="45"/>
      <c r="F37" s="45"/>
    </row>
    <row r="38" spans="1:6" ht="30" customHeight="1">
      <c r="A38" s="50"/>
      <c r="B38" s="45"/>
      <c r="C38" s="45"/>
      <c r="D38" s="45"/>
      <c r="E38" s="45"/>
      <c r="F38" s="45"/>
    </row>
    <row r="39" spans="1:6" ht="30" customHeight="1">
      <c r="A39" s="50"/>
      <c r="B39" s="45"/>
      <c r="C39" s="45"/>
      <c r="D39" s="45"/>
      <c r="E39" s="45"/>
      <c r="F39" s="45"/>
    </row>
    <row r="40" spans="1:6" ht="30" customHeight="1">
      <c r="A40" s="50"/>
      <c r="B40" s="45"/>
      <c r="C40" s="45"/>
      <c r="D40" s="45"/>
      <c r="E40" s="45"/>
      <c r="F40" s="45"/>
    </row>
    <row r="41" spans="1:6" ht="30" customHeight="1">
      <c r="A41" s="50"/>
      <c r="B41" s="45"/>
      <c r="C41" s="45"/>
      <c r="D41" s="45"/>
      <c r="E41" s="45"/>
      <c r="F41" s="45"/>
    </row>
    <row r="42" spans="1:6" ht="30" customHeight="1">
      <c r="A42" s="50"/>
      <c r="B42" s="45"/>
      <c r="C42" s="45"/>
      <c r="D42" s="45"/>
      <c r="E42" s="45"/>
      <c r="F42" s="45"/>
    </row>
    <row r="43" spans="1:6" ht="30" customHeight="1">
      <c r="A43" s="50"/>
      <c r="B43" s="45"/>
      <c r="C43" s="45"/>
      <c r="D43" s="45"/>
      <c r="E43" s="45"/>
      <c r="F43" s="45"/>
    </row>
    <row r="44" spans="1:6" ht="30" customHeight="1">
      <c r="A44" s="50"/>
      <c r="B44" s="45"/>
      <c r="C44" s="45"/>
      <c r="D44" s="45"/>
      <c r="E44" s="45"/>
      <c r="F44" s="45"/>
    </row>
    <row r="45" spans="1:6" ht="30" customHeight="1">
      <c r="A45" s="50"/>
      <c r="B45" s="45"/>
      <c r="C45" s="45"/>
      <c r="D45" s="45"/>
      <c r="E45" s="45"/>
      <c r="F45" s="45"/>
    </row>
    <row r="46" spans="1:6" ht="30" customHeight="1">
      <c r="A46" s="50"/>
      <c r="B46" s="45"/>
      <c r="C46" s="45"/>
      <c r="D46" s="45"/>
      <c r="E46" s="45"/>
      <c r="F46" s="45"/>
    </row>
    <row r="47" spans="1:6" ht="30" customHeight="1">
      <c r="A47" s="50"/>
      <c r="B47" s="45"/>
      <c r="C47" s="45"/>
      <c r="D47" s="45"/>
      <c r="E47" s="45"/>
      <c r="F47" s="45"/>
    </row>
    <row r="48" spans="1:6" ht="30" customHeight="1">
      <c r="A48" s="50"/>
      <c r="B48" s="45"/>
      <c r="C48" s="45"/>
      <c r="D48" s="45"/>
      <c r="E48" s="45"/>
      <c r="F48" s="45"/>
    </row>
    <row r="49" spans="1:6" ht="30" customHeight="1">
      <c r="A49" s="50"/>
      <c r="B49" s="45"/>
      <c r="C49" s="45"/>
      <c r="D49" s="45"/>
      <c r="E49" s="45"/>
      <c r="F49" s="45"/>
    </row>
    <row r="50" spans="1:6" ht="30" customHeight="1">
      <c r="A50" s="50"/>
      <c r="B50" s="45"/>
      <c r="C50" s="45"/>
      <c r="D50" s="45"/>
      <c r="E50" s="45"/>
      <c r="F50" s="45"/>
    </row>
    <row r="51" spans="1:6" ht="30" customHeight="1">
      <c r="A51" s="50"/>
      <c r="B51" s="45"/>
      <c r="C51" s="45"/>
      <c r="D51" s="45"/>
      <c r="E51" s="45"/>
      <c r="F51" s="45"/>
    </row>
    <row r="52" spans="1:6" ht="30" customHeight="1">
      <c r="A52" s="50"/>
      <c r="B52" s="45"/>
      <c r="C52" s="45"/>
      <c r="D52" s="45"/>
      <c r="E52" s="45"/>
      <c r="F52" s="45"/>
    </row>
    <row r="53" spans="1:6" ht="30" customHeight="1">
      <c r="A53" s="50"/>
      <c r="B53" s="45"/>
      <c r="C53" s="45"/>
      <c r="D53" s="45"/>
      <c r="E53" s="45"/>
      <c r="F53" s="45"/>
    </row>
    <row r="54" spans="1:6" ht="30" customHeight="1">
      <c r="A54" s="50"/>
      <c r="B54" s="45"/>
      <c r="C54" s="45"/>
      <c r="D54" s="45"/>
      <c r="E54" s="45"/>
      <c r="F54" s="45"/>
    </row>
    <row r="55" spans="1:6" ht="30" customHeight="1">
      <c r="A55" s="50"/>
      <c r="B55" s="45"/>
      <c r="C55" s="45"/>
      <c r="D55" s="45"/>
      <c r="E55" s="45"/>
      <c r="F55" s="45"/>
    </row>
    <row r="56" spans="1:6" ht="30" customHeight="1">
      <c r="A56" s="50"/>
      <c r="B56" s="45"/>
      <c r="C56" s="45"/>
      <c r="D56" s="45"/>
      <c r="E56" s="45"/>
      <c r="F56" s="45"/>
    </row>
    <row r="57" spans="1:6" ht="30" customHeight="1">
      <c r="A57" s="50"/>
      <c r="B57" s="45"/>
      <c r="C57" s="45"/>
      <c r="D57" s="45"/>
      <c r="E57" s="45"/>
      <c r="F57" s="45"/>
    </row>
    <row r="58" spans="1:6" ht="30" customHeight="1">
      <c r="A58" s="50"/>
      <c r="B58" s="45"/>
      <c r="C58" s="45"/>
      <c r="D58" s="45"/>
      <c r="E58" s="45"/>
      <c r="F58" s="45"/>
    </row>
    <row r="59" spans="1:6" ht="30" customHeight="1">
      <c r="A59" s="50"/>
      <c r="B59" s="45"/>
      <c r="C59" s="45"/>
      <c r="D59" s="45"/>
      <c r="E59" s="45"/>
      <c r="F59" s="45"/>
    </row>
    <row r="60" spans="1:6" ht="30" customHeight="1">
      <c r="A60" s="50"/>
      <c r="B60" s="45"/>
      <c r="C60" s="45"/>
      <c r="D60" s="45"/>
      <c r="E60" s="45"/>
      <c r="F60" s="45"/>
    </row>
    <row r="61" spans="1:6" ht="30" customHeight="1">
      <c r="A61" s="50"/>
      <c r="B61" s="45"/>
      <c r="C61" s="45"/>
      <c r="D61" s="45"/>
      <c r="E61" s="45"/>
      <c r="F61" s="45"/>
    </row>
    <row r="62" spans="1:6" ht="30" customHeight="1">
      <c r="A62" s="50"/>
      <c r="B62" s="45"/>
      <c r="C62" s="45"/>
      <c r="D62" s="45"/>
      <c r="E62" s="45"/>
      <c r="F62" s="45"/>
    </row>
    <row r="63" spans="1:6" ht="30" customHeight="1">
      <c r="A63" s="50"/>
      <c r="B63" s="45"/>
      <c r="C63" s="45"/>
      <c r="D63" s="45"/>
      <c r="E63" s="45"/>
      <c r="F63" s="45"/>
    </row>
  </sheetData>
  <mergeCells count="1">
    <mergeCell ref="A1:F1"/>
  </mergeCells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62"/>
  <sheetViews>
    <sheetView zoomScale="85" zoomScaleNormal="85" workbookViewId="0">
      <pane xSplit="3" ySplit="7" topLeftCell="G34" activePane="bottomRight" state="frozen"/>
      <selection pane="topRight" activeCell="D1" sqref="D1"/>
      <selection pane="bottomLeft" activeCell="A8" sqref="A8"/>
      <selection pane="bottomRight" activeCell="J34" sqref="J34:J57"/>
    </sheetView>
  </sheetViews>
  <sheetFormatPr baseColWidth="10" defaultColWidth="8.6640625" defaultRowHeight="15"/>
  <cols>
    <col min="1" max="1" width="8" customWidth="1"/>
    <col min="2" max="2" width="32" customWidth="1"/>
    <col min="3" max="3" width="53.33203125" customWidth="1"/>
    <col min="4" max="4" width="11" customWidth="1"/>
    <col min="5" max="5" width="8" customWidth="1"/>
    <col min="6" max="6" width="11" customWidth="1"/>
    <col min="7" max="7" width="8" customWidth="1"/>
    <col min="8" max="8" width="12" customWidth="1"/>
    <col min="9" max="9" width="10" customWidth="1"/>
    <col min="10" max="10" width="24" style="59" customWidth="1"/>
  </cols>
  <sheetData>
    <row r="1" spans="1:11" ht="18">
      <c r="A1" s="65" t="s">
        <v>245</v>
      </c>
      <c r="B1" s="66"/>
      <c r="C1" s="66"/>
      <c r="D1" s="66"/>
      <c r="E1" s="66"/>
      <c r="F1" s="66"/>
      <c r="G1" s="66"/>
      <c r="H1" s="66"/>
      <c r="I1" s="66"/>
      <c r="J1" s="66"/>
    </row>
    <row r="2" spans="1:11">
      <c r="A2" s="73" t="s">
        <v>246</v>
      </c>
      <c r="B2" s="66"/>
      <c r="C2" s="66"/>
      <c r="D2" s="66"/>
      <c r="E2" s="66"/>
      <c r="F2" s="66"/>
      <c r="G2" s="66"/>
      <c r="H2" s="66"/>
      <c r="I2" s="66"/>
      <c r="J2" s="66"/>
    </row>
    <row r="4" spans="1:11" ht="28">
      <c r="A4" s="10" t="s">
        <v>247</v>
      </c>
      <c r="B4" s="19"/>
      <c r="C4" s="10" t="s">
        <v>248</v>
      </c>
      <c r="D4" s="19"/>
      <c r="E4" s="10" t="s">
        <v>249</v>
      </c>
      <c r="F4" s="19"/>
    </row>
    <row r="6" spans="1:11">
      <c r="A6" s="68" t="s">
        <v>250</v>
      </c>
      <c r="B6" s="68" t="s">
        <v>241</v>
      </c>
      <c r="C6" s="72" t="s">
        <v>242</v>
      </c>
      <c r="D6" s="63" t="s">
        <v>251</v>
      </c>
      <c r="E6" s="64"/>
      <c r="F6" s="70" t="s">
        <v>252</v>
      </c>
      <c r="G6" s="64"/>
      <c r="H6" s="68" t="s">
        <v>253</v>
      </c>
      <c r="I6" s="68" t="s">
        <v>254</v>
      </c>
      <c r="J6" s="68" t="s">
        <v>255</v>
      </c>
    </row>
    <row r="7" spans="1:11">
      <c r="A7" s="69"/>
      <c r="B7" s="69"/>
      <c r="C7" s="69"/>
      <c r="D7" s="10" t="s">
        <v>1</v>
      </c>
      <c r="E7" s="10" t="s">
        <v>256</v>
      </c>
      <c r="F7" s="10" t="s">
        <v>1</v>
      </c>
      <c r="G7" s="10" t="s">
        <v>256</v>
      </c>
      <c r="H7" s="69"/>
      <c r="I7" s="69"/>
      <c r="J7" s="71"/>
    </row>
    <row r="8" spans="1:11">
      <c r="A8" s="37">
        <v>1</v>
      </c>
      <c r="B8" s="45"/>
      <c r="C8" s="46"/>
      <c r="D8" s="57"/>
      <c r="E8" s="57"/>
      <c r="F8" s="38"/>
      <c r="G8" s="38"/>
      <c r="H8" s="37"/>
      <c r="I8" s="37"/>
      <c r="J8" s="19"/>
    </row>
    <row r="9" spans="1:11">
      <c r="A9" s="37">
        <v>2</v>
      </c>
      <c r="B9" s="45"/>
      <c r="C9" s="46"/>
      <c r="D9" s="57"/>
      <c r="E9" s="57"/>
      <c r="F9" s="38"/>
      <c r="G9" s="38"/>
      <c r="H9" s="37"/>
      <c r="I9" s="37"/>
      <c r="J9" s="19"/>
    </row>
    <row r="10" spans="1:11">
      <c r="A10" s="37">
        <v>3</v>
      </c>
      <c r="B10" s="45"/>
      <c r="C10" s="46"/>
      <c r="D10" s="57"/>
      <c r="E10" s="57"/>
      <c r="F10" s="38"/>
      <c r="G10" s="38"/>
      <c r="H10" s="37"/>
      <c r="I10" s="37"/>
      <c r="J10" s="19"/>
      <c r="K10" s="61" t="s">
        <v>457</v>
      </c>
    </row>
    <row r="11" spans="1:11">
      <c r="A11" s="37">
        <v>4</v>
      </c>
      <c r="B11" s="45"/>
      <c r="C11" s="46"/>
      <c r="D11" s="57"/>
      <c r="E11" s="57"/>
      <c r="F11" s="38"/>
      <c r="G11" s="38"/>
      <c r="H11" s="37"/>
      <c r="I11" s="37"/>
      <c r="J11" s="19"/>
    </row>
    <row r="12" spans="1:11">
      <c r="A12" s="37">
        <v>5</v>
      </c>
      <c r="B12" s="45"/>
      <c r="C12" s="46"/>
      <c r="D12" s="57"/>
      <c r="E12" s="57"/>
      <c r="F12" s="38"/>
      <c r="G12" s="38"/>
      <c r="H12" s="37"/>
      <c r="I12" s="37"/>
      <c r="J12" s="19"/>
    </row>
    <row r="13" spans="1:11">
      <c r="A13" s="37">
        <v>6</v>
      </c>
      <c r="B13" s="45"/>
      <c r="C13" s="46"/>
      <c r="D13" s="57"/>
      <c r="E13" s="57"/>
      <c r="F13" s="38"/>
      <c r="G13" s="38"/>
      <c r="H13" s="37"/>
      <c r="I13" s="37"/>
      <c r="J13" s="19"/>
      <c r="K13" t="s">
        <v>456</v>
      </c>
    </row>
    <row r="14" spans="1:11">
      <c r="A14" s="37">
        <v>7</v>
      </c>
      <c r="B14" s="45"/>
      <c r="C14" s="46"/>
      <c r="D14" s="57"/>
      <c r="E14" s="57"/>
      <c r="F14" s="38"/>
      <c r="G14" s="38"/>
      <c r="H14" s="37"/>
      <c r="I14" s="37"/>
      <c r="J14" s="19"/>
      <c r="K14" t="s">
        <v>456</v>
      </c>
    </row>
    <row r="15" spans="1:11">
      <c r="A15" s="37">
        <v>8</v>
      </c>
      <c r="B15" s="45"/>
      <c r="C15" s="46"/>
      <c r="D15" s="57"/>
      <c r="E15" s="57"/>
      <c r="F15" s="38"/>
      <c r="G15" s="38"/>
      <c r="H15" s="37"/>
      <c r="I15" s="37"/>
      <c r="J15" s="19"/>
    </row>
    <row r="16" spans="1:11">
      <c r="A16" s="37">
        <v>9</v>
      </c>
      <c r="B16" s="45"/>
      <c r="C16" s="48"/>
      <c r="D16" s="57"/>
      <c r="E16" s="57"/>
      <c r="F16" s="38"/>
      <c r="G16" s="38"/>
      <c r="H16" s="37"/>
      <c r="I16" s="37"/>
      <c r="J16" s="19"/>
    </row>
    <row r="17" spans="1:11">
      <c r="A17" s="37">
        <v>10</v>
      </c>
      <c r="B17" s="45"/>
      <c r="C17" s="46"/>
      <c r="D17" s="57"/>
      <c r="E17" s="57"/>
      <c r="F17" s="38"/>
      <c r="G17" s="38"/>
      <c r="H17" s="37"/>
      <c r="I17" s="37"/>
      <c r="J17" s="19"/>
    </row>
    <row r="18" spans="1:11">
      <c r="A18" s="37">
        <v>11</v>
      </c>
      <c r="B18" s="45"/>
      <c r="C18" s="46"/>
      <c r="D18" s="57"/>
      <c r="E18" s="57"/>
      <c r="F18" s="38"/>
      <c r="G18" s="38"/>
      <c r="H18" s="37"/>
      <c r="I18" s="37"/>
      <c r="J18" s="19"/>
    </row>
    <row r="19" spans="1:11">
      <c r="A19" s="37">
        <v>12</v>
      </c>
      <c r="B19" s="45"/>
      <c r="C19" s="46"/>
      <c r="D19" s="57"/>
      <c r="E19" s="57"/>
      <c r="F19" s="38"/>
      <c r="G19" s="38"/>
      <c r="H19" s="37"/>
      <c r="I19" s="37"/>
      <c r="J19" s="19"/>
      <c r="K19" s="61" t="s">
        <v>457</v>
      </c>
    </row>
    <row r="20" spans="1:11">
      <c r="A20" s="37">
        <v>13</v>
      </c>
      <c r="B20" s="46"/>
      <c r="C20" s="46"/>
      <c r="D20" s="57"/>
      <c r="E20" s="57"/>
      <c r="F20" s="38"/>
      <c r="G20" s="38"/>
      <c r="H20" s="37"/>
      <c r="I20" s="37"/>
      <c r="J20" s="19"/>
    </row>
    <row r="21" spans="1:11">
      <c r="A21" s="37">
        <v>14</v>
      </c>
      <c r="B21" s="46"/>
      <c r="C21" s="46"/>
      <c r="D21" s="57"/>
      <c r="E21" s="57"/>
      <c r="F21" s="38"/>
      <c r="G21" s="38"/>
      <c r="H21" s="37"/>
      <c r="I21" s="37"/>
      <c r="J21" s="19"/>
    </row>
    <row r="22" spans="1:11">
      <c r="A22" s="37">
        <v>15</v>
      </c>
      <c r="B22" s="46"/>
      <c r="C22" s="46"/>
      <c r="D22" s="57"/>
      <c r="E22" s="57"/>
      <c r="F22" s="38"/>
      <c r="G22" s="38"/>
      <c r="H22" s="37"/>
      <c r="I22" s="37"/>
      <c r="J22" s="19"/>
    </row>
    <row r="23" spans="1:11">
      <c r="A23" s="37">
        <v>16</v>
      </c>
      <c r="B23" s="46"/>
      <c r="C23" s="46"/>
      <c r="D23" s="57"/>
      <c r="E23" s="57"/>
      <c r="F23" s="38"/>
      <c r="G23" s="38"/>
      <c r="H23" s="37"/>
      <c r="I23" s="37"/>
      <c r="J23" s="19"/>
    </row>
    <row r="24" spans="1:11">
      <c r="A24" s="37">
        <v>17</v>
      </c>
      <c r="B24" s="46"/>
      <c r="C24" s="46"/>
      <c r="D24" s="57"/>
      <c r="E24" s="57"/>
      <c r="F24" s="38"/>
      <c r="G24" s="38"/>
      <c r="H24" s="37"/>
      <c r="I24" s="37"/>
      <c r="J24" s="62"/>
    </row>
    <row r="25" spans="1:11">
      <c r="A25" s="37">
        <v>18</v>
      </c>
      <c r="B25" s="46"/>
      <c r="C25" s="46"/>
      <c r="D25" s="57"/>
      <c r="E25" s="57"/>
      <c r="F25" s="38"/>
      <c r="G25" s="38"/>
      <c r="H25" s="37"/>
      <c r="I25" s="37"/>
      <c r="J25" s="19"/>
      <c r="K25" s="61" t="s">
        <v>457</v>
      </c>
    </row>
    <row r="26" spans="1:11">
      <c r="A26" s="37">
        <v>19</v>
      </c>
      <c r="B26" s="46"/>
      <c r="C26" s="46"/>
      <c r="D26" s="57"/>
      <c r="E26" s="57"/>
      <c r="F26" s="38"/>
      <c r="G26" s="38"/>
      <c r="H26" s="37"/>
      <c r="I26" s="37"/>
      <c r="J26" s="19"/>
    </row>
    <row r="27" spans="1:11">
      <c r="A27" s="37">
        <v>20</v>
      </c>
      <c r="B27" s="46"/>
      <c r="C27" s="46"/>
      <c r="D27" s="57"/>
      <c r="E27" s="57"/>
      <c r="F27" s="53"/>
      <c r="G27" s="53"/>
      <c r="H27" s="56"/>
      <c r="I27" s="56"/>
      <c r="J27" s="60"/>
    </row>
    <row r="28" spans="1:11">
      <c r="A28" s="37">
        <v>21</v>
      </c>
      <c r="B28" s="46"/>
      <c r="C28" s="46"/>
      <c r="D28" s="57"/>
      <c r="E28" s="57"/>
      <c r="F28" s="53"/>
      <c r="G28" s="53"/>
      <c r="H28" s="56"/>
      <c r="I28" s="56"/>
      <c r="J28" s="60"/>
      <c r="K28" s="61" t="s">
        <v>457</v>
      </c>
    </row>
    <row r="29" spans="1:11">
      <c r="A29" s="37">
        <v>22</v>
      </c>
      <c r="B29" s="46"/>
      <c r="C29" s="46"/>
      <c r="D29" s="57"/>
      <c r="E29" s="57"/>
      <c r="F29" s="53"/>
      <c r="G29" s="53"/>
      <c r="H29" s="56"/>
      <c r="I29" s="56"/>
      <c r="J29" s="60"/>
      <c r="K29" s="61" t="s">
        <v>457</v>
      </c>
    </row>
    <row r="30" spans="1:11">
      <c r="A30" s="37">
        <v>23</v>
      </c>
      <c r="B30" s="46"/>
      <c r="C30" s="46"/>
      <c r="D30" s="57"/>
      <c r="E30" s="57"/>
      <c r="F30" s="53"/>
      <c r="G30" s="53"/>
      <c r="H30" s="56"/>
      <c r="I30" s="56"/>
      <c r="J30" s="60"/>
      <c r="K30" t="s">
        <v>456</v>
      </c>
    </row>
    <row r="31" spans="1:11">
      <c r="A31" s="37">
        <v>24</v>
      </c>
      <c r="B31" s="46"/>
      <c r="C31" s="46"/>
      <c r="D31" s="57"/>
      <c r="E31" s="57"/>
      <c r="F31" s="53"/>
      <c r="G31" s="53"/>
      <c r="H31" s="56"/>
      <c r="I31" s="56"/>
      <c r="J31" s="60"/>
    </row>
    <row r="32" spans="1:11">
      <c r="A32" s="37">
        <v>25</v>
      </c>
      <c r="B32" s="46"/>
      <c r="C32" s="46"/>
      <c r="D32" s="57"/>
      <c r="E32" s="57"/>
      <c r="F32" s="53"/>
      <c r="G32" s="53"/>
      <c r="H32" s="56"/>
      <c r="I32" s="56"/>
      <c r="J32" s="60"/>
    </row>
    <row r="33" spans="1:11">
      <c r="A33" s="37">
        <v>26</v>
      </c>
      <c r="B33" s="46"/>
      <c r="C33" s="46"/>
      <c r="D33" s="57"/>
      <c r="E33" s="57"/>
      <c r="F33" s="53"/>
      <c r="G33" s="53"/>
      <c r="H33" s="56"/>
      <c r="I33" s="56"/>
      <c r="J33" s="60"/>
    </row>
    <row r="34" spans="1:11">
      <c r="A34" s="37">
        <v>27</v>
      </c>
      <c r="B34" s="46"/>
      <c r="C34" s="46"/>
      <c r="D34" s="57"/>
      <c r="E34" s="57"/>
      <c r="F34" s="53"/>
      <c r="G34" s="53"/>
      <c r="H34" s="56"/>
      <c r="I34" s="56"/>
      <c r="J34" s="62"/>
      <c r="K34" s="61"/>
    </row>
    <row r="35" spans="1:11">
      <c r="A35" s="37">
        <v>28</v>
      </c>
      <c r="B35" s="46"/>
      <c r="C35" s="46"/>
      <c r="D35" s="57"/>
      <c r="E35" s="57"/>
      <c r="F35" s="53"/>
      <c r="G35" s="53"/>
      <c r="H35" s="56"/>
      <c r="I35" s="56"/>
      <c r="J35" s="62"/>
    </row>
    <row r="36" spans="1:11">
      <c r="A36" s="37">
        <v>29</v>
      </c>
      <c r="B36" s="46"/>
      <c r="C36" s="46"/>
      <c r="D36" s="57"/>
      <c r="E36" s="57"/>
      <c r="F36" s="53"/>
      <c r="G36" s="53"/>
      <c r="H36" s="56"/>
      <c r="I36" s="56"/>
      <c r="J36" s="62"/>
    </row>
    <row r="37" spans="1:11">
      <c r="A37" s="37">
        <v>30</v>
      </c>
      <c r="B37" s="46"/>
      <c r="C37" s="46"/>
      <c r="D37" s="57"/>
      <c r="E37" s="57"/>
      <c r="F37" s="53"/>
      <c r="G37" s="53"/>
      <c r="H37" s="56"/>
      <c r="I37" s="56"/>
      <c r="J37" s="62"/>
    </row>
    <row r="38" spans="1:11">
      <c r="A38" s="37">
        <v>31</v>
      </c>
      <c r="B38" s="46"/>
      <c r="C38" s="46"/>
      <c r="D38" s="57"/>
      <c r="E38" s="57"/>
      <c r="F38" s="38"/>
      <c r="G38" s="38"/>
      <c r="H38" s="37"/>
      <c r="I38" s="37"/>
      <c r="J38" s="62"/>
    </row>
    <row r="39" spans="1:11">
      <c r="A39" s="37">
        <v>32</v>
      </c>
      <c r="B39" s="46"/>
      <c r="C39" s="46"/>
      <c r="D39" s="57"/>
      <c r="E39" s="57"/>
      <c r="F39" s="38"/>
      <c r="G39" s="38"/>
      <c r="H39" s="37"/>
      <c r="I39" s="37"/>
      <c r="J39" s="62"/>
      <c r="K39" s="61"/>
    </row>
    <row r="40" spans="1:11">
      <c r="A40" s="37">
        <v>33</v>
      </c>
      <c r="B40" s="46"/>
      <c r="C40" s="46"/>
      <c r="D40" s="57"/>
      <c r="E40" s="57"/>
      <c r="F40" s="38"/>
      <c r="G40" s="38"/>
      <c r="H40" s="37"/>
      <c r="I40" s="37"/>
      <c r="J40" s="62"/>
      <c r="K40" s="61"/>
    </row>
    <row r="41" spans="1:11">
      <c r="A41" s="37">
        <v>34</v>
      </c>
      <c r="B41" s="46"/>
      <c r="C41" s="46"/>
      <c r="D41" s="57"/>
      <c r="E41" s="57"/>
      <c r="F41" s="38"/>
      <c r="G41" s="38"/>
      <c r="H41" s="37"/>
      <c r="I41" s="37"/>
      <c r="J41" s="62"/>
    </row>
    <row r="42" spans="1:11">
      <c r="A42" s="37">
        <v>35</v>
      </c>
      <c r="B42" s="46"/>
      <c r="C42" s="46"/>
      <c r="D42" s="57"/>
      <c r="E42" s="57"/>
      <c r="F42" s="38"/>
      <c r="G42" s="38"/>
      <c r="H42" s="37"/>
      <c r="I42" s="37"/>
      <c r="J42" s="62"/>
    </row>
    <row r="43" spans="1:11">
      <c r="A43" s="37">
        <v>36</v>
      </c>
      <c r="B43" s="46"/>
      <c r="C43" s="46"/>
      <c r="D43" s="57"/>
      <c r="E43" s="57"/>
      <c r="F43" s="38"/>
      <c r="G43" s="38"/>
      <c r="H43" s="37"/>
      <c r="I43" s="37"/>
      <c r="J43" s="62"/>
    </row>
    <row r="44" spans="1:11">
      <c r="A44" s="37">
        <v>37</v>
      </c>
      <c r="B44" s="46"/>
      <c r="C44" s="46"/>
      <c r="D44" s="57"/>
      <c r="E44" s="57"/>
      <c r="F44" s="38"/>
      <c r="G44" s="38"/>
      <c r="H44" s="37"/>
      <c r="I44" s="37"/>
      <c r="J44" s="62"/>
    </row>
    <row r="45" spans="1:11">
      <c r="A45" s="37">
        <v>38</v>
      </c>
      <c r="B45" s="46"/>
      <c r="C45" s="46"/>
      <c r="D45" s="57"/>
      <c r="E45" s="57"/>
      <c r="F45" s="38"/>
      <c r="G45" s="38"/>
      <c r="H45" s="37"/>
      <c r="I45" s="37"/>
      <c r="J45" s="62"/>
    </row>
    <row r="46" spans="1:11">
      <c r="A46" s="37">
        <v>39</v>
      </c>
      <c r="B46" s="46"/>
      <c r="C46" s="46"/>
      <c r="D46" s="57"/>
      <c r="E46" s="57"/>
      <c r="F46" s="38"/>
      <c r="G46" s="38"/>
      <c r="H46" s="37"/>
      <c r="I46" s="37"/>
      <c r="J46" s="62"/>
    </row>
    <row r="47" spans="1:11">
      <c r="A47" s="37">
        <v>40</v>
      </c>
      <c r="B47" s="46"/>
      <c r="C47" s="46"/>
      <c r="D47" s="57"/>
      <c r="E47" s="57"/>
      <c r="F47" s="38"/>
      <c r="G47" s="38"/>
      <c r="H47" s="37"/>
      <c r="I47" s="37"/>
      <c r="J47" s="62"/>
    </row>
    <row r="48" spans="1:11">
      <c r="A48" s="37">
        <v>41</v>
      </c>
      <c r="B48" s="46"/>
      <c r="C48" s="46"/>
      <c r="D48" s="57"/>
      <c r="E48" s="57"/>
      <c r="F48" s="53"/>
      <c r="G48" s="53"/>
      <c r="H48" s="56"/>
      <c r="I48" s="56"/>
      <c r="J48" s="62"/>
    </row>
    <row r="49" spans="1:11">
      <c r="A49" s="37">
        <v>42</v>
      </c>
      <c r="B49" s="46"/>
      <c r="C49" s="46"/>
      <c r="D49" s="57"/>
      <c r="E49" s="57"/>
      <c r="F49" s="53"/>
      <c r="G49" s="53"/>
      <c r="H49" s="56"/>
      <c r="I49" s="56"/>
      <c r="J49" s="62"/>
    </row>
    <row r="50" spans="1:11">
      <c r="A50" s="37">
        <v>43</v>
      </c>
      <c r="B50" s="46"/>
      <c r="C50" s="46"/>
      <c r="D50" s="57"/>
      <c r="E50" s="57"/>
      <c r="F50" s="53"/>
      <c r="G50" s="53"/>
      <c r="H50" s="56"/>
      <c r="I50" s="56"/>
      <c r="J50" s="62"/>
    </row>
    <row r="51" spans="1:11">
      <c r="A51" s="37">
        <v>44</v>
      </c>
      <c r="B51" s="46"/>
      <c r="C51" s="46"/>
      <c r="D51" s="57"/>
      <c r="E51" s="57"/>
      <c r="F51" s="53"/>
      <c r="G51" s="53"/>
      <c r="H51" s="56"/>
      <c r="I51" s="56"/>
      <c r="J51" s="62"/>
      <c r="K51" s="61"/>
    </row>
    <row r="52" spans="1:11">
      <c r="A52" s="37">
        <v>45</v>
      </c>
      <c r="B52" s="46"/>
      <c r="C52" s="46"/>
      <c r="D52" s="57"/>
      <c r="E52" s="57"/>
      <c r="F52" s="53"/>
      <c r="G52" s="53"/>
      <c r="H52" s="56"/>
      <c r="I52" s="56"/>
      <c r="J52" s="62"/>
    </row>
    <row r="53" spans="1:11">
      <c r="A53" s="37">
        <v>46</v>
      </c>
      <c r="B53" s="46"/>
      <c r="C53" s="46"/>
      <c r="D53" s="57"/>
      <c r="E53" s="57"/>
      <c r="F53" s="53"/>
      <c r="G53" s="53"/>
      <c r="H53" s="56"/>
      <c r="I53" s="56"/>
      <c r="J53" s="62"/>
    </row>
    <row r="54" spans="1:11">
      <c r="A54" s="37">
        <v>47</v>
      </c>
      <c r="B54" s="46"/>
      <c r="C54" s="45"/>
      <c r="D54" s="57"/>
      <c r="E54" s="57"/>
      <c r="F54" s="53"/>
      <c r="G54" s="53"/>
      <c r="H54" s="56"/>
      <c r="I54" s="56"/>
      <c r="J54" s="62"/>
    </row>
    <row r="55" spans="1:11">
      <c r="A55" s="37">
        <v>48</v>
      </c>
      <c r="B55" s="46"/>
      <c r="C55" s="46"/>
      <c r="D55" s="57"/>
      <c r="E55" s="57"/>
      <c r="F55" s="53"/>
      <c r="G55" s="53"/>
      <c r="H55" s="56"/>
      <c r="I55" s="56"/>
      <c r="J55" s="62"/>
    </row>
    <row r="56" spans="1:11">
      <c r="A56" s="37">
        <v>49</v>
      </c>
      <c r="B56" s="46"/>
      <c r="C56" s="46"/>
      <c r="D56" s="57"/>
      <c r="E56" s="57"/>
      <c r="F56" s="53"/>
      <c r="G56" s="53"/>
      <c r="H56" s="56"/>
      <c r="I56" s="56"/>
      <c r="J56" s="62"/>
    </row>
    <row r="57" spans="1:11">
      <c r="A57" s="37">
        <v>50</v>
      </c>
      <c r="B57" s="46"/>
      <c r="C57" s="45"/>
      <c r="D57" s="57"/>
      <c r="E57" s="57"/>
      <c r="F57" s="38"/>
      <c r="G57" s="38"/>
      <c r="H57" s="37"/>
      <c r="I57" s="37"/>
      <c r="J57" s="62"/>
    </row>
    <row r="59" spans="1:11" ht="16">
      <c r="A59" s="67" t="s">
        <v>257</v>
      </c>
      <c r="B59" s="66"/>
      <c r="C59" s="66"/>
      <c r="D59" s="66"/>
      <c r="E59" s="66"/>
      <c r="F59" s="66"/>
      <c r="G59" s="66"/>
      <c r="H59" s="66"/>
      <c r="I59" s="66"/>
      <c r="J59" s="66"/>
    </row>
    <row r="60" spans="1:11" ht="28">
      <c r="A60" s="10" t="s">
        <v>258</v>
      </c>
      <c r="B60" s="24" t="s">
        <v>259</v>
      </c>
      <c r="C60" s="25">
        <f>COUNTIF(H8:H57,"○")+COUNTIF(H8:H57,"✗")</f>
        <v>0</v>
      </c>
      <c r="D60" s="39" t="s">
        <v>260</v>
      </c>
      <c r="E60" s="24"/>
      <c r="F60" s="24"/>
      <c r="G60" s="24"/>
      <c r="H60" s="24"/>
      <c r="I60" s="24"/>
      <c r="J60" s="24"/>
    </row>
    <row r="61" spans="1:11" ht="42">
      <c r="A61" s="10" t="s">
        <v>261</v>
      </c>
      <c r="B61" s="24" t="s">
        <v>262</v>
      </c>
      <c r="C61" s="25">
        <f>IFERROR(COUNTIF(H8:H57,"○")/(COUNTIF(H8:H57,"○")+COUNTIF(H8:H57,"✗"))*100,0)</f>
        <v>0</v>
      </c>
      <c r="D61" s="24" t="str">
        <f>IF(C61="","",IF(C61&gt;=70,"✅ 본 평가 진입 가능",IF(C61&gt;=50,"⚠ 합의 부족","❌ 평가 불가")))</f>
        <v>❌ 평가 불가</v>
      </c>
      <c r="E61" s="24"/>
      <c r="F61" s="24"/>
      <c r="G61" s="24"/>
      <c r="H61" s="24"/>
      <c r="I61" s="24"/>
      <c r="J61" s="24"/>
    </row>
    <row r="62" spans="1:11" ht="32">
      <c r="A62" s="10" t="s">
        <v>263</v>
      </c>
      <c r="B62" s="24" t="s">
        <v>264</v>
      </c>
      <c r="C62" s="25">
        <f>IFERROR(COUNTIF(I8:I57,"○")/(COUNTIF(I8:I57,"○")+COUNTIF(I8:I57,"✗"))*100,0)</f>
        <v>0</v>
      </c>
      <c r="D62" s="24" t="str">
        <f>IF(C62="","",IF(C62&gt;=60,"✅ 충분","⚠ 강도 합의 부족"))</f>
        <v>⚠ 강도 합의 부족</v>
      </c>
      <c r="E62" s="24"/>
      <c r="F62" s="24"/>
      <c r="G62" s="24"/>
      <c r="H62" s="24"/>
      <c r="I62" s="24"/>
      <c r="J62" s="24"/>
    </row>
  </sheetData>
  <mergeCells count="11">
    <mergeCell ref="D6:E6"/>
    <mergeCell ref="A1:J1"/>
    <mergeCell ref="A59:J59"/>
    <mergeCell ref="H6:H7"/>
    <mergeCell ref="I6:I7"/>
    <mergeCell ref="F6:G6"/>
    <mergeCell ref="J6:J7"/>
    <mergeCell ref="C6:C7"/>
    <mergeCell ref="A2:J2"/>
    <mergeCell ref="B6:B7"/>
    <mergeCell ref="A6:A7"/>
  </mergeCells>
  <phoneticPr fontId="21" type="noConversion"/>
  <conditionalFormatting sqref="H8:I57">
    <cfRule type="cellIs" dxfId="6" priority="2" operator="equal">
      <formula>"○"</formula>
    </cfRule>
    <cfRule type="cellIs" dxfId="5" priority="3" operator="equal">
      <formula>"✗"</formula>
    </cfRule>
  </conditionalFormatting>
  <dataValidations count="2">
    <dataValidation type="list" allowBlank="1" sqref="F8:F57 D8:D57" xr:uid="{00000000-0002-0000-0700-000000000000}">
      <formula1>"0,1,2,3,4,5,6,7,8,9,10,11,12,13,14"</formula1>
      <formula2>0</formula2>
    </dataValidation>
    <dataValidation type="list" allowBlank="1" sqref="G8:G57 E8:E57" xr:uid="{00000000-0002-0000-0700-000001000000}">
      <formula1>"0,1,2,3"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357"/>
  <sheetViews>
    <sheetView zoomScaleNormal="100" workbookViewId="0">
      <pane xSplit="4" ySplit="4" topLeftCell="E340" activePane="bottomRight" state="frozen"/>
      <selection pane="topRight" activeCell="E1" sqref="E1"/>
      <selection pane="bottomLeft" activeCell="A5" sqref="A5"/>
      <selection pane="bottomRight" activeCell="C361" sqref="C361"/>
    </sheetView>
  </sheetViews>
  <sheetFormatPr baseColWidth="10" defaultColWidth="8.6640625" defaultRowHeight="15"/>
  <cols>
    <col min="1" max="1" width="7" customWidth="1"/>
    <col min="2" max="3" width="28" customWidth="1"/>
    <col min="4" max="4" width="9.1640625" customWidth="1"/>
    <col min="5" max="32" width="6.5" customWidth="1"/>
    <col min="33" max="33" width="11" customWidth="1"/>
    <col min="34" max="34" width="10" customWidth="1"/>
    <col min="35" max="35" width="14" customWidth="1"/>
    <col min="36" max="36" width="24" customWidth="1"/>
  </cols>
  <sheetData>
    <row r="1" spans="1:36" ht="21" customHeight="1">
      <c r="A1" s="32" t="s">
        <v>265</v>
      </c>
    </row>
    <row r="3" spans="1:36" ht="24" customHeight="1">
      <c r="A3" s="68" t="s">
        <v>250</v>
      </c>
      <c r="B3" s="68" t="s">
        <v>241</v>
      </c>
      <c r="C3" s="72" t="s">
        <v>242</v>
      </c>
      <c r="D3" s="68" t="s">
        <v>266</v>
      </c>
      <c r="E3" s="63" t="s">
        <v>267</v>
      </c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64"/>
      <c r="S3" s="70" t="s">
        <v>268</v>
      </c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64"/>
      <c r="AG3" s="90" t="s">
        <v>253</v>
      </c>
      <c r="AH3" s="90" t="s">
        <v>254</v>
      </c>
      <c r="AI3" s="90" t="s">
        <v>269</v>
      </c>
      <c r="AJ3" s="90" t="s">
        <v>155</v>
      </c>
    </row>
    <row r="4" spans="1:36" ht="21.75" customHeight="1">
      <c r="A4" s="69"/>
      <c r="B4" s="69"/>
      <c r="C4" s="69"/>
      <c r="D4" s="69"/>
      <c r="E4" s="40" t="s">
        <v>156</v>
      </c>
      <c r="F4" s="40" t="s">
        <v>157</v>
      </c>
      <c r="G4" s="40" t="s">
        <v>158</v>
      </c>
      <c r="H4" s="40" t="s">
        <v>159</v>
      </c>
      <c r="I4" s="40" t="s">
        <v>160</v>
      </c>
      <c r="J4" s="40" t="s">
        <v>161</v>
      </c>
      <c r="K4" s="40" t="s">
        <v>162</v>
      </c>
      <c r="L4" s="40" t="s">
        <v>163</v>
      </c>
      <c r="M4" s="40" t="s">
        <v>164</v>
      </c>
      <c r="N4" s="40" t="s">
        <v>165</v>
      </c>
      <c r="O4" s="40" t="s">
        <v>166</v>
      </c>
      <c r="P4" s="40" t="s">
        <v>167</v>
      </c>
      <c r="Q4" s="40" t="s">
        <v>168</v>
      </c>
      <c r="R4" s="40" t="s">
        <v>169</v>
      </c>
      <c r="S4" s="41" t="s">
        <v>156</v>
      </c>
      <c r="T4" s="41" t="s">
        <v>157</v>
      </c>
      <c r="U4" s="41" t="s">
        <v>158</v>
      </c>
      <c r="V4" s="41" t="s">
        <v>159</v>
      </c>
      <c r="W4" s="41" t="s">
        <v>160</v>
      </c>
      <c r="X4" s="41" t="s">
        <v>161</v>
      </c>
      <c r="Y4" s="41" t="s">
        <v>162</v>
      </c>
      <c r="Z4" s="41" t="s">
        <v>163</v>
      </c>
      <c r="AA4" s="41" t="s">
        <v>164</v>
      </c>
      <c r="AB4" s="41" t="s">
        <v>165</v>
      </c>
      <c r="AC4" s="41" t="s">
        <v>166</v>
      </c>
      <c r="AD4" s="41" t="s">
        <v>167</v>
      </c>
      <c r="AE4" s="41" t="s">
        <v>168</v>
      </c>
      <c r="AF4" s="41" t="s">
        <v>169</v>
      </c>
      <c r="AG4" s="69"/>
      <c r="AH4" s="69"/>
      <c r="AI4" s="69"/>
      <c r="AJ4" s="69"/>
    </row>
    <row r="5" spans="1:36" ht="27.75" customHeight="1">
      <c r="A5" s="37">
        <v>1</v>
      </c>
      <c r="B5" s="45"/>
      <c r="C5" s="46"/>
      <c r="D5" s="16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7" t="str">
        <f t="shared" ref="AG5:AG36" si="0">IF(AND(B5="",E5="",S5=""),"",IF(SUMPRODUCT(((E5:R5&gt;=1)&lt;&gt;(S5:AF5&gt;=1))*1)=0,"○","✗"))</f>
        <v/>
      </c>
      <c r="AH5" s="37" t="str">
        <f t="shared" ref="AH5:AH36" si="1">IF(AG5="","",IF(AG5="✗","✗",IF(SUMPRODUCT((E5:R5&lt;&gt;S5:AF5)*1)=0,"○","✗")))</f>
        <v/>
      </c>
      <c r="AI5" s="42">
        <f t="shared" ref="AI5:AI36" si="2">IF(AND(SUM(E5:R5)=0,SUM(S5:AF5)=0),0,(SUM(E5:R5)+SUM(S5:AF5))/2)</f>
        <v>0</v>
      </c>
      <c r="AJ5" s="11"/>
    </row>
    <row r="6" spans="1:36" ht="27.75" customHeight="1">
      <c r="A6" s="37">
        <v>2</v>
      </c>
      <c r="B6" s="45"/>
      <c r="C6" s="46"/>
      <c r="D6" s="16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7" t="str">
        <f t="shared" si="0"/>
        <v/>
      </c>
      <c r="AH6" s="37" t="str">
        <f t="shared" si="1"/>
        <v/>
      </c>
      <c r="AI6" s="42">
        <f t="shared" si="2"/>
        <v>0</v>
      </c>
      <c r="AJ6" s="11"/>
    </row>
    <row r="7" spans="1:36" ht="27.75" customHeight="1">
      <c r="A7" s="37">
        <v>3</v>
      </c>
      <c r="B7" s="45"/>
      <c r="C7" s="46"/>
      <c r="D7" s="16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7" t="str">
        <f t="shared" si="0"/>
        <v/>
      </c>
      <c r="AH7" s="37" t="str">
        <f t="shared" si="1"/>
        <v/>
      </c>
      <c r="AI7" s="42">
        <f t="shared" si="2"/>
        <v>0</v>
      </c>
      <c r="AJ7" s="11"/>
    </row>
    <row r="8" spans="1:36" ht="27.75" customHeight="1">
      <c r="A8" s="37">
        <v>4</v>
      </c>
      <c r="B8" s="45"/>
      <c r="C8" s="46"/>
      <c r="D8" s="16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7" t="str">
        <f t="shared" si="0"/>
        <v/>
      </c>
      <c r="AH8" s="37" t="str">
        <f t="shared" si="1"/>
        <v/>
      </c>
      <c r="AI8" s="42">
        <f t="shared" si="2"/>
        <v>0</v>
      </c>
      <c r="AJ8" s="11"/>
    </row>
    <row r="9" spans="1:36" ht="27.75" customHeight="1">
      <c r="A9" s="37">
        <v>5</v>
      </c>
      <c r="B9" s="45"/>
      <c r="C9" s="46"/>
      <c r="D9" s="16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7" t="str">
        <f t="shared" si="0"/>
        <v/>
      </c>
      <c r="AH9" s="37" t="str">
        <f t="shared" si="1"/>
        <v/>
      </c>
      <c r="AI9" s="42">
        <f t="shared" si="2"/>
        <v>0</v>
      </c>
      <c r="AJ9" s="11"/>
    </row>
    <row r="10" spans="1:36" ht="27.75" customHeight="1">
      <c r="A10" s="37">
        <v>6</v>
      </c>
      <c r="B10" s="45"/>
      <c r="C10" s="46"/>
      <c r="D10" s="16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7" t="str">
        <f t="shared" si="0"/>
        <v/>
      </c>
      <c r="AH10" s="37" t="str">
        <f t="shared" si="1"/>
        <v/>
      </c>
      <c r="AI10" s="42">
        <f t="shared" si="2"/>
        <v>0</v>
      </c>
      <c r="AJ10" s="11"/>
    </row>
    <row r="11" spans="1:36" ht="27.75" customHeight="1">
      <c r="A11" s="37">
        <v>7</v>
      </c>
      <c r="B11" s="45"/>
      <c r="C11" s="46"/>
      <c r="D11" s="16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7" t="str">
        <f t="shared" si="0"/>
        <v/>
      </c>
      <c r="AH11" s="37" t="str">
        <f t="shared" si="1"/>
        <v/>
      </c>
      <c r="AI11" s="42">
        <f t="shared" si="2"/>
        <v>0</v>
      </c>
      <c r="AJ11" s="11"/>
    </row>
    <row r="12" spans="1:36" ht="27.75" customHeight="1">
      <c r="A12" s="37">
        <v>8</v>
      </c>
      <c r="B12" s="45"/>
      <c r="C12" s="46"/>
      <c r="D12" s="16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7" t="str">
        <f t="shared" si="0"/>
        <v/>
      </c>
      <c r="AH12" s="37" t="str">
        <f t="shared" si="1"/>
        <v/>
      </c>
      <c r="AI12" s="42">
        <f t="shared" si="2"/>
        <v>0</v>
      </c>
      <c r="AJ12" s="11"/>
    </row>
    <row r="13" spans="1:36" ht="27.75" customHeight="1">
      <c r="A13" s="37">
        <v>9</v>
      </c>
      <c r="B13" s="45"/>
      <c r="C13" s="46"/>
      <c r="D13" s="16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7" t="str">
        <f t="shared" si="0"/>
        <v/>
      </c>
      <c r="AH13" s="37" t="str">
        <f t="shared" si="1"/>
        <v/>
      </c>
      <c r="AI13" s="42">
        <f t="shared" si="2"/>
        <v>0</v>
      </c>
      <c r="AJ13" s="11"/>
    </row>
    <row r="14" spans="1:36" ht="27.75" customHeight="1">
      <c r="A14" s="37">
        <v>10</v>
      </c>
      <c r="B14" s="45"/>
      <c r="C14" s="46"/>
      <c r="D14" s="16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7" t="str">
        <f t="shared" si="0"/>
        <v/>
      </c>
      <c r="AH14" s="37" t="str">
        <f t="shared" si="1"/>
        <v/>
      </c>
      <c r="AI14" s="42">
        <f t="shared" si="2"/>
        <v>0</v>
      </c>
      <c r="AJ14" s="11"/>
    </row>
    <row r="15" spans="1:36" ht="27.75" customHeight="1">
      <c r="A15" s="37">
        <v>11</v>
      </c>
      <c r="B15" s="45"/>
      <c r="C15" s="46"/>
      <c r="D15" s="16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7" t="str">
        <f t="shared" si="0"/>
        <v/>
      </c>
      <c r="AH15" s="37" t="str">
        <f t="shared" si="1"/>
        <v/>
      </c>
      <c r="AI15" s="42">
        <f t="shared" si="2"/>
        <v>0</v>
      </c>
      <c r="AJ15" s="11"/>
    </row>
    <row r="16" spans="1:36" ht="27.75" customHeight="1">
      <c r="A16" s="37">
        <v>12</v>
      </c>
      <c r="B16" s="45"/>
      <c r="C16" s="46"/>
      <c r="D16" s="16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7" t="str">
        <f t="shared" si="0"/>
        <v/>
      </c>
      <c r="AH16" s="37" t="str">
        <f t="shared" si="1"/>
        <v/>
      </c>
      <c r="AI16" s="42">
        <f t="shared" si="2"/>
        <v>0</v>
      </c>
      <c r="AJ16" s="11"/>
    </row>
    <row r="17" spans="1:36" ht="27.75" customHeight="1">
      <c r="A17" s="37">
        <v>13</v>
      </c>
      <c r="B17" s="45"/>
      <c r="C17" s="46"/>
      <c r="D17" s="16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7" t="str">
        <f t="shared" si="0"/>
        <v/>
      </c>
      <c r="AH17" s="37" t="str">
        <f t="shared" si="1"/>
        <v/>
      </c>
      <c r="AI17" s="42">
        <f t="shared" si="2"/>
        <v>0</v>
      </c>
      <c r="AJ17" s="11"/>
    </row>
    <row r="18" spans="1:36" ht="27.75" customHeight="1">
      <c r="A18" s="37">
        <v>14</v>
      </c>
      <c r="B18" s="45"/>
      <c r="C18" s="46"/>
      <c r="D18" s="16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7" t="str">
        <f t="shared" si="0"/>
        <v/>
      </c>
      <c r="AH18" s="37" t="str">
        <f t="shared" si="1"/>
        <v/>
      </c>
      <c r="AI18" s="42">
        <f t="shared" si="2"/>
        <v>0</v>
      </c>
      <c r="AJ18" s="11"/>
    </row>
    <row r="19" spans="1:36" ht="27.75" customHeight="1">
      <c r="A19" s="37">
        <v>15</v>
      </c>
      <c r="B19" s="45"/>
      <c r="C19" s="46"/>
      <c r="D19" s="16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7" t="str">
        <f t="shared" si="0"/>
        <v/>
      </c>
      <c r="AH19" s="37" t="str">
        <f t="shared" si="1"/>
        <v/>
      </c>
      <c r="AI19" s="42">
        <f t="shared" si="2"/>
        <v>0</v>
      </c>
      <c r="AJ19" s="11"/>
    </row>
    <row r="20" spans="1:36" ht="27.75" customHeight="1">
      <c r="A20" s="37">
        <v>16</v>
      </c>
      <c r="B20" s="45"/>
      <c r="C20" s="46"/>
      <c r="D20" s="16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7" t="str">
        <f t="shared" si="0"/>
        <v/>
      </c>
      <c r="AH20" s="37" t="str">
        <f t="shared" si="1"/>
        <v/>
      </c>
      <c r="AI20" s="42">
        <f t="shared" si="2"/>
        <v>0</v>
      </c>
      <c r="AJ20" s="11"/>
    </row>
    <row r="21" spans="1:36" ht="27.75" customHeight="1">
      <c r="A21" s="37">
        <v>17</v>
      </c>
      <c r="B21" s="45"/>
      <c r="C21" s="46"/>
      <c r="D21" s="16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7" t="str">
        <f t="shared" si="0"/>
        <v/>
      </c>
      <c r="AH21" s="37" t="str">
        <f t="shared" si="1"/>
        <v/>
      </c>
      <c r="AI21" s="42">
        <f t="shared" si="2"/>
        <v>0</v>
      </c>
      <c r="AJ21" s="11"/>
    </row>
    <row r="22" spans="1:36" ht="27.75" customHeight="1">
      <c r="A22" s="37">
        <v>18</v>
      </c>
      <c r="B22" s="45"/>
      <c r="C22" s="46"/>
      <c r="D22" s="16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7" t="str">
        <f t="shared" si="0"/>
        <v/>
      </c>
      <c r="AH22" s="37" t="str">
        <f t="shared" si="1"/>
        <v/>
      </c>
      <c r="AI22" s="42">
        <f t="shared" si="2"/>
        <v>0</v>
      </c>
      <c r="AJ22" s="11"/>
    </row>
    <row r="23" spans="1:36" ht="27.75" customHeight="1">
      <c r="A23" s="37">
        <v>19</v>
      </c>
      <c r="B23" s="45"/>
      <c r="C23" s="46"/>
      <c r="D23" s="16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7" t="str">
        <f t="shared" si="0"/>
        <v/>
      </c>
      <c r="AH23" s="37" t="str">
        <f t="shared" si="1"/>
        <v/>
      </c>
      <c r="AI23" s="42">
        <f t="shared" si="2"/>
        <v>0</v>
      </c>
      <c r="AJ23" s="11"/>
    </row>
    <row r="24" spans="1:36" ht="27.75" customHeight="1">
      <c r="A24" s="37">
        <v>20</v>
      </c>
      <c r="B24" s="45"/>
      <c r="C24" s="46"/>
      <c r="D24" s="16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7" t="str">
        <f t="shared" si="0"/>
        <v/>
      </c>
      <c r="AH24" s="37" t="str">
        <f t="shared" si="1"/>
        <v/>
      </c>
      <c r="AI24" s="42">
        <f t="shared" si="2"/>
        <v>0</v>
      </c>
      <c r="AJ24" s="11"/>
    </row>
    <row r="25" spans="1:36" ht="27.75" customHeight="1">
      <c r="A25" s="37">
        <v>21</v>
      </c>
      <c r="B25" s="45"/>
      <c r="C25" s="46"/>
      <c r="D25" s="16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7" t="str">
        <f t="shared" si="0"/>
        <v/>
      </c>
      <c r="AH25" s="37" t="str">
        <f t="shared" si="1"/>
        <v/>
      </c>
      <c r="AI25" s="42">
        <f t="shared" si="2"/>
        <v>0</v>
      </c>
      <c r="AJ25" s="11"/>
    </row>
    <row r="26" spans="1:36" ht="27.75" customHeight="1">
      <c r="A26" s="37">
        <v>22</v>
      </c>
      <c r="B26" s="45"/>
      <c r="C26" s="46"/>
      <c r="D26" s="16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7" t="str">
        <f t="shared" si="0"/>
        <v/>
      </c>
      <c r="AH26" s="37" t="str">
        <f t="shared" si="1"/>
        <v/>
      </c>
      <c r="AI26" s="42">
        <f t="shared" si="2"/>
        <v>0</v>
      </c>
      <c r="AJ26" s="11"/>
    </row>
    <row r="27" spans="1:36" ht="27.75" customHeight="1">
      <c r="A27" s="37">
        <v>23</v>
      </c>
      <c r="B27" s="45"/>
      <c r="C27" s="46"/>
      <c r="D27" s="16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7" t="str">
        <f t="shared" si="0"/>
        <v/>
      </c>
      <c r="AH27" s="37" t="str">
        <f t="shared" si="1"/>
        <v/>
      </c>
      <c r="AI27" s="42">
        <f t="shared" si="2"/>
        <v>0</v>
      </c>
      <c r="AJ27" s="11"/>
    </row>
    <row r="28" spans="1:36" ht="27.75" customHeight="1">
      <c r="A28" s="37">
        <v>24</v>
      </c>
      <c r="B28" s="45"/>
      <c r="C28" s="46"/>
      <c r="D28" s="16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7" t="str">
        <f t="shared" si="0"/>
        <v/>
      </c>
      <c r="AH28" s="37" t="str">
        <f t="shared" si="1"/>
        <v/>
      </c>
      <c r="AI28" s="42">
        <f t="shared" si="2"/>
        <v>0</v>
      </c>
      <c r="AJ28" s="11"/>
    </row>
    <row r="29" spans="1:36" ht="27.75" customHeight="1">
      <c r="A29" s="37">
        <v>25</v>
      </c>
      <c r="B29" s="45"/>
      <c r="C29" s="46"/>
      <c r="D29" s="16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7" t="str">
        <f t="shared" si="0"/>
        <v/>
      </c>
      <c r="AH29" s="37" t="str">
        <f t="shared" si="1"/>
        <v/>
      </c>
      <c r="AI29" s="42">
        <f t="shared" si="2"/>
        <v>0</v>
      </c>
      <c r="AJ29" s="11"/>
    </row>
    <row r="30" spans="1:36" ht="27.75" customHeight="1">
      <c r="A30" s="37">
        <v>26</v>
      </c>
      <c r="B30" s="45"/>
      <c r="C30" s="46"/>
      <c r="D30" s="16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7" t="str">
        <f t="shared" si="0"/>
        <v/>
      </c>
      <c r="AH30" s="37" t="str">
        <f t="shared" si="1"/>
        <v/>
      </c>
      <c r="AI30" s="42">
        <f t="shared" si="2"/>
        <v>0</v>
      </c>
      <c r="AJ30" s="11"/>
    </row>
    <row r="31" spans="1:36" ht="27.75" customHeight="1">
      <c r="A31" s="37">
        <v>27</v>
      </c>
      <c r="B31" s="45"/>
      <c r="C31" s="46"/>
      <c r="D31" s="16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7" t="str">
        <f t="shared" si="0"/>
        <v/>
      </c>
      <c r="AH31" s="37" t="str">
        <f t="shared" si="1"/>
        <v/>
      </c>
      <c r="AI31" s="42">
        <f t="shared" si="2"/>
        <v>0</v>
      </c>
      <c r="AJ31" s="11"/>
    </row>
    <row r="32" spans="1:36" ht="27.75" customHeight="1">
      <c r="A32" s="37">
        <v>28</v>
      </c>
      <c r="B32" s="45"/>
      <c r="C32" s="46"/>
      <c r="D32" s="16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7" t="str">
        <f t="shared" si="0"/>
        <v/>
      </c>
      <c r="AH32" s="37" t="str">
        <f t="shared" si="1"/>
        <v/>
      </c>
      <c r="AI32" s="42">
        <f t="shared" si="2"/>
        <v>0</v>
      </c>
      <c r="AJ32" s="11"/>
    </row>
    <row r="33" spans="1:36" ht="27.75" customHeight="1">
      <c r="A33" s="37">
        <v>29</v>
      </c>
      <c r="B33" s="45"/>
      <c r="C33" s="46"/>
      <c r="D33" s="16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7" t="str">
        <f t="shared" si="0"/>
        <v/>
      </c>
      <c r="AH33" s="37" t="str">
        <f t="shared" si="1"/>
        <v/>
      </c>
      <c r="AI33" s="42">
        <f t="shared" si="2"/>
        <v>0</v>
      </c>
      <c r="AJ33" s="11"/>
    </row>
    <row r="34" spans="1:36" ht="27.75" customHeight="1">
      <c r="A34" s="37">
        <v>30</v>
      </c>
      <c r="B34" s="45"/>
      <c r="C34" s="46"/>
      <c r="D34" s="16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7" t="str">
        <f t="shared" si="0"/>
        <v/>
      </c>
      <c r="AH34" s="37" t="str">
        <f t="shared" si="1"/>
        <v/>
      </c>
      <c r="AI34" s="42">
        <f t="shared" si="2"/>
        <v>0</v>
      </c>
      <c r="AJ34" s="11"/>
    </row>
    <row r="35" spans="1:36" ht="27.75" customHeight="1">
      <c r="A35" s="37">
        <v>31</v>
      </c>
      <c r="B35" s="45"/>
      <c r="C35" s="46"/>
      <c r="D35" s="16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7" t="str">
        <f t="shared" si="0"/>
        <v/>
      </c>
      <c r="AH35" s="37" t="str">
        <f t="shared" si="1"/>
        <v/>
      </c>
      <c r="AI35" s="42">
        <f t="shared" si="2"/>
        <v>0</v>
      </c>
      <c r="AJ35" s="11"/>
    </row>
    <row r="36" spans="1:36" ht="27.75" customHeight="1">
      <c r="A36" s="37">
        <v>32</v>
      </c>
      <c r="B36" s="45"/>
      <c r="C36" s="46"/>
      <c r="D36" s="16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7" t="str">
        <f t="shared" si="0"/>
        <v/>
      </c>
      <c r="AH36" s="37" t="str">
        <f t="shared" si="1"/>
        <v/>
      </c>
      <c r="AI36" s="42">
        <f t="shared" si="2"/>
        <v>0</v>
      </c>
      <c r="AJ36" s="11"/>
    </row>
    <row r="37" spans="1:36" ht="27.75" customHeight="1">
      <c r="A37" s="37">
        <v>33</v>
      </c>
      <c r="B37" s="45"/>
      <c r="C37" s="46"/>
      <c r="D37" s="16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7" t="str">
        <f t="shared" ref="AG37:AG68" si="3">IF(AND(B37="",E37="",S37=""),"",IF(SUMPRODUCT(((E37:R37&gt;=1)&lt;&gt;(S37:AF37&gt;=1))*1)=0,"○","✗"))</f>
        <v/>
      </c>
      <c r="AH37" s="37" t="str">
        <f t="shared" ref="AH37:AH68" si="4">IF(AG37="","",IF(AG37="✗","✗",IF(SUMPRODUCT((E37:R37&lt;&gt;S37:AF37)*1)=0,"○","✗")))</f>
        <v/>
      </c>
      <c r="AI37" s="42">
        <f t="shared" ref="AI37:AI68" si="5">IF(AND(SUM(E37:R37)=0,SUM(S37:AF37)=0),0,(SUM(E37:R37)+SUM(S37:AF37))/2)</f>
        <v>0</v>
      </c>
      <c r="AJ37" s="11"/>
    </row>
    <row r="38" spans="1:36" ht="27.75" customHeight="1">
      <c r="A38" s="37">
        <v>34</v>
      </c>
      <c r="B38" s="45"/>
      <c r="C38" s="46"/>
      <c r="D38" s="16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7" t="str">
        <f t="shared" si="3"/>
        <v/>
      </c>
      <c r="AH38" s="37" t="str">
        <f t="shared" si="4"/>
        <v/>
      </c>
      <c r="AI38" s="42">
        <f t="shared" si="5"/>
        <v>0</v>
      </c>
      <c r="AJ38" s="11"/>
    </row>
    <row r="39" spans="1:36" ht="27.75" customHeight="1">
      <c r="A39" s="37">
        <v>35</v>
      </c>
      <c r="B39" s="45"/>
      <c r="C39" s="46"/>
      <c r="D39" s="16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7" t="str">
        <f t="shared" si="3"/>
        <v/>
      </c>
      <c r="AH39" s="37" t="str">
        <f t="shared" si="4"/>
        <v/>
      </c>
      <c r="AI39" s="42">
        <f t="shared" si="5"/>
        <v>0</v>
      </c>
      <c r="AJ39" s="11"/>
    </row>
    <row r="40" spans="1:36" ht="27.75" customHeight="1">
      <c r="A40" s="37">
        <v>36</v>
      </c>
      <c r="B40" s="45"/>
      <c r="C40" s="46"/>
      <c r="D40" s="16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7" t="str">
        <f t="shared" si="3"/>
        <v/>
      </c>
      <c r="AH40" s="37" t="str">
        <f t="shared" si="4"/>
        <v/>
      </c>
      <c r="AI40" s="42">
        <f t="shared" si="5"/>
        <v>0</v>
      </c>
      <c r="AJ40" s="11"/>
    </row>
    <row r="41" spans="1:36" ht="27.75" customHeight="1">
      <c r="A41" s="37">
        <v>37</v>
      </c>
      <c r="B41" s="45"/>
      <c r="C41" s="46"/>
      <c r="D41" s="16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7" t="str">
        <f t="shared" si="3"/>
        <v/>
      </c>
      <c r="AH41" s="37" t="str">
        <f t="shared" si="4"/>
        <v/>
      </c>
      <c r="AI41" s="42">
        <f t="shared" si="5"/>
        <v>0</v>
      </c>
      <c r="AJ41" s="11"/>
    </row>
    <row r="42" spans="1:36" ht="27.75" customHeight="1">
      <c r="A42" s="37">
        <v>38</v>
      </c>
      <c r="B42" s="45"/>
      <c r="C42" s="46"/>
      <c r="D42" s="16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7" t="str">
        <f t="shared" si="3"/>
        <v/>
      </c>
      <c r="AH42" s="37" t="str">
        <f t="shared" si="4"/>
        <v/>
      </c>
      <c r="AI42" s="42">
        <f t="shared" si="5"/>
        <v>0</v>
      </c>
      <c r="AJ42" s="11"/>
    </row>
    <row r="43" spans="1:36" ht="27.75" customHeight="1">
      <c r="A43" s="37">
        <v>39</v>
      </c>
      <c r="B43" s="45"/>
      <c r="C43" s="46"/>
      <c r="D43" s="16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7" t="str">
        <f t="shared" si="3"/>
        <v/>
      </c>
      <c r="AH43" s="37" t="str">
        <f t="shared" si="4"/>
        <v/>
      </c>
      <c r="AI43" s="42">
        <f t="shared" si="5"/>
        <v>0</v>
      </c>
      <c r="AJ43" s="11"/>
    </row>
    <row r="44" spans="1:36" ht="27.75" customHeight="1">
      <c r="A44" s="37">
        <v>40</v>
      </c>
      <c r="B44" s="45"/>
      <c r="C44" s="46"/>
      <c r="D44" s="16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7" t="str">
        <f t="shared" si="3"/>
        <v/>
      </c>
      <c r="AH44" s="37" t="str">
        <f t="shared" si="4"/>
        <v/>
      </c>
      <c r="AI44" s="42">
        <f t="shared" si="5"/>
        <v>0</v>
      </c>
      <c r="AJ44" s="11"/>
    </row>
    <row r="45" spans="1:36" ht="27.75" customHeight="1">
      <c r="A45" s="37">
        <v>41</v>
      </c>
      <c r="B45" s="45"/>
      <c r="C45" s="46"/>
      <c r="D45" s="16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7" t="str">
        <f t="shared" si="3"/>
        <v/>
      </c>
      <c r="AH45" s="37" t="str">
        <f t="shared" si="4"/>
        <v/>
      </c>
      <c r="AI45" s="42">
        <f t="shared" si="5"/>
        <v>0</v>
      </c>
      <c r="AJ45" s="11"/>
    </row>
    <row r="46" spans="1:36" ht="27.75" customHeight="1">
      <c r="A46" s="37">
        <v>42</v>
      </c>
      <c r="B46" s="45"/>
      <c r="C46" s="46"/>
      <c r="D46" s="16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7" t="str">
        <f t="shared" si="3"/>
        <v/>
      </c>
      <c r="AH46" s="37" t="str">
        <f t="shared" si="4"/>
        <v/>
      </c>
      <c r="AI46" s="42">
        <f t="shared" si="5"/>
        <v>0</v>
      </c>
      <c r="AJ46" s="11"/>
    </row>
    <row r="47" spans="1:36" ht="27.75" customHeight="1">
      <c r="A47" s="37">
        <v>43</v>
      </c>
      <c r="B47" s="45"/>
      <c r="C47" s="46"/>
      <c r="D47" s="16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7" t="str">
        <f t="shared" si="3"/>
        <v/>
      </c>
      <c r="AH47" s="37" t="str">
        <f t="shared" si="4"/>
        <v/>
      </c>
      <c r="AI47" s="42">
        <f t="shared" si="5"/>
        <v>0</v>
      </c>
      <c r="AJ47" s="11"/>
    </row>
    <row r="48" spans="1:36" ht="27.75" customHeight="1">
      <c r="A48" s="37">
        <v>44</v>
      </c>
      <c r="B48" s="45"/>
      <c r="C48" s="46"/>
      <c r="D48" s="16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7" t="str">
        <f t="shared" si="3"/>
        <v/>
      </c>
      <c r="AH48" s="37" t="str">
        <f t="shared" si="4"/>
        <v/>
      </c>
      <c r="AI48" s="42">
        <f t="shared" si="5"/>
        <v>0</v>
      </c>
      <c r="AJ48" s="11"/>
    </row>
    <row r="49" spans="1:36" ht="27.75" customHeight="1">
      <c r="A49" s="37">
        <v>45</v>
      </c>
      <c r="B49" s="45"/>
      <c r="C49" s="46"/>
      <c r="D49" s="16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7" t="str">
        <f t="shared" si="3"/>
        <v/>
      </c>
      <c r="AH49" s="37" t="str">
        <f t="shared" si="4"/>
        <v/>
      </c>
      <c r="AI49" s="42">
        <f t="shared" si="5"/>
        <v>0</v>
      </c>
      <c r="AJ49" s="11"/>
    </row>
    <row r="50" spans="1:36" ht="27.75" customHeight="1">
      <c r="A50" s="37">
        <v>46</v>
      </c>
      <c r="B50" s="45"/>
      <c r="C50" s="46"/>
      <c r="D50" s="16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7" t="str">
        <f t="shared" si="3"/>
        <v/>
      </c>
      <c r="AH50" s="37" t="str">
        <f t="shared" si="4"/>
        <v/>
      </c>
      <c r="AI50" s="42">
        <f t="shared" si="5"/>
        <v>0</v>
      </c>
      <c r="AJ50" s="11"/>
    </row>
    <row r="51" spans="1:36" ht="27.75" customHeight="1">
      <c r="A51" s="37">
        <v>47</v>
      </c>
      <c r="B51" s="45"/>
      <c r="C51" s="46"/>
      <c r="D51" s="16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7" t="str">
        <f t="shared" si="3"/>
        <v/>
      </c>
      <c r="AH51" s="37" t="str">
        <f t="shared" si="4"/>
        <v/>
      </c>
      <c r="AI51" s="42">
        <f t="shared" si="5"/>
        <v>0</v>
      </c>
      <c r="AJ51" s="11"/>
    </row>
    <row r="52" spans="1:36" ht="27.75" customHeight="1">
      <c r="A52" s="37">
        <v>48</v>
      </c>
      <c r="B52" s="45"/>
      <c r="C52" s="46"/>
      <c r="D52" s="16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7" t="str">
        <f t="shared" si="3"/>
        <v/>
      </c>
      <c r="AH52" s="37" t="str">
        <f t="shared" si="4"/>
        <v/>
      </c>
      <c r="AI52" s="42">
        <f t="shared" si="5"/>
        <v>0</v>
      </c>
      <c r="AJ52" s="11"/>
    </row>
    <row r="53" spans="1:36" ht="27.75" customHeight="1">
      <c r="A53" s="37">
        <v>49</v>
      </c>
      <c r="B53" s="45"/>
      <c r="C53" s="46"/>
      <c r="D53" s="16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7" t="str">
        <f t="shared" si="3"/>
        <v/>
      </c>
      <c r="AH53" s="37" t="str">
        <f t="shared" si="4"/>
        <v/>
      </c>
      <c r="AI53" s="42">
        <f t="shared" si="5"/>
        <v>0</v>
      </c>
      <c r="AJ53" s="11"/>
    </row>
    <row r="54" spans="1:36" ht="27.75" customHeight="1">
      <c r="A54" s="37">
        <v>50</v>
      </c>
      <c r="B54" s="45"/>
      <c r="C54" s="46"/>
      <c r="D54" s="16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7" t="str">
        <f t="shared" si="3"/>
        <v/>
      </c>
      <c r="AH54" s="37" t="str">
        <f t="shared" si="4"/>
        <v/>
      </c>
      <c r="AI54" s="42">
        <f t="shared" si="5"/>
        <v>0</v>
      </c>
      <c r="AJ54" s="11"/>
    </row>
    <row r="55" spans="1:36" ht="27.75" customHeight="1">
      <c r="A55" s="37">
        <v>51</v>
      </c>
      <c r="B55" s="45"/>
      <c r="C55" s="46"/>
      <c r="D55" s="16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7" t="str">
        <f t="shared" si="3"/>
        <v/>
      </c>
      <c r="AH55" s="37" t="str">
        <f t="shared" si="4"/>
        <v/>
      </c>
      <c r="AI55" s="42">
        <f t="shared" si="5"/>
        <v>0</v>
      </c>
      <c r="AJ55" s="11"/>
    </row>
    <row r="56" spans="1:36" ht="27.75" customHeight="1">
      <c r="A56" s="37">
        <v>52</v>
      </c>
      <c r="B56" s="45"/>
      <c r="C56" s="46"/>
      <c r="D56" s="16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7" t="str">
        <f t="shared" si="3"/>
        <v/>
      </c>
      <c r="AH56" s="37" t="str">
        <f t="shared" si="4"/>
        <v/>
      </c>
      <c r="AI56" s="42">
        <f t="shared" si="5"/>
        <v>0</v>
      </c>
      <c r="AJ56" s="11"/>
    </row>
    <row r="57" spans="1:36" ht="27.75" customHeight="1">
      <c r="A57" s="37">
        <v>53</v>
      </c>
      <c r="B57" s="45"/>
      <c r="C57" s="46"/>
      <c r="D57" s="16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7" t="str">
        <f t="shared" si="3"/>
        <v/>
      </c>
      <c r="AH57" s="37" t="str">
        <f t="shared" si="4"/>
        <v/>
      </c>
      <c r="AI57" s="42">
        <f t="shared" si="5"/>
        <v>0</v>
      </c>
      <c r="AJ57" s="11"/>
    </row>
    <row r="58" spans="1:36" ht="27.75" customHeight="1">
      <c r="A58" s="37">
        <v>54</v>
      </c>
      <c r="B58" s="45"/>
      <c r="C58" s="46"/>
      <c r="D58" s="16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7" t="str">
        <f t="shared" si="3"/>
        <v/>
      </c>
      <c r="AH58" s="37" t="str">
        <f t="shared" si="4"/>
        <v/>
      </c>
      <c r="AI58" s="42">
        <f t="shared" si="5"/>
        <v>0</v>
      </c>
      <c r="AJ58" s="11"/>
    </row>
    <row r="59" spans="1:36" ht="27.75" customHeight="1">
      <c r="A59" s="37">
        <v>55</v>
      </c>
      <c r="B59" s="45"/>
      <c r="C59" s="46"/>
      <c r="D59" s="16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7" t="str">
        <f t="shared" si="3"/>
        <v/>
      </c>
      <c r="AH59" s="37" t="str">
        <f t="shared" si="4"/>
        <v/>
      </c>
      <c r="AI59" s="42">
        <f t="shared" si="5"/>
        <v>0</v>
      </c>
      <c r="AJ59" s="11"/>
    </row>
    <row r="60" spans="1:36" ht="27.75" customHeight="1">
      <c r="A60" s="37">
        <v>56</v>
      </c>
      <c r="B60" s="45"/>
      <c r="C60" s="46"/>
      <c r="D60" s="16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7" t="str">
        <f t="shared" si="3"/>
        <v/>
      </c>
      <c r="AH60" s="37" t="str">
        <f t="shared" si="4"/>
        <v/>
      </c>
      <c r="AI60" s="42">
        <f t="shared" si="5"/>
        <v>0</v>
      </c>
      <c r="AJ60" s="11"/>
    </row>
    <row r="61" spans="1:36" ht="27.75" customHeight="1">
      <c r="A61" s="37">
        <v>57</v>
      </c>
      <c r="B61" s="45"/>
      <c r="C61" s="46"/>
      <c r="D61" s="16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7" t="str">
        <f t="shared" si="3"/>
        <v/>
      </c>
      <c r="AH61" s="37" t="str">
        <f t="shared" si="4"/>
        <v/>
      </c>
      <c r="AI61" s="42">
        <f t="shared" si="5"/>
        <v>0</v>
      </c>
      <c r="AJ61" s="11"/>
    </row>
    <row r="62" spans="1:36" ht="27.75" customHeight="1">
      <c r="A62" s="37">
        <v>58</v>
      </c>
      <c r="B62" s="45"/>
      <c r="C62" s="46"/>
      <c r="D62" s="16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7" t="str">
        <f t="shared" si="3"/>
        <v/>
      </c>
      <c r="AH62" s="37" t="str">
        <f t="shared" si="4"/>
        <v/>
      </c>
      <c r="AI62" s="42">
        <f t="shared" si="5"/>
        <v>0</v>
      </c>
      <c r="AJ62" s="11"/>
    </row>
    <row r="63" spans="1:36" ht="27.75" customHeight="1">
      <c r="A63" s="37">
        <v>59</v>
      </c>
      <c r="B63" s="45"/>
      <c r="C63" s="46"/>
      <c r="D63" s="16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7" t="str">
        <f t="shared" si="3"/>
        <v/>
      </c>
      <c r="AH63" s="37" t="str">
        <f t="shared" si="4"/>
        <v/>
      </c>
      <c r="AI63" s="42">
        <f t="shared" si="5"/>
        <v>0</v>
      </c>
      <c r="AJ63" s="11"/>
    </row>
    <row r="64" spans="1:36" ht="27.75" customHeight="1">
      <c r="A64" s="37">
        <v>60</v>
      </c>
      <c r="B64" s="45"/>
      <c r="C64" s="46"/>
      <c r="D64" s="16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7" t="str">
        <f t="shared" si="3"/>
        <v/>
      </c>
      <c r="AH64" s="37" t="str">
        <f t="shared" si="4"/>
        <v/>
      </c>
      <c r="AI64" s="42">
        <f t="shared" si="5"/>
        <v>0</v>
      </c>
      <c r="AJ64" s="11"/>
    </row>
    <row r="65" spans="1:36" ht="27.75" customHeight="1">
      <c r="A65" s="37">
        <v>61</v>
      </c>
      <c r="B65" s="45"/>
      <c r="C65" s="46"/>
      <c r="D65" s="16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7" t="str">
        <f t="shared" si="3"/>
        <v/>
      </c>
      <c r="AH65" s="37" t="str">
        <f t="shared" si="4"/>
        <v/>
      </c>
      <c r="AI65" s="42">
        <f t="shared" si="5"/>
        <v>0</v>
      </c>
      <c r="AJ65" s="11"/>
    </row>
    <row r="66" spans="1:36" ht="27.75" customHeight="1">
      <c r="A66" s="37">
        <v>62</v>
      </c>
      <c r="B66" s="45"/>
      <c r="C66" s="46"/>
      <c r="D66" s="16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7" t="str">
        <f t="shared" si="3"/>
        <v/>
      </c>
      <c r="AH66" s="37" t="str">
        <f t="shared" si="4"/>
        <v/>
      </c>
      <c r="AI66" s="42">
        <f t="shared" si="5"/>
        <v>0</v>
      </c>
      <c r="AJ66" s="11"/>
    </row>
    <row r="67" spans="1:36" ht="27.75" customHeight="1">
      <c r="A67" s="37">
        <v>63</v>
      </c>
      <c r="B67" s="45"/>
      <c r="C67" s="46"/>
      <c r="D67" s="16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7" t="str">
        <f t="shared" si="3"/>
        <v/>
      </c>
      <c r="AH67" s="37" t="str">
        <f t="shared" si="4"/>
        <v/>
      </c>
      <c r="AI67" s="42">
        <f t="shared" si="5"/>
        <v>0</v>
      </c>
      <c r="AJ67" s="11"/>
    </row>
    <row r="68" spans="1:36" ht="27.75" customHeight="1">
      <c r="A68" s="37">
        <v>64</v>
      </c>
      <c r="B68" s="45"/>
      <c r="C68" s="46"/>
      <c r="D68" s="16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7" t="str">
        <f t="shared" si="3"/>
        <v/>
      </c>
      <c r="AH68" s="37" t="str">
        <f t="shared" si="4"/>
        <v/>
      </c>
      <c r="AI68" s="42">
        <f t="shared" si="5"/>
        <v>0</v>
      </c>
      <c r="AJ68" s="11"/>
    </row>
    <row r="69" spans="1:36" ht="27.75" customHeight="1">
      <c r="A69" s="37">
        <v>65</v>
      </c>
      <c r="B69" s="45"/>
      <c r="C69" s="46"/>
      <c r="D69" s="16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7" t="str">
        <f t="shared" ref="AG69:AG100" si="6">IF(AND(B69="",E69="",S69=""),"",IF(SUMPRODUCT(((E69:R69&gt;=1)&lt;&gt;(S69:AF69&gt;=1))*1)=0,"○","✗"))</f>
        <v/>
      </c>
      <c r="AH69" s="37" t="str">
        <f t="shared" ref="AH69:AH100" si="7">IF(AG69="","",IF(AG69="✗","✗",IF(SUMPRODUCT((E69:R69&lt;&gt;S69:AF69)*1)=0,"○","✗")))</f>
        <v/>
      </c>
      <c r="AI69" s="42">
        <f t="shared" ref="AI69:AI100" si="8">IF(AND(SUM(E69:R69)=0,SUM(S69:AF69)=0),0,(SUM(E69:R69)+SUM(S69:AF69))/2)</f>
        <v>0</v>
      </c>
      <c r="AJ69" s="11"/>
    </row>
    <row r="70" spans="1:36" ht="27.75" customHeight="1">
      <c r="A70" s="37">
        <v>66</v>
      </c>
      <c r="B70" s="45"/>
      <c r="C70" s="46"/>
      <c r="D70" s="16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7" t="str">
        <f t="shared" si="6"/>
        <v/>
      </c>
      <c r="AH70" s="37" t="str">
        <f t="shared" si="7"/>
        <v/>
      </c>
      <c r="AI70" s="42">
        <f t="shared" si="8"/>
        <v>0</v>
      </c>
      <c r="AJ70" s="11"/>
    </row>
    <row r="71" spans="1:36" ht="27.75" customHeight="1">
      <c r="A71" s="37">
        <v>67</v>
      </c>
      <c r="B71" s="45"/>
      <c r="C71" s="46"/>
      <c r="D71" s="16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7" t="str">
        <f t="shared" si="6"/>
        <v/>
      </c>
      <c r="AH71" s="37" t="str">
        <f t="shared" si="7"/>
        <v/>
      </c>
      <c r="AI71" s="42">
        <f t="shared" si="8"/>
        <v>0</v>
      </c>
      <c r="AJ71" s="11"/>
    </row>
    <row r="72" spans="1:36" ht="27.75" customHeight="1">
      <c r="A72" s="37">
        <v>68</v>
      </c>
      <c r="B72" s="45"/>
      <c r="C72" s="46"/>
      <c r="D72" s="16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7" t="str">
        <f t="shared" si="6"/>
        <v/>
      </c>
      <c r="AH72" s="37" t="str">
        <f t="shared" si="7"/>
        <v/>
      </c>
      <c r="AI72" s="42">
        <f t="shared" si="8"/>
        <v>0</v>
      </c>
      <c r="AJ72" s="11"/>
    </row>
    <row r="73" spans="1:36" ht="27.75" customHeight="1">
      <c r="A73" s="37">
        <v>69</v>
      </c>
      <c r="B73" s="45"/>
      <c r="C73" s="46"/>
      <c r="D73" s="16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7" t="str">
        <f t="shared" si="6"/>
        <v/>
      </c>
      <c r="AH73" s="37" t="str">
        <f t="shared" si="7"/>
        <v/>
      </c>
      <c r="AI73" s="42">
        <f t="shared" si="8"/>
        <v>0</v>
      </c>
      <c r="AJ73" s="11"/>
    </row>
    <row r="74" spans="1:36" ht="27.75" customHeight="1">
      <c r="A74" s="37">
        <v>70</v>
      </c>
      <c r="B74" s="45"/>
      <c r="C74" s="46"/>
      <c r="D74" s="16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7" t="str">
        <f t="shared" si="6"/>
        <v/>
      </c>
      <c r="AH74" s="37" t="str">
        <f t="shared" si="7"/>
        <v/>
      </c>
      <c r="AI74" s="42">
        <f t="shared" si="8"/>
        <v>0</v>
      </c>
      <c r="AJ74" s="11"/>
    </row>
    <row r="75" spans="1:36" ht="27.75" customHeight="1">
      <c r="A75" s="37">
        <v>71</v>
      </c>
      <c r="B75" s="45"/>
      <c r="C75" s="46"/>
      <c r="D75" s="16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7" t="str">
        <f t="shared" si="6"/>
        <v/>
      </c>
      <c r="AH75" s="37" t="str">
        <f t="shared" si="7"/>
        <v/>
      </c>
      <c r="AI75" s="42">
        <f t="shared" si="8"/>
        <v>0</v>
      </c>
      <c r="AJ75" s="11"/>
    </row>
    <row r="76" spans="1:36" ht="27.75" customHeight="1">
      <c r="A76" s="37">
        <v>72</v>
      </c>
      <c r="B76" s="45"/>
      <c r="C76" s="46"/>
      <c r="D76" s="16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7" t="str">
        <f t="shared" si="6"/>
        <v/>
      </c>
      <c r="AH76" s="37" t="str">
        <f t="shared" si="7"/>
        <v/>
      </c>
      <c r="AI76" s="42">
        <f t="shared" si="8"/>
        <v>0</v>
      </c>
      <c r="AJ76" s="11"/>
    </row>
    <row r="77" spans="1:36" ht="27.75" customHeight="1">
      <c r="A77" s="37">
        <v>73</v>
      </c>
      <c r="B77" s="45"/>
      <c r="C77" s="46"/>
      <c r="D77" s="16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7" t="str">
        <f t="shared" si="6"/>
        <v/>
      </c>
      <c r="AH77" s="37" t="str">
        <f t="shared" si="7"/>
        <v/>
      </c>
      <c r="AI77" s="42">
        <f t="shared" si="8"/>
        <v>0</v>
      </c>
      <c r="AJ77" s="11"/>
    </row>
    <row r="78" spans="1:36" ht="27.75" customHeight="1">
      <c r="A78" s="37">
        <v>74</v>
      </c>
      <c r="B78" s="45"/>
      <c r="C78" s="46"/>
      <c r="D78" s="16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7" t="str">
        <f t="shared" si="6"/>
        <v/>
      </c>
      <c r="AH78" s="37" t="str">
        <f t="shared" si="7"/>
        <v/>
      </c>
      <c r="AI78" s="42">
        <f t="shared" si="8"/>
        <v>0</v>
      </c>
      <c r="AJ78" s="11"/>
    </row>
    <row r="79" spans="1:36" ht="27.75" customHeight="1">
      <c r="A79" s="37">
        <v>75</v>
      </c>
      <c r="B79" s="45"/>
      <c r="C79" s="46"/>
      <c r="D79" s="16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7" t="str">
        <f t="shared" si="6"/>
        <v/>
      </c>
      <c r="AH79" s="37" t="str">
        <f t="shared" si="7"/>
        <v/>
      </c>
      <c r="AI79" s="42">
        <f t="shared" si="8"/>
        <v>0</v>
      </c>
      <c r="AJ79" s="11"/>
    </row>
    <row r="80" spans="1:36" ht="27.75" customHeight="1">
      <c r="A80" s="37">
        <v>76</v>
      </c>
      <c r="B80" s="45"/>
      <c r="C80" s="46"/>
      <c r="D80" s="16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7" t="str">
        <f t="shared" si="6"/>
        <v/>
      </c>
      <c r="AH80" s="37" t="str">
        <f t="shared" si="7"/>
        <v/>
      </c>
      <c r="AI80" s="42">
        <f t="shared" si="8"/>
        <v>0</v>
      </c>
      <c r="AJ80" s="11"/>
    </row>
    <row r="81" spans="1:36" ht="27.75" customHeight="1">
      <c r="A81" s="37">
        <v>77</v>
      </c>
      <c r="B81" s="45"/>
      <c r="C81" s="46"/>
      <c r="D81" s="16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7" t="str">
        <f t="shared" si="6"/>
        <v/>
      </c>
      <c r="AH81" s="37" t="str">
        <f t="shared" si="7"/>
        <v/>
      </c>
      <c r="AI81" s="42">
        <f t="shared" si="8"/>
        <v>0</v>
      </c>
      <c r="AJ81" s="11"/>
    </row>
    <row r="82" spans="1:36" ht="27.75" customHeight="1">
      <c r="A82" s="37">
        <v>78</v>
      </c>
      <c r="B82" s="45"/>
      <c r="C82" s="46"/>
      <c r="D82" s="16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7" t="str">
        <f t="shared" si="6"/>
        <v/>
      </c>
      <c r="AH82" s="37" t="str">
        <f t="shared" si="7"/>
        <v/>
      </c>
      <c r="AI82" s="42">
        <f t="shared" si="8"/>
        <v>0</v>
      </c>
      <c r="AJ82" s="11"/>
    </row>
    <row r="83" spans="1:36" ht="27.75" customHeight="1">
      <c r="A83" s="37">
        <v>79</v>
      </c>
      <c r="B83" s="45"/>
      <c r="C83" s="46"/>
      <c r="D83" s="16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7" t="str">
        <f t="shared" si="6"/>
        <v/>
      </c>
      <c r="AH83" s="37" t="str">
        <f t="shared" si="7"/>
        <v/>
      </c>
      <c r="AI83" s="42">
        <f t="shared" si="8"/>
        <v>0</v>
      </c>
      <c r="AJ83" s="11"/>
    </row>
    <row r="84" spans="1:36" ht="27.75" customHeight="1">
      <c r="A84" s="37">
        <v>80</v>
      </c>
      <c r="B84" s="45"/>
      <c r="C84" s="46"/>
      <c r="D84" s="16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7" t="str">
        <f t="shared" si="6"/>
        <v/>
      </c>
      <c r="AH84" s="37" t="str">
        <f t="shared" si="7"/>
        <v/>
      </c>
      <c r="AI84" s="42">
        <f t="shared" si="8"/>
        <v>0</v>
      </c>
      <c r="AJ84" s="11"/>
    </row>
    <row r="85" spans="1:36" ht="27.75" customHeight="1">
      <c r="A85" s="37">
        <v>81</v>
      </c>
      <c r="B85" s="45"/>
      <c r="C85" s="46"/>
      <c r="D85" s="16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7" t="str">
        <f t="shared" si="6"/>
        <v/>
      </c>
      <c r="AH85" s="37" t="str">
        <f t="shared" si="7"/>
        <v/>
      </c>
      <c r="AI85" s="42">
        <f t="shared" si="8"/>
        <v>0</v>
      </c>
      <c r="AJ85" s="11"/>
    </row>
    <row r="86" spans="1:36" ht="27.75" customHeight="1">
      <c r="A86" s="37">
        <v>82</v>
      </c>
      <c r="B86" s="45"/>
      <c r="C86" s="46"/>
      <c r="D86" s="16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7" t="str">
        <f t="shared" si="6"/>
        <v/>
      </c>
      <c r="AH86" s="37" t="str">
        <f t="shared" si="7"/>
        <v/>
      </c>
      <c r="AI86" s="42">
        <f t="shared" si="8"/>
        <v>0</v>
      </c>
      <c r="AJ86" s="11"/>
    </row>
    <row r="87" spans="1:36" ht="27.75" customHeight="1">
      <c r="A87" s="37">
        <v>83</v>
      </c>
      <c r="B87" s="45"/>
      <c r="C87" s="46"/>
      <c r="D87" s="16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7" t="str">
        <f t="shared" si="6"/>
        <v/>
      </c>
      <c r="AH87" s="37" t="str">
        <f t="shared" si="7"/>
        <v/>
      </c>
      <c r="AI87" s="42">
        <f t="shared" si="8"/>
        <v>0</v>
      </c>
      <c r="AJ87" s="11"/>
    </row>
    <row r="88" spans="1:36" ht="27.75" customHeight="1">
      <c r="A88" s="37">
        <v>84</v>
      </c>
      <c r="B88" s="45"/>
      <c r="C88" s="46"/>
      <c r="D88" s="16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7" t="str">
        <f t="shared" si="6"/>
        <v/>
      </c>
      <c r="AH88" s="37" t="str">
        <f t="shared" si="7"/>
        <v/>
      </c>
      <c r="AI88" s="42">
        <f t="shared" si="8"/>
        <v>0</v>
      </c>
      <c r="AJ88" s="11"/>
    </row>
    <row r="89" spans="1:36" ht="27.75" customHeight="1">
      <c r="A89" s="37">
        <v>85</v>
      </c>
      <c r="B89" s="45"/>
      <c r="C89" s="46"/>
      <c r="D89" s="16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7" t="str">
        <f t="shared" si="6"/>
        <v/>
      </c>
      <c r="AH89" s="37" t="str">
        <f t="shared" si="7"/>
        <v/>
      </c>
      <c r="AI89" s="42">
        <f t="shared" si="8"/>
        <v>0</v>
      </c>
      <c r="AJ89" s="11"/>
    </row>
    <row r="90" spans="1:36" ht="27.75" customHeight="1">
      <c r="A90" s="37">
        <v>86</v>
      </c>
      <c r="B90" s="45"/>
      <c r="C90" s="46"/>
      <c r="D90" s="16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7" t="str">
        <f t="shared" si="6"/>
        <v/>
      </c>
      <c r="AH90" s="37" t="str">
        <f t="shared" si="7"/>
        <v/>
      </c>
      <c r="AI90" s="42">
        <f t="shared" si="8"/>
        <v>0</v>
      </c>
      <c r="AJ90" s="11"/>
    </row>
    <row r="91" spans="1:36" ht="27.75" customHeight="1">
      <c r="A91" s="37">
        <v>87</v>
      </c>
      <c r="B91" s="45"/>
      <c r="C91" s="46"/>
      <c r="D91" s="16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7" t="str">
        <f t="shared" si="6"/>
        <v/>
      </c>
      <c r="AH91" s="37" t="str">
        <f t="shared" si="7"/>
        <v/>
      </c>
      <c r="AI91" s="42">
        <f t="shared" si="8"/>
        <v>0</v>
      </c>
      <c r="AJ91" s="11"/>
    </row>
    <row r="92" spans="1:36" ht="27.75" customHeight="1">
      <c r="A92" s="37">
        <v>88</v>
      </c>
      <c r="B92" s="45"/>
      <c r="C92" s="46"/>
      <c r="D92" s="16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7" t="str">
        <f t="shared" si="6"/>
        <v/>
      </c>
      <c r="AH92" s="37" t="str">
        <f t="shared" si="7"/>
        <v/>
      </c>
      <c r="AI92" s="42">
        <f t="shared" si="8"/>
        <v>0</v>
      </c>
      <c r="AJ92" s="11"/>
    </row>
    <row r="93" spans="1:36" ht="27.75" customHeight="1">
      <c r="A93" s="37">
        <v>89</v>
      </c>
      <c r="B93" s="45"/>
      <c r="C93" s="46"/>
      <c r="D93" s="16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7" t="str">
        <f t="shared" si="6"/>
        <v/>
      </c>
      <c r="AH93" s="37" t="str">
        <f t="shared" si="7"/>
        <v/>
      </c>
      <c r="AI93" s="42">
        <f t="shared" si="8"/>
        <v>0</v>
      </c>
      <c r="AJ93" s="11"/>
    </row>
    <row r="94" spans="1:36" ht="27.75" customHeight="1">
      <c r="A94" s="37">
        <v>90</v>
      </c>
      <c r="B94" s="45"/>
      <c r="C94" s="46"/>
      <c r="D94" s="16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7" t="str">
        <f t="shared" si="6"/>
        <v/>
      </c>
      <c r="AH94" s="37" t="str">
        <f t="shared" si="7"/>
        <v/>
      </c>
      <c r="AI94" s="42">
        <f t="shared" si="8"/>
        <v>0</v>
      </c>
      <c r="AJ94" s="11"/>
    </row>
    <row r="95" spans="1:36" ht="27.75" customHeight="1">
      <c r="A95" s="37">
        <v>91</v>
      </c>
      <c r="B95" s="45"/>
      <c r="C95" s="46"/>
      <c r="D95" s="16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7" t="str">
        <f t="shared" si="6"/>
        <v/>
      </c>
      <c r="AH95" s="37" t="str">
        <f t="shared" si="7"/>
        <v/>
      </c>
      <c r="AI95" s="42">
        <f t="shared" si="8"/>
        <v>0</v>
      </c>
      <c r="AJ95" s="11"/>
    </row>
    <row r="96" spans="1:36" ht="27.75" customHeight="1">
      <c r="A96" s="37">
        <v>92</v>
      </c>
      <c r="B96" s="45"/>
      <c r="C96" s="46"/>
      <c r="D96" s="16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7" t="str">
        <f t="shared" si="6"/>
        <v/>
      </c>
      <c r="AH96" s="37" t="str">
        <f t="shared" si="7"/>
        <v/>
      </c>
      <c r="AI96" s="42">
        <f t="shared" si="8"/>
        <v>0</v>
      </c>
      <c r="AJ96" s="11"/>
    </row>
    <row r="97" spans="1:36" ht="27.75" customHeight="1">
      <c r="A97" s="37">
        <v>93</v>
      </c>
      <c r="B97" s="45"/>
      <c r="C97" s="46"/>
      <c r="D97" s="16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7" t="str">
        <f t="shared" si="6"/>
        <v/>
      </c>
      <c r="AH97" s="37" t="str">
        <f t="shared" si="7"/>
        <v/>
      </c>
      <c r="AI97" s="42">
        <f t="shared" si="8"/>
        <v>0</v>
      </c>
      <c r="AJ97" s="11"/>
    </row>
    <row r="98" spans="1:36" ht="27.75" customHeight="1">
      <c r="A98" s="37">
        <v>94</v>
      </c>
      <c r="B98" s="45"/>
      <c r="C98" s="46"/>
      <c r="D98" s="16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7" t="str">
        <f t="shared" si="6"/>
        <v/>
      </c>
      <c r="AH98" s="37" t="str">
        <f t="shared" si="7"/>
        <v/>
      </c>
      <c r="AI98" s="42">
        <f t="shared" si="8"/>
        <v>0</v>
      </c>
      <c r="AJ98" s="11"/>
    </row>
    <row r="99" spans="1:36" ht="27.75" customHeight="1">
      <c r="A99" s="37">
        <v>95</v>
      </c>
      <c r="B99" s="45"/>
      <c r="C99" s="46"/>
      <c r="D99" s="16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7" t="str">
        <f t="shared" si="6"/>
        <v/>
      </c>
      <c r="AH99" s="37" t="str">
        <f t="shared" si="7"/>
        <v/>
      </c>
      <c r="AI99" s="42">
        <f t="shared" si="8"/>
        <v>0</v>
      </c>
      <c r="AJ99" s="11"/>
    </row>
    <row r="100" spans="1:36" ht="27.75" customHeight="1">
      <c r="A100" s="37">
        <v>96</v>
      </c>
      <c r="B100" s="45"/>
      <c r="C100" s="46"/>
      <c r="D100" s="16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7" t="str">
        <f t="shared" si="6"/>
        <v/>
      </c>
      <c r="AH100" s="37" t="str">
        <f t="shared" si="7"/>
        <v/>
      </c>
      <c r="AI100" s="42">
        <f t="shared" si="8"/>
        <v>0</v>
      </c>
      <c r="AJ100" s="11"/>
    </row>
    <row r="101" spans="1:36" ht="27.75" customHeight="1">
      <c r="A101" s="37">
        <v>97</v>
      </c>
      <c r="B101" s="45"/>
      <c r="C101" s="46"/>
      <c r="D101" s="16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7" t="str">
        <f t="shared" ref="AG101:AG132" si="9">IF(AND(B101="",E101="",S101=""),"",IF(SUMPRODUCT(((E101:R101&gt;=1)&lt;&gt;(S101:AF101&gt;=1))*1)=0,"○","✗"))</f>
        <v/>
      </c>
      <c r="AH101" s="37" t="str">
        <f t="shared" ref="AH101:AH132" si="10">IF(AG101="","",IF(AG101="✗","✗",IF(SUMPRODUCT((E101:R101&lt;&gt;S101:AF101)*1)=0,"○","✗")))</f>
        <v/>
      </c>
      <c r="AI101" s="42">
        <f t="shared" ref="AI101:AI132" si="11">IF(AND(SUM(E101:R101)=0,SUM(S101:AF101)=0),0,(SUM(E101:R101)+SUM(S101:AF101))/2)</f>
        <v>0</v>
      </c>
      <c r="AJ101" s="11"/>
    </row>
    <row r="102" spans="1:36" ht="27.75" customHeight="1">
      <c r="A102" s="37">
        <v>98</v>
      </c>
      <c r="B102" s="45"/>
      <c r="C102" s="46"/>
      <c r="D102" s="16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7" t="str">
        <f t="shared" si="9"/>
        <v/>
      </c>
      <c r="AH102" s="37" t="str">
        <f t="shared" si="10"/>
        <v/>
      </c>
      <c r="AI102" s="42">
        <f t="shared" si="11"/>
        <v>0</v>
      </c>
      <c r="AJ102" s="11"/>
    </row>
    <row r="103" spans="1:36" ht="27.75" customHeight="1">
      <c r="A103" s="37">
        <v>99</v>
      </c>
      <c r="B103" s="45"/>
      <c r="C103" s="46"/>
      <c r="D103" s="16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7" t="str">
        <f t="shared" si="9"/>
        <v/>
      </c>
      <c r="AH103" s="37" t="str">
        <f t="shared" si="10"/>
        <v/>
      </c>
      <c r="AI103" s="42">
        <f t="shared" si="11"/>
        <v>0</v>
      </c>
      <c r="AJ103" s="11"/>
    </row>
    <row r="104" spans="1:36" ht="27.75" customHeight="1">
      <c r="A104" s="37">
        <v>100</v>
      </c>
      <c r="B104" s="45"/>
      <c r="C104" s="46"/>
      <c r="D104" s="16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7" t="str">
        <f t="shared" si="9"/>
        <v/>
      </c>
      <c r="AH104" s="37" t="str">
        <f t="shared" si="10"/>
        <v/>
      </c>
      <c r="AI104" s="42">
        <f t="shared" si="11"/>
        <v>0</v>
      </c>
      <c r="AJ104" s="11"/>
    </row>
    <row r="105" spans="1:36" ht="27.75" customHeight="1">
      <c r="A105" s="37">
        <v>101</v>
      </c>
      <c r="B105" s="45"/>
      <c r="C105" s="46"/>
      <c r="D105" s="16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7" t="str">
        <f t="shared" si="9"/>
        <v/>
      </c>
      <c r="AH105" s="37" t="str">
        <f t="shared" si="10"/>
        <v/>
      </c>
      <c r="AI105" s="42">
        <f t="shared" si="11"/>
        <v>0</v>
      </c>
      <c r="AJ105" s="11"/>
    </row>
    <row r="106" spans="1:36" ht="27.75" customHeight="1">
      <c r="A106" s="37">
        <v>102</v>
      </c>
      <c r="B106" s="45"/>
      <c r="C106" s="46"/>
      <c r="D106" s="16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7" t="str">
        <f t="shared" si="9"/>
        <v/>
      </c>
      <c r="AH106" s="37" t="str">
        <f t="shared" si="10"/>
        <v/>
      </c>
      <c r="AI106" s="42">
        <f t="shared" si="11"/>
        <v>0</v>
      </c>
      <c r="AJ106" s="11"/>
    </row>
    <row r="107" spans="1:36" ht="27.75" customHeight="1">
      <c r="A107" s="37">
        <v>103</v>
      </c>
      <c r="B107" s="45"/>
      <c r="C107" s="46"/>
      <c r="D107" s="16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7" t="str">
        <f t="shared" si="9"/>
        <v/>
      </c>
      <c r="AH107" s="37" t="str">
        <f t="shared" si="10"/>
        <v/>
      </c>
      <c r="AI107" s="42">
        <f t="shared" si="11"/>
        <v>0</v>
      </c>
      <c r="AJ107" s="11"/>
    </row>
    <row r="108" spans="1:36" ht="27.75" customHeight="1">
      <c r="A108" s="37">
        <v>104</v>
      </c>
      <c r="B108" s="45"/>
      <c r="C108" s="46"/>
      <c r="D108" s="16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7" t="str">
        <f t="shared" si="9"/>
        <v/>
      </c>
      <c r="AH108" s="37" t="str">
        <f t="shared" si="10"/>
        <v/>
      </c>
      <c r="AI108" s="42">
        <f t="shared" si="11"/>
        <v>0</v>
      </c>
      <c r="AJ108" s="11"/>
    </row>
    <row r="109" spans="1:36" ht="27.75" customHeight="1">
      <c r="A109" s="37">
        <v>105</v>
      </c>
      <c r="B109" s="45"/>
      <c r="C109" s="46"/>
      <c r="D109" s="16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7" t="str">
        <f t="shared" si="9"/>
        <v/>
      </c>
      <c r="AH109" s="37" t="str">
        <f t="shared" si="10"/>
        <v/>
      </c>
      <c r="AI109" s="42">
        <f t="shared" si="11"/>
        <v>0</v>
      </c>
      <c r="AJ109" s="11"/>
    </row>
    <row r="110" spans="1:36" ht="27.75" customHeight="1">
      <c r="A110" s="37">
        <v>106</v>
      </c>
      <c r="B110" s="45"/>
      <c r="C110" s="46"/>
      <c r="D110" s="16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7" t="str">
        <f t="shared" si="9"/>
        <v/>
      </c>
      <c r="AH110" s="37" t="str">
        <f t="shared" si="10"/>
        <v/>
      </c>
      <c r="AI110" s="42">
        <f t="shared" si="11"/>
        <v>0</v>
      </c>
      <c r="AJ110" s="11"/>
    </row>
    <row r="111" spans="1:36" ht="27.75" customHeight="1">
      <c r="A111" s="37">
        <v>107</v>
      </c>
      <c r="B111" s="45"/>
      <c r="C111" s="46"/>
      <c r="D111" s="16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7" t="str">
        <f t="shared" si="9"/>
        <v/>
      </c>
      <c r="AH111" s="37" t="str">
        <f t="shared" si="10"/>
        <v/>
      </c>
      <c r="AI111" s="42">
        <f t="shared" si="11"/>
        <v>0</v>
      </c>
      <c r="AJ111" s="11"/>
    </row>
    <row r="112" spans="1:36" ht="27.75" customHeight="1">
      <c r="A112" s="37">
        <v>108</v>
      </c>
      <c r="B112" s="45"/>
      <c r="C112" s="46"/>
      <c r="D112" s="16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7" t="str">
        <f t="shared" si="9"/>
        <v/>
      </c>
      <c r="AH112" s="37" t="str">
        <f t="shared" si="10"/>
        <v/>
      </c>
      <c r="AI112" s="42">
        <f t="shared" si="11"/>
        <v>0</v>
      </c>
      <c r="AJ112" s="11"/>
    </row>
    <row r="113" spans="1:36" ht="27.75" customHeight="1">
      <c r="A113" s="37">
        <v>109</v>
      </c>
      <c r="B113" s="45"/>
      <c r="C113" s="46"/>
      <c r="D113" s="16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7" t="str">
        <f t="shared" si="9"/>
        <v/>
      </c>
      <c r="AH113" s="37" t="str">
        <f t="shared" si="10"/>
        <v/>
      </c>
      <c r="AI113" s="42">
        <f t="shared" si="11"/>
        <v>0</v>
      </c>
      <c r="AJ113" s="11"/>
    </row>
    <row r="114" spans="1:36" ht="27.75" customHeight="1">
      <c r="A114" s="37">
        <v>110</v>
      </c>
      <c r="B114" s="45"/>
      <c r="C114" s="46"/>
      <c r="D114" s="16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7" t="str">
        <f t="shared" si="9"/>
        <v/>
      </c>
      <c r="AH114" s="37" t="str">
        <f t="shared" si="10"/>
        <v/>
      </c>
      <c r="AI114" s="42">
        <f t="shared" si="11"/>
        <v>0</v>
      </c>
      <c r="AJ114" s="11"/>
    </row>
    <row r="115" spans="1:36" ht="27.75" customHeight="1">
      <c r="A115" s="37">
        <v>111</v>
      </c>
      <c r="B115" s="45"/>
      <c r="C115" s="46"/>
      <c r="D115" s="16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7" t="str">
        <f t="shared" si="9"/>
        <v/>
      </c>
      <c r="AH115" s="37" t="str">
        <f t="shared" si="10"/>
        <v/>
      </c>
      <c r="AI115" s="42">
        <f t="shared" si="11"/>
        <v>0</v>
      </c>
      <c r="AJ115" s="11"/>
    </row>
    <row r="116" spans="1:36" ht="27.75" customHeight="1">
      <c r="A116" s="37">
        <v>112</v>
      </c>
      <c r="B116" s="45"/>
      <c r="C116" s="46"/>
      <c r="D116" s="16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7" t="str">
        <f t="shared" si="9"/>
        <v/>
      </c>
      <c r="AH116" s="37" t="str">
        <f t="shared" si="10"/>
        <v/>
      </c>
      <c r="AI116" s="42">
        <f t="shared" si="11"/>
        <v>0</v>
      </c>
      <c r="AJ116" s="11"/>
    </row>
    <row r="117" spans="1:36" ht="27.75" customHeight="1">
      <c r="A117" s="37">
        <v>113</v>
      </c>
      <c r="B117" s="45"/>
      <c r="C117" s="46"/>
      <c r="D117" s="16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7" t="str">
        <f t="shared" si="9"/>
        <v/>
      </c>
      <c r="AH117" s="37" t="str">
        <f t="shared" si="10"/>
        <v/>
      </c>
      <c r="AI117" s="42">
        <f t="shared" si="11"/>
        <v>0</v>
      </c>
      <c r="AJ117" s="11"/>
    </row>
    <row r="118" spans="1:36" ht="27.75" customHeight="1">
      <c r="A118" s="37">
        <v>114</v>
      </c>
      <c r="B118" s="45"/>
      <c r="C118" s="46"/>
      <c r="D118" s="16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7" t="str">
        <f t="shared" si="9"/>
        <v/>
      </c>
      <c r="AH118" s="37" t="str">
        <f t="shared" si="10"/>
        <v/>
      </c>
      <c r="AI118" s="42">
        <f t="shared" si="11"/>
        <v>0</v>
      </c>
      <c r="AJ118" s="11"/>
    </row>
    <row r="119" spans="1:36" ht="27.75" customHeight="1">
      <c r="A119" s="37">
        <v>115</v>
      </c>
      <c r="B119" s="45"/>
      <c r="C119" s="46"/>
      <c r="D119" s="16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7" t="str">
        <f t="shared" si="9"/>
        <v/>
      </c>
      <c r="AH119" s="37" t="str">
        <f t="shared" si="10"/>
        <v/>
      </c>
      <c r="AI119" s="42">
        <f t="shared" si="11"/>
        <v>0</v>
      </c>
      <c r="AJ119" s="11"/>
    </row>
    <row r="120" spans="1:36" ht="27.75" customHeight="1">
      <c r="A120" s="37">
        <v>116</v>
      </c>
      <c r="B120" s="45"/>
      <c r="C120" s="46"/>
      <c r="D120" s="16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7" t="str">
        <f t="shared" si="9"/>
        <v/>
      </c>
      <c r="AH120" s="37" t="str">
        <f t="shared" si="10"/>
        <v/>
      </c>
      <c r="AI120" s="42">
        <f t="shared" si="11"/>
        <v>0</v>
      </c>
      <c r="AJ120" s="11"/>
    </row>
    <row r="121" spans="1:36" ht="27.75" customHeight="1">
      <c r="A121" s="37">
        <v>117</v>
      </c>
      <c r="B121" s="45"/>
      <c r="C121" s="46"/>
      <c r="D121" s="16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7" t="str">
        <f t="shared" si="9"/>
        <v/>
      </c>
      <c r="AH121" s="37" t="str">
        <f t="shared" si="10"/>
        <v/>
      </c>
      <c r="AI121" s="42">
        <f t="shared" si="11"/>
        <v>0</v>
      </c>
      <c r="AJ121" s="11"/>
    </row>
    <row r="122" spans="1:36" ht="27.75" customHeight="1">
      <c r="A122" s="37">
        <v>118</v>
      </c>
      <c r="B122" s="45"/>
      <c r="C122" s="46"/>
      <c r="D122" s="16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7" t="str">
        <f t="shared" si="9"/>
        <v/>
      </c>
      <c r="AH122" s="37" t="str">
        <f t="shared" si="10"/>
        <v/>
      </c>
      <c r="AI122" s="42">
        <f t="shared" si="11"/>
        <v>0</v>
      </c>
      <c r="AJ122" s="11"/>
    </row>
    <row r="123" spans="1:36" ht="27.75" customHeight="1">
      <c r="A123" s="37">
        <v>119</v>
      </c>
      <c r="B123" s="45"/>
      <c r="C123" s="46"/>
      <c r="D123" s="16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7" t="str">
        <f t="shared" si="9"/>
        <v/>
      </c>
      <c r="AH123" s="37" t="str">
        <f t="shared" si="10"/>
        <v/>
      </c>
      <c r="AI123" s="42">
        <f t="shared" si="11"/>
        <v>0</v>
      </c>
      <c r="AJ123" s="11"/>
    </row>
    <row r="124" spans="1:36" ht="27.75" customHeight="1">
      <c r="A124" s="37">
        <v>120</v>
      </c>
      <c r="B124" s="45"/>
      <c r="C124" s="46"/>
      <c r="D124" s="16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7" t="str">
        <f t="shared" si="9"/>
        <v/>
      </c>
      <c r="AH124" s="37" t="str">
        <f t="shared" si="10"/>
        <v/>
      </c>
      <c r="AI124" s="42">
        <f t="shared" si="11"/>
        <v>0</v>
      </c>
      <c r="AJ124" s="11"/>
    </row>
    <row r="125" spans="1:36" ht="27.75" customHeight="1">
      <c r="A125" s="37">
        <v>121</v>
      </c>
      <c r="B125" s="45"/>
      <c r="C125" s="46"/>
      <c r="D125" s="16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7" t="str">
        <f t="shared" si="9"/>
        <v/>
      </c>
      <c r="AH125" s="37" t="str">
        <f t="shared" si="10"/>
        <v/>
      </c>
      <c r="AI125" s="42">
        <f t="shared" si="11"/>
        <v>0</v>
      </c>
      <c r="AJ125" s="11"/>
    </row>
    <row r="126" spans="1:36" ht="27.75" customHeight="1">
      <c r="A126" s="37">
        <v>122</v>
      </c>
      <c r="B126" s="45"/>
      <c r="C126" s="46"/>
      <c r="D126" s="16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7" t="str">
        <f t="shared" si="9"/>
        <v/>
      </c>
      <c r="AH126" s="37" t="str">
        <f t="shared" si="10"/>
        <v/>
      </c>
      <c r="AI126" s="42">
        <f t="shared" si="11"/>
        <v>0</v>
      </c>
      <c r="AJ126" s="11"/>
    </row>
    <row r="127" spans="1:36" ht="27.75" customHeight="1">
      <c r="A127" s="37">
        <v>123</v>
      </c>
      <c r="B127" s="45"/>
      <c r="C127" s="46"/>
      <c r="D127" s="16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7" t="str">
        <f t="shared" si="9"/>
        <v/>
      </c>
      <c r="AH127" s="37" t="str">
        <f t="shared" si="10"/>
        <v/>
      </c>
      <c r="AI127" s="42">
        <f t="shared" si="11"/>
        <v>0</v>
      </c>
      <c r="AJ127" s="11"/>
    </row>
    <row r="128" spans="1:36" ht="27.75" customHeight="1">
      <c r="A128" s="37">
        <v>124</v>
      </c>
      <c r="B128" s="45"/>
      <c r="C128" s="46"/>
      <c r="D128" s="16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7" t="str">
        <f t="shared" si="9"/>
        <v/>
      </c>
      <c r="AH128" s="37" t="str">
        <f t="shared" si="10"/>
        <v/>
      </c>
      <c r="AI128" s="42">
        <f t="shared" si="11"/>
        <v>0</v>
      </c>
      <c r="AJ128" s="11"/>
    </row>
    <row r="129" spans="1:36" ht="27.75" customHeight="1">
      <c r="A129" s="37">
        <v>125</v>
      </c>
      <c r="B129" s="45"/>
      <c r="C129" s="46"/>
      <c r="D129" s="16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7" t="str">
        <f t="shared" si="9"/>
        <v/>
      </c>
      <c r="AH129" s="37" t="str">
        <f t="shared" si="10"/>
        <v/>
      </c>
      <c r="AI129" s="42">
        <f t="shared" si="11"/>
        <v>0</v>
      </c>
      <c r="AJ129" s="11"/>
    </row>
    <row r="130" spans="1:36" ht="27.75" customHeight="1">
      <c r="A130" s="37">
        <v>126</v>
      </c>
      <c r="B130" s="45"/>
      <c r="C130" s="46"/>
      <c r="D130" s="16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7" t="str">
        <f t="shared" si="9"/>
        <v/>
      </c>
      <c r="AH130" s="37" t="str">
        <f t="shared" si="10"/>
        <v/>
      </c>
      <c r="AI130" s="42">
        <f t="shared" si="11"/>
        <v>0</v>
      </c>
      <c r="AJ130" s="11"/>
    </row>
    <row r="131" spans="1:36" ht="27.75" customHeight="1">
      <c r="A131" s="37">
        <v>127</v>
      </c>
      <c r="B131" s="45"/>
      <c r="C131" s="46"/>
      <c r="D131" s="16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7" t="str">
        <f t="shared" si="9"/>
        <v/>
      </c>
      <c r="AH131" s="37" t="str">
        <f t="shared" si="10"/>
        <v/>
      </c>
      <c r="AI131" s="42">
        <f t="shared" si="11"/>
        <v>0</v>
      </c>
      <c r="AJ131" s="11"/>
    </row>
    <row r="132" spans="1:36" ht="27.75" customHeight="1">
      <c r="A132" s="37">
        <v>128</v>
      </c>
      <c r="B132" s="45"/>
      <c r="C132" s="46"/>
      <c r="D132" s="16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7" t="str">
        <f t="shared" si="9"/>
        <v/>
      </c>
      <c r="AH132" s="37" t="str">
        <f t="shared" si="10"/>
        <v/>
      </c>
      <c r="AI132" s="42">
        <f t="shared" si="11"/>
        <v>0</v>
      </c>
      <c r="AJ132" s="11"/>
    </row>
    <row r="133" spans="1:36" ht="27.75" customHeight="1">
      <c r="A133" s="37">
        <v>129</v>
      </c>
      <c r="B133" s="45"/>
      <c r="C133" s="46"/>
      <c r="D133" s="16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7" t="str">
        <f t="shared" ref="AG133:AG164" si="12">IF(AND(B133="",E133="",S133=""),"",IF(SUMPRODUCT(((E133:R133&gt;=1)&lt;&gt;(S133:AF133&gt;=1))*1)=0,"○","✗"))</f>
        <v/>
      </c>
      <c r="AH133" s="37" t="str">
        <f t="shared" ref="AH133:AH164" si="13">IF(AG133="","",IF(AG133="✗","✗",IF(SUMPRODUCT((E133:R133&lt;&gt;S133:AF133)*1)=0,"○","✗")))</f>
        <v/>
      </c>
      <c r="AI133" s="42">
        <f t="shared" ref="AI133:AI164" si="14">IF(AND(SUM(E133:R133)=0,SUM(S133:AF133)=0),0,(SUM(E133:R133)+SUM(S133:AF133))/2)</f>
        <v>0</v>
      </c>
      <c r="AJ133" s="11"/>
    </row>
    <row r="134" spans="1:36" ht="27.75" customHeight="1">
      <c r="A134" s="37">
        <v>130</v>
      </c>
      <c r="B134" s="45"/>
      <c r="C134" s="46"/>
      <c r="D134" s="16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7" t="str">
        <f t="shared" si="12"/>
        <v/>
      </c>
      <c r="AH134" s="37" t="str">
        <f t="shared" si="13"/>
        <v/>
      </c>
      <c r="AI134" s="42">
        <f t="shared" si="14"/>
        <v>0</v>
      </c>
      <c r="AJ134" s="11"/>
    </row>
    <row r="135" spans="1:36" ht="27.75" customHeight="1">
      <c r="A135" s="37">
        <v>131</v>
      </c>
      <c r="B135" s="45"/>
      <c r="C135" s="46"/>
      <c r="D135" s="16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7" t="str">
        <f t="shared" si="12"/>
        <v/>
      </c>
      <c r="AH135" s="37" t="str">
        <f t="shared" si="13"/>
        <v/>
      </c>
      <c r="AI135" s="42">
        <f t="shared" si="14"/>
        <v>0</v>
      </c>
      <c r="AJ135" s="11"/>
    </row>
    <row r="136" spans="1:36" ht="27.75" customHeight="1">
      <c r="A136" s="37">
        <v>132</v>
      </c>
      <c r="B136" s="45"/>
      <c r="C136" s="46"/>
      <c r="D136" s="16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7" t="str">
        <f t="shared" si="12"/>
        <v/>
      </c>
      <c r="AH136" s="37" t="str">
        <f t="shared" si="13"/>
        <v/>
      </c>
      <c r="AI136" s="42">
        <f t="shared" si="14"/>
        <v>0</v>
      </c>
      <c r="AJ136" s="11"/>
    </row>
    <row r="137" spans="1:36" ht="27.75" customHeight="1">
      <c r="A137" s="37">
        <v>133</v>
      </c>
      <c r="B137" s="45"/>
      <c r="C137" s="46"/>
      <c r="D137" s="16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7" t="str">
        <f t="shared" si="12"/>
        <v/>
      </c>
      <c r="AH137" s="37" t="str">
        <f t="shared" si="13"/>
        <v/>
      </c>
      <c r="AI137" s="42">
        <f t="shared" si="14"/>
        <v>0</v>
      </c>
      <c r="AJ137" s="11"/>
    </row>
    <row r="138" spans="1:36" ht="27.75" customHeight="1">
      <c r="A138" s="37">
        <v>134</v>
      </c>
      <c r="B138" s="45"/>
      <c r="C138" s="46"/>
      <c r="D138" s="16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7" t="str">
        <f t="shared" si="12"/>
        <v/>
      </c>
      <c r="AH138" s="37" t="str">
        <f t="shared" si="13"/>
        <v/>
      </c>
      <c r="AI138" s="42">
        <f t="shared" si="14"/>
        <v>0</v>
      </c>
      <c r="AJ138" s="11"/>
    </row>
    <row r="139" spans="1:36" ht="27.75" customHeight="1">
      <c r="A139" s="37">
        <v>135</v>
      </c>
      <c r="B139" s="45"/>
      <c r="C139" s="46"/>
      <c r="D139" s="16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 t="str">
        <f t="shared" si="12"/>
        <v/>
      </c>
      <c r="AH139" s="37" t="str">
        <f t="shared" si="13"/>
        <v/>
      </c>
      <c r="AI139" s="42">
        <f t="shared" si="14"/>
        <v>0</v>
      </c>
      <c r="AJ139" s="11"/>
    </row>
    <row r="140" spans="1:36" ht="27.75" customHeight="1">
      <c r="A140" s="37">
        <v>136</v>
      </c>
      <c r="B140" s="45"/>
      <c r="C140" s="46"/>
      <c r="D140" s="16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 t="str">
        <f t="shared" si="12"/>
        <v/>
      </c>
      <c r="AH140" s="37" t="str">
        <f t="shared" si="13"/>
        <v/>
      </c>
      <c r="AI140" s="42">
        <f t="shared" si="14"/>
        <v>0</v>
      </c>
      <c r="AJ140" s="11"/>
    </row>
    <row r="141" spans="1:36" ht="27.75" customHeight="1">
      <c r="A141" s="37">
        <v>137</v>
      </c>
      <c r="B141" s="45"/>
      <c r="C141" s="46"/>
      <c r="D141" s="16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 t="str">
        <f t="shared" si="12"/>
        <v/>
      </c>
      <c r="AH141" s="37" t="str">
        <f t="shared" si="13"/>
        <v/>
      </c>
      <c r="AI141" s="42">
        <f t="shared" si="14"/>
        <v>0</v>
      </c>
      <c r="AJ141" s="11"/>
    </row>
    <row r="142" spans="1:36" ht="27.75" customHeight="1">
      <c r="A142" s="37">
        <v>138</v>
      </c>
      <c r="B142" s="45"/>
      <c r="C142" s="46"/>
      <c r="D142" s="16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 t="str">
        <f t="shared" si="12"/>
        <v/>
      </c>
      <c r="AH142" s="37" t="str">
        <f t="shared" si="13"/>
        <v/>
      </c>
      <c r="AI142" s="42">
        <f t="shared" si="14"/>
        <v>0</v>
      </c>
      <c r="AJ142" s="11"/>
    </row>
    <row r="143" spans="1:36" ht="27.75" customHeight="1">
      <c r="A143" s="37">
        <v>139</v>
      </c>
      <c r="B143" s="45"/>
      <c r="C143" s="46"/>
      <c r="D143" s="16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 t="str">
        <f t="shared" si="12"/>
        <v/>
      </c>
      <c r="AH143" s="37" t="str">
        <f t="shared" si="13"/>
        <v/>
      </c>
      <c r="AI143" s="42">
        <f t="shared" si="14"/>
        <v>0</v>
      </c>
      <c r="AJ143" s="11"/>
    </row>
    <row r="144" spans="1:36" ht="27.75" customHeight="1">
      <c r="A144" s="37">
        <v>140</v>
      </c>
      <c r="B144" s="45"/>
      <c r="C144" s="46"/>
      <c r="D144" s="16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 t="str">
        <f t="shared" si="12"/>
        <v/>
      </c>
      <c r="AH144" s="37" t="str">
        <f t="shared" si="13"/>
        <v/>
      </c>
      <c r="AI144" s="42">
        <f t="shared" si="14"/>
        <v>0</v>
      </c>
      <c r="AJ144" s="11"/>
    </row>
    <row r="145" spans="1:36" ht="27.75" customHeight="1">
      <c r="A145" s="37">
        <v>141</v>
      </c>
      <c r="B145" s="45"/>
      <c r="C145" s="46"/>
      <c r="D145" s="16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 t="str">
        <f t="shared" si="12"/>
        <v/>
      </c>
      <c r="AH145" s="37" t="str">
        <f t="shared" si="13"/>
        <v/>
      </c>
      <c r="AI145" s="42">
        <f t="shared" si="14"/>
        <v>0</v>
      </c>
      <c r="AJ145" s="11"/>
    </row>
    <row r="146" spans="1:36" ht="27.75" customHeight="1">
      <c r="A146" s="37">
        <v>142</v>
      </c>
      <c r="B146" s="45"/>
      <c r="C146" s="46"/>
      <c r="D146" s="16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 t="str">
        <f t="shared" si="12"/>
        <v/>
      </c>
      <c r="AH146" s="37" t="str">
        <f t="shared" si="13"/>
        <v/>
      </c>
      <c r="AI146" s="42">
        <f t="shared" si="14"/>
        <v>0</v>
      </c>
      <c r="AJ146" s="11"/>
    </row>
    <row r="147" spans="1:36" ht="27.75" customHeight="1">
      <c r="A147" s="37">
        <v>143</v>
      </c>
      <c r="B147" s="45"/>
      <c r="C147" s="46"/>
      <c r="D147" s="16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 t="str">
        <f t="shared" si="12"/>
        <v/>
      </c>
      <c r="AH147" s="37" t="str">
        <f t="shared" si="13"/>
        <v/>
      </c>
      <c r="AI147" s="42">
        <f t="shared" si="14"/>
        <v>0</v>
      </c>
      <c r="AJ147" s="11"/>
    </row>
    <row r="148" spans="1:36" ht="27.75" customHeight="1">
      <c r="A148" s="37">
        <v>144</v>
      </c>
      <c r="B148" s="45"/>
      <c r="C148" s="46"/>
      <c r="D148" s="16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 t="str">
        <f t="shared" si="12"/>
        <v/>
      </c>
      <c r="AH148" s="37" t="str">
        <f t="shared" si="13"/>
        <v/>
      </c>
      <c r="AI148" s="42">
        <f t="shared" si="14"/>
        <v>0</v>
      </c>
      <c r="AJ148" s="11"/>
    </row>
    <row r="149" spans="1:36" ht="27.75" customHeight="1">
      <c r="A149" s="37">
        <v>145</v>
      </c>
      <c r="B149" s="45"/>
      <c r="C149" s="46"/>
      <c r="D149" s="16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 t="str">
        <f t="shared" si="12"/>
        <v/>
      </c>
      <c r="AH149" s="37" t="str">
        <f t="shared" si="13"/>
        <v/>
      </c>
      <c r="AI149" s="42">
        <f t="shared" si="14"/>
        <v>0</v>
      </c>
      <c r="AJ149" s="11"/>
    </row>
    <row r="150" spans="1:36" ht="27.75" customHeight="1">
      <c r="A150" s="37">
        <v>146</v>
      </c>
      <c r="B150" s="45"/>
      <c r="C150" s="46"/>
      <c r="D150" s="16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 t="str">
        <f t="shared" si="12"/>
        <v/>
      </c>
      <c r="AH150" s="37" t="str">
        <f t="shared" si="13"/>
        <v/>
      </c>
      <c r="AI150" s="42">
        <f t="shared" si="14"/>
        <v>0</v>
      </c>
      <c r="AJ150" s="11"/>
    </row>
    <row r="151" spans="1:36" ht="27.75" customHeight="1">
      <c r="A151" s="37">
        <v>147</v>
      </c>
      <c r="B151" s="45"/>
      <c r="C151" s="46"/>
      <c r="D151" s="16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 t="str">
        <f t="shared" si="12"/>
        <v/>
      </c>
      <c r="AH151" s="37" t="str">
        <f t="shared" si="13"/>
        <v/>
      </c>
      <c r="AI151" s="42">
        <f t="shared" si="14"/>
        <v>0</v>
      </c>
      <c r="AJ151" s="11"/>
    </row>
    <row r="152" spans="1:36" ht="27.75" customHeight="1">
      <c r="A152" s="37">
        <v>148</v>
      </c>
      <c r="B152" s="45"/>
      <c r="C152" s="46"/>
      <c r="D152" s="16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 t="str">
        <f t="shared" si="12"/>
        <v/>
      </c>
      <c r="AH152" s="37" t="str">
        <f t="shared" si="13"/>
        <v/>
      </c>
      <c r="AI152" s="42">
        <f t="shared" si="14"/>
        <v>0</v>
      </c>
      <c r="AJ152" s="11"/>
    </row>
    <row r="153" spans="1:36" ht="27.75" customHeight="1">
      <c r="A153" s="37">
        <v>149</v>
      </c>
      <c r="B153" s="45"/>
      <c r="C153" s="46"/>
      <c r="D153" s="16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 t="str">
        <f t="shared" si="12"/>
        <v/>
      </c>
      <c r="AH153" s="37" t="str">
        <f t="shared" si="13"/>
        <v/>
      </c>
      <c r="AI153" s="42">
        <f t="shared" si="14"/>
        <v>0</v>
      </c>
      <c r="AJ153" s="11"/>
    </row>
    <row r="154" spans="1:36" ht="27.75" customHeight="1">
      <c r="A154" s="37">
        <v>150</v>
      </c>
      <c r="B154" s="45"/>
      <c r="C154" s="46"/>
      <c r="D154" s="16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 t="str">
        <f t="shared" si="12"/>
        <v/>
      </c>
      <c r="AH154" s="37" t="str">
        <f t="shared" si="13"/>
        <v/>
      </c>
      <c r="AI154" s="42">
        <f t="shared" si="14"/>
        <v>0</v>
      </c>
      <c r="AJ154" s="11"/>
    </row>
    <row r="155" spans="1:36" ht="27.75" customHeight="1">
      <c r="A155" s="37">
        <v>151</v>
      </c>
      <c r="B155" s="45"/>
      <c r="C155" s="46"/>
      <c r="D155" s="16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7" t="str">
        <f t="shared" si="12"/>
        <v/>
      </c>
      <c r="AH155" s="37" t="str">
        <f t="shared" si="13"/>
        <v/>
      </c>
      <c r="AI155" s="42">
        <f t="shared" si="14"/>
        <v>0</v>
      </c>
      <c r="AJ155" s="11"/>
    </row>
    <row r="156" spans="1:36" ht="27.75" customHeight="1">
      <c r="A156" s="37">
        <v>152</v>
      </c>
      <c r="B156" s="45"/>
      <c r="C156" s="46"/>
      <c r="D156" s="16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7" t="str">
        <f t="shared" si="12"/>
        <v/>
      </c>
      <c r="AH156" s="37" t="str">
        <f t="shared" si="13"/>
        <v/>
      </c>
      <c r="AI156" s="42">
        <f t="shared" si="14"/>
        <v>0</v>
      </c>
      <c r="AJ156" s="11"/>
    </row>
    <row r="157" spans="1:36" ht="27.75" customHeight="1">
      <c r="A157" s="37">
        <v>153</v>
      </c>
      <c r="B157" s="45"/>
      <c r="C157" s="46"/>
      <c r="D157" s="16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7" t="str">
        <f t="shared" si="12"/>
        <v/>
      </c>
      <c r="AH157" s="37" t="str">
        <f t="shared" si="13"/>
        <v/>
      </c>
      <c r="AI157" s="42">
        <f t="shared" si="14"/>
        <v>0</v>
      </c>
      <c r="AJ157" s="11"/>
    </row>
    <row r="158" spans="1:36" ht="27.75" customHeight="1">
      <c r="A158" s="37">
        <v>154</v>
      </c>
      <c r="B158" s="45"/>
      <c r="C158" s="46"/>
      <c r="D158" s="16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7" t="str">
        <f t="shared" si="12"/>
        <v/>
      </c>
      <c r="AH158" s="37" t="str">
        <f t="shared" si="13"/>
        <v/>
      </c>
      <c r="AI158" s="42">
        <f t="shared" si="14"/>
        <v>0</v>
      </c>
      <c r="AJ158" s="11"/>
    </row>
    <row r="159" spans="1:36" ht="27.75" customHeight="1">
      <c r="A159" s="37">
        <v>155</v>
      </c>
      <c r="B159" s="45"/>
      <c r="C159" s="46"/>
      <c r="D159" s="16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7" t="str">
        <f t="shared" si="12"/>
        <v/>
      </c>
      <c r="AH159" s="37" t="str">
        <f t="shared" si="13"/>
        <v/>
      </c>
      <c r="AI159" s="42">
        <f t="shared" si="14"/>
        <v>0</v>
      </c>
      <c r="AJ159" s="11"/>
    </row>
    <row r="160" spans="1:36" ht="27.75" customHeight="1">
      <c r="A160" s="37">
        <v>156</v>
      </c>
      <c r="B160" s="45"/>
      <c r="C160" s="46"/>
      <c r="D160" s="16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7" t="str">
        <f t="shared" si="12"/>
        <v/>
      </c>
      <c r="AH160" s="37" t="str">
        <f t="shared" si="13"/>
        <v/>
      </c>
      <c r="AI160" s="42">
        <f t="shared" si="14"/>
        <v>0</v>
      </c>
      <c r="AJ160" s="11"/>
    </row>
    <row r="161" spans="1:36" ht="27.75" customHeight="1">
      <c r="A161" s="37">
        <v>157</v>
      </c>
      <c r="B161" s="45"/>
      <c r="C161" s="46"/>
      <c r="D161" s="16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7" t="str">
        <f t="shared" si="12"/>
        <v/>
      </c>
      <c r="AH161" s="37" t="str">
        <f t="shared" si="13"/>
        <v/>
      </c>
      <c r="AI161" s="42">
        <f t="shared" si="14"/>
        <v>0</v>
      </c>
      <c r="AJ161" s="11"/>
    </row>
    <row r="162" spans="1:36" ht="27.75" customHeight="1">
      <c r="A162" s="37">
        <v>158</v>
      </c>
      <c r="B162" s="45"/>
      <c r="C162" s="46"/>
      <c r="D162" s="16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7" t="str">
        <f t="shared" si="12"/>
        <v/>
      </c>
      <c r="AH162" s="37" t="str">
        <f t="shared" si="13"/>
        <v/>
      </c>
      <c r="AI162" s="42">
        <f t="shared" si="14"/>
        <v>0</v>
      </c>
      <c r="AJ162" s="11"/>
    </row>
    <row r="163" spans="1:36" ht="27.75" customHeight="1">
      <c r="A163" s="37">
        <v>159</v>
      </c>
      <c r="B163" s="45"/>
      <c r="C163" s="46"/>
      <c r="D163" s="16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7" t="str">
        <f t="shared" si="12"/>
        <v/>
      </c>
      <c r="AH163" s="37" t="str">
        <f t="shared" si="13"/>
        <v/>
      </c>
      <c r="AI163" s="42">
        <f t="shared" si="14"/>
        <v>0</v>
      </c>
      <c r="AJ163" s="11"/>
    </row>
    <row r="164" spans="1:36" ht="27.75" customHeight="1">
      <c r="A164" s="37">
        <v>160</v>
      </c>
      <c r="B164" s="45"/>
      <c r="C164" s="46"/>
      <c r="D164" s="16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7" t="str">
        <f t="shared" si="12"/>
        <v/>
      </c>
      <c r="AH164" s="37" t="str">
        <f t="shared" si="13"/>
        <v/>
      </c>
      <c r="AI164" s="42">
        <f t="shared" si="14"/>
        <v>0</v>
      </c>
      <c r="AJ164" s="11"/>
    </row>
    <row r="165" spans="1:36" ht="27.75" customHeight="1">
      <c r="A165" s="37">
        <v>161</v>
      </c>
      <c r="B165" s="45"/>
      <c r="C165" s="46"/>
      <c r="D165" s="16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7" t="str">
        <f t="shared" ref="AG165:AG186" si="15">IF(AND(B165="",E165="",S165=""),"",IF(SUMPRODUCT(((E165:R165&gt;=1)&lt;&gt;(S165:AF165&gt;=1))*1)=0,"○","✗"))</f>
        <v/>
      </c>
      <c r="AH165" s="37" t="str">
        <f t="shared" ref="AH165:AH186" si="16">IF(AG165="","",IF(AG165="✗","✗",IF(SUMPRODUCT((E165:R165&lt;&gt;S165:AF165)*1)=0,"○","✗")))</f>
        <v/>
      </c>
      <c r="AI165" s="42">
        <f t="shared" ref="AI165:AI340" si="17">IF(AND(SUM(E165:R165)=0,SUM(S165:AF165)=0),0,(SUM(E165:R165)+SUM(S165:AF165))/2)</f>
        <v>0</v>
      </c>
      <c r="AJ165" s="11"/>
    </row>
    <row r="166" spans="1:36" ht="27.75" customHeight="1">
      <c r="A166" s="37">
        <v>162</v>
      </c>
      <c r="B166" s="45"/>
      <c r="C166" s="46"/>
      <c r="D166" s="16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7" t="str">
        <f t="shared" si="15"/>
        <v/>
      </c>
      <c r="AH166" s="37" t="str">
        <f t="shared" si="16"/>
        <v/>
      </c>
      <c r="AI166" s="42">
        <f t="shared" si="17"/>
        <v>0</v>
      </c>
      <c r="AJ166" s="11"/>
    </row>
    <row r="167" spans="1:36" ht="27.75" customHeight="1">
      <c r="A167" s="37">
        <v>163</v>
      </c>
      <c r="B167" s="45"/>
      <c r="C167" s="46"/>
      <c r="D167" s="16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7" t="str">
        <f t="shared" si="15"/>
        <v/>
      </c>
      <c r="AH167" s="37" t="str">
        <f t="shared" si="16"/>
        <v/>
      </c>
      <c r="AI167" s="42">
        <f t="shared" si="17"/>
        <v>0</v>
      </c>
      <c r="AJ167" s="11"/>
    </row>
    <row r="168" spans="1:36" ht="27.75" customHeight="1">
      <c r="A168" s="37">
        <v>164</v>
      </c>
      <c r="B168" s="45"/>
      <c r="C168" s="46"/>
      <c r="D168" s="16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7" t="str">
        <f t="shared" si="15"/>
        <v/>
      </c>
      <c r="AH168" s="37" t="str">
        <f t="shared" si="16"/>
        <v/>
      </c>
      <c r="AI168" s="42">
        <f t="shared" si="17"/>
        <v>0</v>
      </c>
      <c r="AJ168" s="11"/>
    </row>
    <row r="169" spans="1:36" ht="27.75" customHeight="1">
      <c r="A169" s="37">
        <v>165</v>
      </c>
      <c r="B169" s="45"/>
      <c r="C169" s="46"/>
      <c r="D169" s="16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7" t="str">
        <f t="shared" si="15"/>
        <v/>
      </c>
      <c r="AH169" s="37" t="str">
        <f t="shared" si="16"/>
        <v/>
      </c>
      <c r="AI169" s="42">
        <f t="shared" si="17"/>
        <v>0</v>
      </c>
      <c r="AJ169" s="11"/>
    </row>
    <row r="170" spans="1:36" ht="27.75" customHeight="1">
      <c r="A170" s="37">
        <v>166</v>
      </c>
      <c r="B170" s="45"/>
      <c r="C170" s="46"/>
      <c r="D170" s="16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7" t="str">
        <f t="shared" si="15"/>
        <v/>
      </c>
      <c r="AH170" s="37" t="str">
        <f t="shared" si="16"/>
        <v/>
      </c>
      <c r="AI170" s="42">
        <f t="shared" si="17"/>
        <v>0</v>
      </c>
      <c r="AJ170" s="11"/>
    </row>
    <row r="171" spans="1:36" ht="27.75" customHeight="1">
      <c r="A171" s="37">
        <v>167</v>
      </c>
      <c r="B171" s="45"/>
      <c r="C171" s="46"/>
      <c r="D171" s="16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7" t="str">
        <f t="shared" si="15"/>
        <v/>
      </c>
      <c r="AH171" s="37" t="str">
        <f t="shared" si="16"/>
        <v/>
      </c>
      <c r="AI171" s="42">
        <f t="shared" si="17"/>
        <v>0</v>
      </c>
      <c r="AJ171" s="11"/>
    </row>
    <row r="172" spans="1:36" ht="27.75" customHeight="1">
      <c r="A172" s="37">
        <v>168</v>
      </c>
      <c r="B172" s="45"/>
      <c r="C172" s="46"/>
      <c r="D172" s="16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7" t="str">
        <f t="shared" si="15"/>
        <v/>
      </c>
      <c r="AH172" s="37" t="str">
        <f t="shared" si="16"/>
        <v/>
      </c>
      <c r="AI172" s="42">
        <f t="shared" si="17"/>
        <v>0</v>
      </c>
      <c r="AJ172" s="11"/>
    </row>
    <row r="173" spans="1:36" ht="27.75" customHeight="1">
      <c r="A173" s="37">
        <v>169</v>
      </c>
      <c r="B173" s="45"/>
      <c r="C173" s="46"/>
      <c r="D173" s="16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7" t="str">
        <f t="shared" si="15"/>
        <v/>
      </c>
      <c r="AH173" s="37" t="str">
        <f t="shared" si="16"/>
        <v/>
      </c>
      <c r="AI173" s="42">
        <f t="shared" si="17"/>
        <v>0</v>
      </c>
      <c r="AJ173" s="11"/>
    </row>
    <row r="174" spans="1:36" ht="27.75" customHeight="1">
      <c r="A174" s="37">
        <v>170</v>
      </c>
      <c r="B174" s="45"/>
      <c r="C174" s="46"/>
      <c r="D174" s="16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7" t="str">
        <f t="shared" si="15"/>
        <v/>
      </c>
      <c r="AH174" s="37" t="str">
        <f t="shared" si="16"/>
        <v/>
      </c>
      <c r="AI174" s="42">
        <f t="shared" si="17"/>
        <v>0</v>
      </c>
      <c r="AJ174" s="11"/>
    </row>
    <row r="175" spans="1:36" ht="27.75" customHeight="1">
      <c r="A175" s="37">
        <v>171</v>
      </c>
      <c r="B175" s="45"/>
      <c r="C175" s="46"/>
      <c r="D175" s="16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7" t="str">
        <f t="shared" si="15"/>
        <v/>
      </c>
      <c r="AH175" s="37" t="str">
        <f t="shared" si="16"/>
        <v/>
      </c>
      <c r="AI175" s="42">
        <f t="shared" si="17"/>
        <v>0</v>
      </c>
      <c r="AJ175" s="11"/>
    </row>
    <row r="176" spans="1:36" ht="27.75" customHeight="1">
      <c r="A176" s="37">
        <v>172</v>
      </c>
      <c r="B176" s="45"/>
      <c r="C176" s="46"/>
      <c r="D176" s="16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7" t="str">
        <f t="shared" si="15"/>
        <v/>
      </c>
      <c r="AH176" s="37" t="str">
        <f t="shared" si="16"/>
        <v/>
      </c>
      <c r="AI176" s="42">
        <f t="shared" si="17"/>
        <v>0</v>
      </c>
      <c r="AJ176" s="11"/>
    </row>
    <row r="177" spans="1:36" ht="27.75" customHeight="1">
      <c r="A177" s="37">
        <v>173</v>
      </c>
      <c r="B177" s="45"/>
      <c r="C177" s="46"/>
      <c r="D177" s="16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7" t="str">
        <f t="shared" si="15"/>
        <v/>
      </c>
      <c r="AH177" s="37" t="str">
        <f t="shared" si="16"/>
        <v/>
      </c>
      <c r="AI177" s="42">
        <f t="shared" si="17"/>
        <v>0</v>
      </c>
      <c r="AJ177" s="11"/>
    </row>
    <row r="178" spans="1:36" ht="27.75" customHeight="1">
      <c r="A178" s="37">
        <v>174</v>
      </c>
      <c r="B178" s="45"/>
      <c r="C178" s="46"/>
      <c r="D178" s="16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7" t="str">
        <f t="shared" si="15"/>
        <v/>
      </c>
      <c r="AH178" s="37" t="str">
        <f t="shared" si="16"/>
        <v/>
      </c>
      <c r="AI178" s="42">
        <f t="shared" si="17"/>
        <v>0</v>
      </c>
      <c r="AJ178" s="11"/>
    </row>
    <row r="179" spans="1:36" ht="27.75" customHeight="1">
      <c r="A179" s="37">
        <v>175</v>
      </c>
      <c r="B179" s="45"/>
      <c r="C179" s="46"/>
      <c r="D179" s="16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7" t="str">
        <f t="shared" si="15"/>
        <v/>
      </c>
      <c r="AH179" s="37" t="str">
        <f t="shared" si="16"/>
        <v/>
      </c>
      <c r="AI179" s="42">
        <f t="shared" si="17"/>
        <v>0</v>
      </c>
      <c r="AJ179" s="11"/>
    </row>
    <row r="180" spans="1:36" ht="27.75" customHeight="1">
      <c r="A180" s="37">
        <v>176</v>
      </c>
      <c r="B180" s="45"/>
      <c r="C180" s="46"/>
      <c r="D180" s="16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7" t="str">
        <f t="shared" si="15"/>
        <v/>
      </c>
      <c r="AH180" s="37" t="str">
        <f t="shared" si="16"/>
        <v/>
      </c>
      <c r="AI180" s="42">
        <f t="shared" si="17"/>
        <v>0</v>
      </c>
      <c r="AJ180" s="11"/>
    </row>
    <row r="181" spans="1:36" ht="27.75" customHeight="1">
      <c r="A181" s="37">
        <v>177</v>
      </c>
      <c r="B181" s="45"/>
      <c r="C181" s="46"/>
      <c r="D181" s="16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7" t="str">
        <f t="shared" si="15"/>
        <v/>
      </c>
      <c r="AH181" s="37" t="str">
        <f t="shared" si="16"/>
        <v/>
      </c>
      <c r="AI181" s="42">
        <f t="shared" si="17"/>
        <v>0</v>
      </c>
      <c r="AJ181" s="11"/>
    </row>
    <row r="182" spans="1:36" ht="27.75" customHeight="1">
      <c r="A182" s="37">
        <v>178</v>
      </c>
      <c r="B182" s="45"/>
      <c r="C182" s="46"/>
      <c r="D182" s="16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7" t="str">
        <f t="shared" si="15"/>
        <v/>
      </c>
      <c r="AH182" s="37" t="str">
        <f t="shared" si="16"/>
        <v/>
      </c>
      <c r="AI182" s="42">
        <f t="shared" si="17"/>
        <v>0</v>
      </c>
      <c r="AJ182" s="11"/>
    </row>
    <row r="183" spans="1:36" ht="27.75" customHeight="1">
      <c r="A183" s="37">
        <v>179</v>
      </c>
      <c r="B183" s="45"/>
      <c r="C183" s="46"/>
      <c r="D183" s="16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7" t="str">
        <f t="shared" si="15"/>
        <v/>
      </c>
      <c r="AH183" s="37" t="str">
        <f t="shared" si="16"/>
        <v/>
      </c>
      <c r="AI183" s="42">
        <f t="shared" si="17"/>
        <v>0</v>
      </c>
      <c r="AJ183" s="11"/>
    </row>
    <row r="184" spans="1:36" ht="27.75" customHeight="1">
      <c r="A184" s="37">
        <v>180</v>
      </c>
      <c r="B184" s="45"/>
      <c r="C184" s="46"/>
      <c r="D184" s="16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7" t="str">
        <f t="shared" si="15"/>
        <v/>
      </c>
      <c r="AH184" s="37" t="str">
        <f t="shared" si="16"/>
        <v/>
      </c>
      <c r="AI184" s="42">
        <f t="shared" si="17"/>
        <v>0</v>
      </c>
      <c r="AJ184" s="11"/>
    </row>
    <row r="185" spans="1:36" ht="27.75" customHeight="1">
      <c r="A185" s="37">
        <v>181</v>
      </c>
      <c r="B185" s="45"/>
      <c r="C185" s="46"/>
      <c r="D185" s="16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7" t="str">
        <f t="shared" si="15"/>
        <v/>
      </c>
      <c r="AH185" s="37" t="str">
        <f t="shared" si="16"/>
        <v/>
      </c>
      <c r="AI185" s="42">
        <f t="shared" si="17"/>
        <v>0</v>
      </c>
      <c r="AJ185" s="11"/>
    </row>
    <row r="186" spans="1:36" ht="27.75" customHeight="1">
      <c r="A186" s="37">
        <v>182</v>
      </c>
      <c r="B186" s="45"/>
      <c r="C186" s="46"/>
      <c r="D186" s="16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7" t="str">
        <f t="shared" si="15"/>
        <v/>
      </c>
      <c r="AH186" s="37" t="str">
        <f t="shared" si="16"/>
        <v/>
      </c>
      <c r="AI186" s="42">
        <f t="shared" si="17"/>
        <v>0</v>
      </c>
      <c r="AJ186" s="11"/>
    </row>
    <row r="187" spans="1:36" ht="27.75" customHeight="1">
      <c r="A187" s="37">
        <v>183</v>
      </c>
      <c r="B187" s="45"/>
      <c r="C187" s="46"/>
      <c r="D187" s="52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37" t="str">
        <f t="shared" ref="AG187:AG250" si="18">IF(AND(B187="",E187="",S187=""),"",IF(SUMPRODUCT(((E187:R187&gt;=1)&lt;&gt;(S187:AF187&gt;=1))*1)=0,"○","✗"))</f>
        <v/>
      </c>
      <c r="AH187" s="37" t="str">
        <f t="shared" ref="AH187:AH250" si="19">IF(AG187="","",IF(AG187="✗","✗",IF(SUMPRODUCT((E187:R187&lt;&gt;S187:AF187)*1)=0,"○","✗")))</f>
        <v/>
      </c>
      <c r="AI187" s="42">
        <f t="shared" si="17"/>
        <v>0</v>
      </c>
      <c r="AJ187" s="54"/>
    </row>
    <row r="188" spans="1:36" ht="27.75" customHeight="1">
      <c r="A188" s="37">
        <v>184</v>
      </c>
      <c r="B188" s="45"/>
      <c r="C188" s="46"/>
      <c r="D188" s="52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37" t="str">
        <f t="shared" si="18"/>
        <v/>
      </c>
      <c r="AH188" s="37" t="str">
        <f t="shared" si="19"/>
        <v/>
      </c>
      <c r="AI188" s="42">
        <f t="shared" si="17"/>
        <v>0</v>
      </c>
      <c r="AJ188" s="54"/>
    </row>
    <row r="189" spans="1:36" ht="27.75" customHeight="1">
      <c r="A189" s="37">
        <v>185</v>
      </c>
      <c r="B189" s="45"/>
      <c r="C189" s="46"/>
      <c r="D189" s="52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37" t="str">
        <f t="shared" si="18"/>
        <v/>
      </c>
      <c r="AH189" s="37" t="str">
        <f t="shared" si="19"/>
        <v/>
      </c>
      <c r="AI189" s="42">
        <f t="shared" si="17"/>
        <v>0</v>
      </c>
      <c r="AJ189" s="54"/>
    </row>
    <row r="190" spans="1:36" ht="27.75" customHeight="1">
      <c r="A190" s="37">
        <v>186</v>
      </c>
      <c r="B190" s="45"/>
      <c r="C190" s="46"/>
      <c r="D190" s="52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37" t="str">
        <f t="shared" si="18"/>
        <v/>
      </c>
      <c r="AH190" s="37" t="str">
        <f t="shared" si="19"/>
        <v/>
      </c>
      <c r="AI190" s="42">
        <f t="shared" si="17"/>
        <v>0</v>
      </c>
      <c r="AJ190" s="54"/>
    </row>
    <row r="191" spans="1:36" ht="27.75" customHeight="1">
      <c r="A191" s="37">
        <v>187</v>
      </c>
      <c r="B191" s="45"/>
      <c r="C191" s="46"/>
      <c r="D191" s="52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37" t="str">
        <f t="shared" si="18"/>
        <v/>
      </c>
      <c r="AH191" s="37" t="str">
        <f t="shared" si="19"/>
        <v/>
      </c>
      <c r="AI191" s="42">
        <f t="shared" si="17"/>
        <v>0</v>
      </c>
      <c r="AJ191" s="54"/>
    </row>
    <row r="192" spans="1:36" ht="27.75" customHeight="1">
      <c r="A192" s="37">
        <v>188</v>
      </c>
      <c r="B192" s="45"/>
      <c r="C192" s="46"/>
      <c r="D192" s="52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37" t="str">
        <f t="shared" si="18"/>
        <v/>
      </c>
      <c r="AH192" s="37" t="str">
        <f t="shared" si="19"/>
        <v/>
      </c>
      <c r="AI192" s="42">
        <f t="shared" si="17"/>
        <v>0</v>
      </c>
      <c r="AJ192" s="54"/>
    </row>
    <row r="193" spans="1:36" ht="27.75" customHeight="1">
      <c r="A193" s="37">
        <v>189</v>
      </c>
      <c r="B193" s="45"/>
      <c r="C193" s="46"/>
      <c r="D193" s="52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37" t="str">
        <f t="shared" si="18"/>
        <v/>
      </c>
      <c r="AH193" s="37" t="str">
        <f t="shared" si="19"/>
        <v/>
      </c>
      <c r="AI193" s="42">
        <f t="shared" si="17"/>
        <v>0</v>
      </c>
      <c r="AJ193" s="54"/>
    </row>
    <row r="194" spans="1:36" ht="27.75" customHeight="1">
      <c r="A194" s="37">
        <v>190</v>
      </c>
      <c r="B194" s="45"/>
      <c r="C194" s="46"/>
      <c r="D194" s="52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37" t="str">
        <f t="shared" si="18"/>
        <v/>
      </c>
      <c r="AH194" s="37" t="str">
        <f t="shared" si="19"/>
        <v/>
      </c>
      <c r="AI194" s="42">
        <f t="shared" si="17"/>
        <v>0</v>
      </c>
      <c r="AJ194" s="54"/>
    </row>
    <row r="195" spans="1:36" ht="27.75" customHeight="1">
      <c r="A195" s="37">
        <v>191</v>
      </c>
      <c r="B195" s="45"/>
      <c r="C195" s="46"/>
      <c r="D195" s="52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37" t="str">
        <f t="shared" si="18"/>
        <v/>
      </c>
      <c r="AH195" s="37" t="str">
        <f t="shared" si="19"/>
        <v/>
      </c>
      <c r="AI195" s="42">
        <f t="shared" si="17"/>
        <v>0</v>
      </c>
      <c r="AJ195" s="54"/>
    </row>
    <row r="196" spans="1:36" ht="27.75" customHeight="1">
      <c r="A196" s="37">
        <v>192</v>
      </c>
      <c r="B196" s="45"/>
      <c r="C196" s="46"/>
      <c r="D196" s="52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37" t="str">
        <f t="shared" si="18"/>
        <v/>
      </c>
      <c r="AH196" s="37" t="str">
        <f t="shared" si="19"/>
        <v/>
      </c>
      <c r="AI196" s="42">
        <f t="shared" si="17"/>
        <v>0</v>
      </c>
      <c r="AJ196" s="54"/>
    </row>
    <row r="197" spans="1:36" ht="27.75" customHeight="1">
      <c r="A197" s="37">
        <v>193</v>
      </c>
      <c r="B197" s="45"/>
      <c r="C197" s="46"/>
      <c r="D197" s="52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37" t="str">
        <f t="shared" si="18"/>
        <v/>
      </c>
      <c r="AH197" s="37" t="str">
        <f t="shared" si="19"/>
        <v/>
      </c>
      <c r="AI197" s="42">
        <f t="shared" si="17"/>
        <v>0</v>
      </c>
      <c r="AJ197" s="54"/>
    </row>
    <row r="198" spans="1:36" ht="27.75" customHeight="1">
      <c r="A198" s="37">
        <v>194</v>
      </c>
      <c r="B198" s="45"/>
      <c r="C198" s="46"/>
      <c r="D198" s="52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37" t="str">
        <f t="shared" si="18"/>
        <v/>
      </c>
      <c r="AH198" s="37" t="str">
        <f t="shared" si="19"/>
        <v/>
      </c>
      <c r="AI198" s="42">
        <f t="shared" si="17"/>
        <v>0</v>
      </c>
      <c r="AJ198" s="54"/>
    </row>
    <row r="199" spans="1:36" ht="27.75" customHeight="1">
      <c r="A199" s="37">
        <v>195</v>
      </c>
      <c r="B199" s="45"/>
      <c r="C199" s="46"/>
      <c r="D199" s="52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37" t="str">
        <f t="shared" si="18"/>
        <v/>
      </c>
      <c r="AH199" s="37" t="str">
        <f t="shared" si="19"/>
        <v/>
      </c>
      <c r="AI199" s="42">
        <f t="shared" si="17"/>
        <v>0</v>
      </c>
      <c r="AJ199" s="54"/>
    </row>
    <row r="200" spans="1:36" ht="27.75" customHeight="1">
      <c r="A200" s="37">
        <v>196</v>
      </c>
      <c r="B200" s="45"/>
      <c r="C200" s="46"/>
      <c r="D200" s="52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37" t="str">
        <f t="shared" si="18"/>
        <v/>
      </c>
      <c r="AH200" s="37" t="str">
        <f t="shared" si="19"/>
        <v/>
      </c>
      <c r="AI200" s="42">
        <f t="shared" si="17"/>
        <v>0</v>
      </c>
      <c r="AJ200" s="54"/>
    </row>
    <row r="201" spans="1:36" ht="27.75" customHeight="1">
      <c r="A201" s="37">
        <v>197</v>
      </c>
      <c r="B201" s="45"/>
      <c r="C201" s="46"/>
      <c r="D201" s="52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37" t="str">
        <f t="shared" si="18"/>
        <v/>
      </c>
      <c r="AH201" s="37" t="str">
        <f t="shared" si="19"/>
        <v/>
      </c>
      <c r="AI201" s="42">
        <f t="shared" si="17"/>
        <v>0</v>
      </c>
      <c r="AJ201" s="54"/>
    </row>
    <row r="202" spans="1:36" ht="27.75" customHeight="1">
      <c r="A202" s="37">
        <v>198</v>
      </c>
      <c r="B202" s="45"/>
      <c r="C202" s="46"/>
      <c r="D202" s="52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37" t="str">
        <f t="shared" si="18"/>
        <v/>
      </c>
      <c r="AH202" s="37" t="str">
        <f t="shared" si="19"/>
        <v/>
      </c>
      <c r="AI202" s="42">
        <f t="shared" si="17"/>
        <v>0</v>
      </c>
      <c r="AJ202" s="54"/>
    </row>
    <row r="203" spans="1:36" ht="27.75" customHeight="1">
      <c r="A203" s="37">
        <v>199</v>
      </c>
      <c r="B203" s="45"/>
      <c r="C203" s="46"/>
      <c r="D203" s="52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37" t="str">
        <f t="shared" si="18"/>
        <v/>
      </c>
      <c r="AH203" s="37" t="str">
        <f t="shared" si="19"/>
        <v/>
      </c>
      <c r="AI203" s="42">
        <f t="shared" si="17"/>
        <v>0</v>
      </c>
      <c r="AJ203" s="54"/>
    </row>
    <row r="204" spans="1:36" ht="27.75" customHeight="1">
      <c r="A204" s="37">
        <v>200</v>
      </c>
      <c r="B204" s="45"/>
      <c r="C204" s="46"/>
      <c r="D204" s="52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37" t="str">
        <f t="shared" si="18"/>
        <v/>
      </c>
      <c r="AH204" s="37" t="str">
        <f t="shared" si="19"/>
        <v/>
      </c>
      <c r="AI204" s="42">
        <f t="shared" si="17"/>
        <v>0</v>
      </c>
      <c r="AJ204" s="54"/>
    </row>
    <row r="205" spans="1:36" ht="27.75" customHeight="1">
      <c r="A205" s="37">
        <v>201</v>
      </c>
      <c r="B205" s="45"/>
      <c r="C205" s="46"/>
      <c r="D205" s="52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37" t="str">
        <f t="shared" si="18"/>
        <v/>
      </c>
      <c r="AH205" s="37" t="str">
        <f t="shared" si="19"/>
        <v/>
      </c>
      <c r="AI205" s="42">
        <f t="shared" si="17"/>
        <v>0</v>
      </c>
      <c r="AJ205" s="54"/>
    </row>
    <row r="206" spans="1:36" ht="27.75" customHeight="1">
      <c r="A206" s="37">
        <v>202</v>
      </c>
      <c r="B206" s="45"/>
      <c r="C206" s="46"/>
      <c r="D206" s="52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37" t="str">
        <f t="shared" si="18"/>
        <v/>
      </c>
      <c r="AH206" s="37" t="str">
        <f t="shared" si="19"/>
        <v/>
      </c>
      <c r="AI206" s="42">
        <f t="shared" si="17"/>
        <v>0</v>
      </c>
      <c r="AJ206" s="54"/>
    </row>
    <row r="207" spans="1:36" ht="27.75" customHeight="1">
      <c r="A207" s="37">
        <v>203</v>
      </c>
      <c r="B207" s="45"/>
      <c r="C207" s="46"/>
      <c r="D207" s="52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37" t="str">
        <f t="shared" si="18"/>
        <v/>
      </c>
      <c r="AH207" s="37" t="str">
        <f t="shared" si="19"/>
        <v/>
      </c>
      <c r="AI207" s="42">
        <f t="shared" si="17"/>
        <v>0</v>
      </c>
      <c r="AJ207" s="54"/>
    </row>
    <row r="208" spans="1:36" ht="27.75" customHeight="1">
      <c r="A208" s="37">
        <v>204</v>
      </c>
      <c r="B208" s="45"/>
      <c r="C208" s="46"/>
      <c r="D208" s="52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37" t="str">
        <f t="shared" si="18"/>
        <v/>
      </c>
      <c r="AH208" s="37" t="str">
        <f t="shared" si="19"/>
        <v/>
      </c>
      <c r="AI208" s="42">
        <f t="shared" si="17"/>
        <v>0</v>
      </c>
      <c r="AJ208" s="54"/>
    </row>
    <row r="209" spans="1:36" ht="27.75" customHeight="1">
      <c r="A209" s="37">
        <v>205</v>
      </c>
      <c r="B209" s="45"/>
      <c r="C209" s="46"/>
      <c r="D209" s="52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37" t="str">
        <f t="shared" si="18"/>
        <v/>
      </c>
      <c r="AH209" s="37" t="str">
        <f t="shared" si="19"/>
        <v/>
      </c>
      <c r="AI209" s="42">
        <f t="shared" si="17"/>
        <v>0</v>
      </c>
      <c r="AJ209" s="54"/>
    </row>
    <row r="210" spans="1:36" ht="27.75" customHeight="1">
      <c r="A210" s="37">
        <v>206</v>
      </c>
      <c r="B210" s="45"/>
      <c r="C210" s="46"/>
      <c r="D210" s="52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37" t="str">
        <f t="shared" si="18"/>
        <v/>
      </c>
      <c r="AH210" s="37" t="str">
        <f t="shared" si="19"/>
        <v/>
      </c>
      <c r="AI210" s="42">
        <f t="shared" si="17"/>
        <v>0</v>
      </c>
      <c r="AJ210" s="54"/>
    </row>
    <row r="211" spans="1:36" ht="27.75" customHeight="1">
      <c r="A211" s="37">
        <v>207</v>
      </c>
      <c r="B211" s="45"/>
      <c r="C211" s="46"/>
      <c r="D211" s="52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37" t="str">
        <f t="shared" si="18"/>
        <v/>
      </c>
      <c r="AH211" s="37" t="str">
        <f t="shared" si="19"/>
        <v/>
      </c>
      <c r="AI211" s="42">
        <f t="shared" si="17"/>
        <v>0</v>
      </c>
      <c r="AJ211" s="54"/>
    </row>
    <row r="212" spans="1:36" ht="27.75" customHeight="1">
      <c r="A212" s="37">
        <v>208</v>
      </c>
      <c r="B212" s="45"/>
      <c r="C212" s="46"/>
      <c r="D212" s="52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37" t="str">
        <f t="shared" si="18"/>
        <v/>
      </c>
      <c r="AH212" s="37" t="str">
        <f t="shared" si="19"/>
        <v/>
      </c>
      <c r="AI212" s="42">
        <f t="shared" si="17"/>
        <v>0</v>
      </c>
      <c r="AJ212" s="54"/>
    </row>
    <row r="213" spans="1:36" ht="27.75" customHeight="1">
      <c r="A213" s="37">
        <v>209</v>
      </c>
      <c r="B213" s="45"/>
      <c r="C213" s="46"/>
      <c r="D213" s="52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37" t="str">
        <f t="shared" si="18"/>
        <v/>
      </c>
      <c r="AH213" s="37" t="str">
        <f t="shared" si="19"/>
        <v/>
      </c>
      <c r="AI213" s="42">
        <f t="shared" si="17"/>
        <v>0</v>
      </c>
      <c r="AJ213" s="54"/>
    </row>
    <row r="214" spans="1:36" ht="27.75" customHeight="1">
      <c r="A214" s="37">
        <v>210</v>
      </c>
      <c r="B214" s="45"/>
      <c r="C214" s="46"/>
      <c r="D214" s="52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37" t="str">
        <f t="shared" si="18"/>
        <v/>
      </c>
      <c r="AH214" s="37" t="str">
        <f t="shared" si="19"/>
        <v/>
      </c>
      <c r="AI214" s="42">
        <f t="shared" si="17"/>
        <v>0</v>
      </c>
      <c r="AJ214" s="54"/>
    </row>
    <row r="215" spans="1:36" ht="27.75" customHeight="1">
      <c r="A215" s="37">
        <v>211</v>
      </c>
      <c r="B215" s="45"/>
      <c r="C215" s="46"/>
      <c r="D215" s="52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37" t="str">
        <f t="shared" si="18"/>
        <v/>
      </c>
      <c r="AH215" s="37" t="str">
        <f t="shared" si="19"/>
        <v/>
      </c>
      <c r="AI215" s="42">
        <f t="shared" si="17"/>
        <v>0</v>
      </c>
      <c r="AJ215" s="54"/>
    </row>
    <row r="216" spans="1:36" ht="27.75" customHeight="1">
      <c r="A216" s="37">
        <v>212</v>
      </c>
      <c r="B216" s="45"/>
      <c r="C216" s="46"/>
      <c r="D216" s="52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13"/>
      <c r="R216" s="55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37" t="str">
        <f t="shared" si="18"/>
        <v/>
      </c>
      <c r="AH216" s="37" t="str">
        <f t="shared" si="19"/>
        <v/>
      </c>
      <c r="AI216" s="42">
        <f t="shared" si="17"/>
        <v>0</v>
      </c>
      <c r="AJ216" s="54"/>
    </row>
    <row r="217" spans="1:36" ht="27.75" customHeight="1">
      <c r="A217" s="37">
        <v>213</v>
      </c>
      <c r="B217" s="45"/>
      <c r="C217" s="46"/>
      <c r="D217" s="52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37" t="str">
        <f t="shared" si="18"/>
        <v/>
      </c>
      <c r="AH217" s="37" t="str">
        <f t="shared" si="19"/>
        <v/>
      </c>
      <c r="AI217" s="42">
        <f t="shared" si="17"/>
        <v>0</v>
      </c>
      <c r="AJ217" s="54"/>
    </row>
    <row r="218" spans="1:36" ht="27.75" customHeight="1">
      <c r="A218" s="37">
        <v>214</v>
      </c>
      <c r="B218" s="45"/>
      <c r="C218" s="46"/>
      <c r="D218" s="52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37" t="str">
        <f t="shared" si="18"/>
        <v/>
      </c>
      <c r="AH218" s="37" t="str">
        <f t="shared" si="19"/>
        <v/>
      </c>
      <c r="AI218" s="42">
        <f t="shared" si="17"/>
        <v>0</v>
      </c>
      <c r="AJ218" s="54"/>
    </row>
    <row r="219" spans="1:36" ht="27.75" customHeight="1">
      <c r="A219" s="37">
        <v>215</v>
      </c>
      <c r="B219" s="45"/>
      <c r="C219" s="46"/>
      <c r="D219" s="52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37" t="str">
        <f t="shared" si="18"/>
        <v/>
      </c>
      <c r="AH219" s="37" t="str">
        <f t="shared" si="19"/>
        <v/>
      </c>
      <c r="AI219" s="42">
        <f t="shared" si="17"/>
        <v>0</v>
      </c>
      <c r="AJ219" s="54"/>
    </row>
    <row r="220" spans="1:36" ht="27.75" customHeight="1">
      <c r="A220" s="37">
        <v>216</v>
      </c>
      <c r="B220" s="45"/>
      <c r="C220" s="46"/>
      <c r="D220" s="52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37" t="str">
        <f t="shared" si="18"/>
        <v/>
      </c>
      <c r="AH220" s="37" t="str">
        <f t="shared" si="19"/>
        <v/>
      </c>
      <c r="AI220" s="42">
        <f t="shared" si="17"/>
        <v>0</v>
      </c>
      <c r="AJ220" s="54"/>
    </row>
    <row r="221" spans="1:36" ht="27.75" customHeight="1">
      <c r="A221" s="37">
        <v>217</v>
      </c>
      <c r="B221" s="45"/>
      <c r="C221" s="46"/>
      <c r="D221" s="52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37" t="str">
        <f t="shared" si="18"/>
        <v/>
      </c>
      <c r="AH221" s="37" t="str">
        <f t="shared" si="19"/>
        <v/>
      </c>
      <c r="AI221" s="42">
        <f t="shared" si="17"/>
        <v>0</v>
      </c>
      <c r="AJ221" s="54"/>
    </row>
    <row r="222" spans="1:36" ht="27.75" customHeight="1">
      <c r="A222" s="37">
        <v>218</v>
      </c>
      <c r="B222" s="45"/>
      <c r="C222" s="46"/>
      <c r="D222" s="52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37" t="str">
        <f t="shared" si="18"/>
        <v/>
      </c>
      <c r="AH222" s="37" t="str">
        <f t="shared" si="19"/>
        <v/>
      </c>
      <c r="AI222" s="42">
        <f t="shared" si="17"/>
        <v>0</v>
      </c>
      <c r="AJ222" s="54"/>
    </row>
    <row r="223" spans="1:36" ht="27.75" customHeight="1">
      <c r="A223" s="37">
        <v>219</v>
      </c>
      <c r="B223" s="45"/>
      <c r="C223" s="46"/>
      <c r="D223" s="52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37" t="str">
        <f t="shared" si="18"/>
        <v/>
      </c>
      <c r="AH223" s="37" t="str">
        <f t="shared" si="19"/>
        <v/>
      </c>
      <c r="AI223" s="42">
        <f t="shared" si="17"/>
        <v>0</v>
      </c>
      <c r="AJ223" s="54"/>
    </row>
    <row r="224" spans="1:36" ht="27.75" customHeight="1">
      <c r="A224" s="37">
        <v>220</v>
      </c>
      <c r="B224" s="45"/>
      <c r="C224" s="46"/>
      <c r="D224" s="52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37" t="str">
        <f t="shared" si="18"/>
        <v/>
      </c>
      <c r="AH224" s="37" t="str">
        <f t="shared" si="19"/>
        <v/>
      </c>
      <c r="AI224" s="42">
        <f t="shared" si="17"/>
        <v>0</v>
      </c>
      <c r="AJ224" s="54"/>
    </row>
    <row r="225" spans="1:36" ht="27.75" customHeight="1">
      <c r="A225" s="37">
        <v>221</v>
      </c>
      <c r="B225" s="45"/>
      <c r="C225" s="46"/>
      <c r="D225" s="52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37" t="str">
        <f t="shared" si="18"/>
        <v/>
      </c>
      <c r="AH225" s="37" t="str">
        <f t="shared" si="19"/>
        <v/>
      </c>
      <c r="AI225" s="42">
        <f t="shared" si="17"/>
        <v>0</v>
      </c>
      <c r="AJ225" s="54"/>
    </row>
    <row r="226" spans="1:36" ht="27.75" customHeight="1">
      <c r="A226" s="37">
        <v>222</v>
      </c>
      <c r="B226" s="45"/>
      <c r="C226" s="46"/>
      <c r="D226" s="52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37" t="str">
        <f t="shared" si="18"/>
        <v/>
      </c>
      <c r="AH226" s="37" t="str">
        <f t="shared" si="19"/>
        <v/>
      </c>
      <c r="AI226" s="42">
        <f t="shared" si="17"/>
        <v>0</v>
      </c>
      <c r="AJ226" s="54"/>
    </row>
    <row r="227" spans="1:36" ht="27.75" customHeight="1">
      <c r="A227" s="37">
        <v>223</v>
      </c>
      <c r="B227" s="45"/>
      <c r="C227" s="46"/>
      <c r="D227" s="52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37" t="str">
        <f t="shared" si="18"/>
        <v/>
      </c>
      <c r="AH227" s="37" t="str">
        <f t="shared" si="19"/>
        <v/>
      </c>
      <c r="AI227" s="42">
        <f t="shared" si="17"/>
        <v>0</v>
      </c>
      <c r="AJ227" s="54"/>
    </row>
    <row r="228" spans="1:36" ht="27.75" customHeight="1">
      <c r="A228" s="37">
        <v>224</v>
      </c>
      <c r="B228" s="45"/>
      <c r="C228" s="46"/>
      <c r="D228" s="52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37" t="str">
        <f t="shared" si="18"/>
        <v/>
      </c>
      <c r="AH228" s="37" t="str">
        <f t="shared" si="19"/>
        <v/>
      </c>
      <c r="AI228" s="42">
        <f t="shared" si="17"/>
        <v>0</v>
      </c>
      <c r="AJ228" s="54"/>
    </row>
    <row r="229" spans="1:36" ht="27.75" customHeight="1">
      <c r="A229" s="37">
        <v>225</v>
      </c>
      <c r="B229" s="45"/>
      <c r="C229" s="46"/>
      <c r="D229" s="52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37" t="str">
        <f t="shared" si="18"/>
        <v/>
      </c>
      <c r="AH229" s="37" t="str">
        <f t="shared" si="19"/>
        <v/>
      </c>
      <c r="AI229" s="42">
        <f t="shared" si="17"/>
        <v>0</v>
      </c>
      <c r="AJ229" s="54"/>
    </row>
    <row r="230" spans="1:36" ht="27.75" customHeight="1">
      <c r="A230" s="37">
        <v>226</v>
      </c>
      <c r="B230" s="45"/>
      <c r="C230" s="46"/>
      <c r="D230" s="52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37" t="str">
        <f t="shared" si="18"/>
        <v/>
      </c>
      <c r="AH230" s="37" t="str">
        <f t="shared" si="19"/>
        <v/>
      </c>
      <c r="AI230" s="42">
        <f t="shared" si="17"/>
        <v>0</v>
      </c>
      <c r="AJ230" s="54"/>
    </row>
    <row r="231" spans="1:36" ht="27.75" customHeight="1">
      <c r="A231" s="37">
        <v>227</v>
      </c>
      <c r="B231" s="45"/>
      <c r="C231" s="46"/>
      <c r="D231" s="52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37" t="str">
        <f t="shared" si="18"/>
        <v/>
      </c>
      <c r="AH231" s="37" t="str">
        <f t="shared" si="19"/>
        <v/>
      </c>
      <c r="AI231" s="42">
        <f t="shared" si="17"/>
        <v>0</v>
      </c>
      <c r="AJ231" s="54"/>
    </row>
    <row r="232" spans="1:36" ht="27.75" customHeight="1">
      <c r="A232" s="37">
        <v>228</v>
      </c>
      <c r="B232" s="45"/>
      <c r="C232" s="46"/>
      <c r="D232" s="52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37" t="str">
        <f t="shared" si="18"/>
        <v/>
      </c>
      <c r="AH232" s="37" t="str">
        <f t="shared" si="19"/>
        <v/>
      </c>
      <c r="AI232" s="42">
        <f t="shared" si="17"/>
        <v>0</v>
      </c>
      <c r="AJ232" s="54"/>
    </row>
    <row r="233" spans="1:36" ht="27.75" customHeight="1">
      <c r="A233" s="37">
        <v>229</v>
      </c>
      <c r="B233" s="45"/>
      <c r="C233" s="46"/>
      <c r="D233" s="52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37" t="str">
        <f t="shared" si="18"/>
        <v/>
      </c>
      <c r="AH233" s="37" t="str">
        <f t="shared" si="19"/>
        <v/>
      </c>
      <c r="AI233" s="42">
        <f t="shared" si="17"/>
        <v>0</v>
      </c>
      <c r="AJ233" s="54"/>
    </row>
    <row r="234" spans="1:36" ht="27.75" customHeight="1">
      <c r="A234" s="37">
        <v>230</v>
      </c>
      <c r="B234" s="45"/>
      <c r="C234" s="46"/>
      <c r="D234" s="52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37" t="str">
        <f t="shared" si="18"/>
        <v/>
      </c>
      <c r="AH234" s="37" t="str">
        <f t="shared" si="19"/>
        <v/>
      </c>
      <c r="AI234" s="42">
        <f t="shared" si="17"/>
        <v>0</v>
      </c>
      <c r="AJ234" s="54"/>
    </row>
    <row r="235" spans="1:36" ht="27.75" customHeight="1">
      <c r="A235" s="37">
        <v>231</v>
      </c>
      <c r="B235" s="45"/>
      <c r="C235" s="46"/>
      <c r="D235" s="52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37" t="str">
        <f t="shared" si="18"/>
        <v/>
      </c>
      <c r="AH235" s="37" t="str">
        <f t="shared" si="19"/>
        <v/>
      </c>
      <c r="AI235" s="42">
        <f t="shared" si="17"/>
        <v>0</v>
      </c>
      <c r="AJ235" s="54"/>
    </row>
    <row r="236" spans="1:36" ht="27.75" customHeight="1">
      <c r="A236" s="37">
        <v>232</v>
      </c>
      <c r="B236" s="45"/>
      <c r="C236" s="46"/>
      <c r="D236" s="52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37" t="str">
        <f t="shared" si="18"/>
        <v/>
      </c>
      <c r="AH236" s="37" t="str">
        <f t="shared" si="19"/>
        <v/>
      </c>
      <c r="AI236" s="42">
        <f t="shared" si="17"/>
        <v>0</v>
      </c>
      <c r="AJ236" s="54"/>
    </row>
    <row r="237" spans="1:36" ht="27.75" customHeight="1">
      <c r="A237" s="37">
        <v>233</v>
      </c>
      <c r="B237" s="45"/>
      <c r="C237" s="46"/>
      <c r="D237" s="52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37" t="str">
        <f t="shared" si="18"/>
        <v/>
      </c>
      <c r="AH237" s="37" t="str">
        <f t="shared" si="19"/>
        <v/>
      </c>
      <c r="AI237" s="42">
        <f t="shared" si="17"/>
        <v>0</v>
      </c>
      <c r="AJ237" s="54"/>
    </row>
    <row r="238" spans="1:36" ht="27.75" customHeight="1">
      <c r="A238" s="37">
        <v>234</v>
      </c>
      <c r="B238" s="45"/>
      <c r="C238" s="46"/>
      <c r="D238" s="52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37" t="str">
        <f t="shared" si="18"/>
        <v/>
      </c>
      <c r="AH238" s="37" t="str">
        <f t="shared" si="19"/>
        <v/>
      </c>
      <c r="AI238" s="42">
        <f t="shared" si="17"/>
        <v>0</v>
      </c>
      <c r="AJ238" s="54"/>
    </row>
    <row r="239" spans="1:36" ht="27.75" customHeight="1">
      <c r="A239" s="37">
        <v>235</v>
      </c>
      <c r="B239" s="45"/>
      <c r="C239" s="46"/>
      <c r="D239" s="52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37" t="str">
        <f t="shared" si="18"/>
        <v/>
      </c>
      <c r="AH239" s="37" t="str">
        <f t="shared" si="19"/>
        <v/>
      </c>
      <c r="AI239" s="42">
        <f t="shared" si="17"/>
        <v>0</v>
      </c>
      <c r="AJ239" s="54"/>
    </row>
    <row r="240" spans="1:36" ht="27.75" customHeight="1">
      <c r="A240" s="37">
        <v>236</v>
      </c>
      <c r="B240" s="45"/>
      <c r="C240" s="46"/>
      <c r="D240" s="52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37" t="str">
        <f t="shared" si="18"/>
        <v/>
      </c>
      <c r="AH240" s="37" t="str">
        <f t="shared" si="19"/>
        <v/>
      </c>
      <c r="AI240" s="42">
        <f t="shared" si="17"/>
        <v>0</v>
      </c>
      <c r="AJ240" s="54"/>
    </row>
    <row r="241" spans="1:36" ht="27.75" customHeight="1">
      <c r="A241" s="37">
        <v>237</v>
      </c>
      <c r="B241" s="45"/>
      <c r="C241" s="46"/>
      <c r="D241" s="52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37" t="str">
        <f t="shared" si="18"/>
        <v/>
      </c>
      <c r="AH241" s="37" t="str">
        <f t="shared" si="19"/>
        <v/>
      </c>
      <c r="AI241" s="42">
        <f t="shared" si="17"/>
        <v>0</v>
      </c>
      <c r="AJ241" s="54"/>
    </row>
    <row r="242" spans="1:36" ht="27.75" customHeight="1">
      <c r="A242" s="37">
        <v>238</v>
      </c>
      <c r="B242" s="45"/>
      <c r="C242" s="46"/>
      <c r="D242" s="52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37" t="str">
        <f t="shared" si="18"/>
        <v/>
      </c>
      <c r="AH242" s="37" t="str">
        <f t="shared" si="19"/>
        <v/>
      </c>
      <c r="AI242" s="42">
        <f t="shared" si="17"/>
        <v>0</v>
      </c>
      <c r="AJ242" s="54"/>
    </row>
    <row r="243" spans="1:36" ht="27.75" customHeight="1">
      <c r="A243" s="37">
        <v>239</v>
      </c>
      <c r="B243" s="45"/>
      <c r="C243" s="46"/>
      <c r="D243" s="52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37" t="str">
        <f t="shared" si="18"/>
        <v/>
      </c>
      <c r="AH243" s="37" t="str">
        <f t="shared" si="19"/>
        <v/>
      </c>
      <c r="AI243" s="42">
        <f t="shared" si="17"/>
        <v>0</v>
      </c>
      <c r="AJ243" s="54"/>
    </row>
    <row r="244" spans="1:36" ht="27.75" customHeight="1">
      <c r="A244" s="37">
        <v>240</v>
      </c>
      <c r="B244" s="45"/>
      <c r="C244" s="46"/>
      <c r="D244" s="52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37" t="str">
        <f t="shared" si="18"/>
        <v/>
      </c>
      <c r="AH244" s="37" t="str">
        <f t="shared" si="19"/>
        <v/>
      </c>
      <c r="AI244" s="42">
        <f t="shared" si="17"/>
        <v>0</v>
      </c>
      <c r="AJ244" s="54"/>
    </row>
    <row r="245" spans="1:36" ht="27.75" customHeight="1">
      <c r="A245" s="37">
        <v>241</v>
      </c>
      <c r="B245" s="45"/>
      <c r="C245" s="46"/>
      <c r="D245" s="52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37" t="str">
        <f t="shared" si="18"/>
        <v/>
      </c>
      <c r="AH245" s="37" t="str">
        <f t="shared" si="19"/>
        <v/>
      </c>
      <c r="AI245" s="42">
        <f t="shared" si="17"/>
        <v>0</v>
      </c>
      <c r="AJ245" s="54"/>
    </row>
    <row r="246" spans="1:36" ht="27.75" customHeight="1">
      <c r="A246" s="37">
        <v>242</v>
      </c>
      <c r="B246" s="45"/>
      <c r="C246" s="46"/>
      <c r="D246" s="52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37" t="str">
        <f t="shared" si="18"/>
        <v/>
      </c>
      <c r="AH246" s="37" t="str">
        <f t="shared" si="19"/>
        <v/>
      </c>
      <c r="AI246" s="42">
        <f t="shared" si="17"/>
        <v>0</v>
      </c>
      <c r="AJ246" s="54"/>
    </row>
    <row r="247" spans="1:36" ht="27.75" customHeight="1">
      <c r="A247" s="37">
        <v>243</v>
      </c>
      <c r="B247" s="45"/>
      <c r="C247" s="46"/>
      <c r="D247" s="52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37" t="str">
        <f t="shared" si="18"/>
        <v/>
      </c>
      <c r="AH247" s="37" t="str">
        <f t="shared" si="19"/>
        <v/>
      </c>
      <c r="AI247" s="42">
        <f t="shared" si="17"/>
        <v>0</v>
      </c>
      <c r="AJ247" s="54"/>
    </row>
    <row r="248" spans="1:36" ht="27.75" customHeight="1">
      <c r="A248" s="37">
        <v>244</v>
      </c>
      <c r="B248" s="45"/>
      <c r="C248" s="46"/>
      <c r="D248" s="52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37" t="str">
        <f t="shared" si="18"/>
        <v/>
      </c>
      <c r="AH248" s="37" t="str">
        <f t="shared" si="19"/>
        <v/>
      </c>
      <c r="AI248" s="42">
        <f t="shared" si="17"/>
        <v>0</v>
      </c>
      <c r="AJ248" s="54"/>
    </row>
    <row r="249" spans="1:36" ht="27.75" customHeight="1">
      <c r="A249" s="37">
        <v>245</v>
      </c>
      <c r="B249" s="45"/>
      <c r="C249" s="46"/>
      <c r="D249" s="52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37" t="str">
        <f t="shared" si="18"/>
        <v/>
      </c>
      <c r="AH249" s="37" t="str">
        <f t="shared" si="19"/>
        <v/>
      </c>
      <c r="AI249" s="42">
        <f t="shared" si="17"/>
        <v>0</v>
      </c>
      <c r="AJ249" s="54"/>
    </row>
    <row r="250" spans="1:36" ht="27.75" customHeight="1">
      <c r="A250" s="37">
        <v>246</v>
      </c>
      <c r="B250" s="45"/>
      <c r="C250" s="46"/>
      <c r="D250" s="52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37" t="str">
        <f t="shared" si="18"/>
        <v/>
      </c>
      <c r="AH250" s="37" t="str">
        <f t="shared" si="19"/>
        <v/>
      </c>
      <c r="AI250" s="42">
        <f t="shared" si="17"/>
        <v>0</v>
      </c>
      <c r="AJ250" s="54"/>
    </row>
    <row r="251" spans="1:36" ht="27.75" customHeight="1">
      <c r="A251" s="37">
        <v>247</v>
      </c>
      <c r="B251" s="45"/>
      <c r="C251" s="46"/>
      <c r="D251" s="52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37" t="str">
        <f t="shared" ref="AG251:AG314" si="20">IF(AND(B251="",E251="",S251=""),"",IF(SUMPRODUCT(((E251:R251&gt;=1)&lt;&gt;(S251:AF251&gt;=1))*1)=0,"○","✗"))</f>
        <v/>
      </c>
      <c r="AH251" s="37" t="str">
        <f t="shared" ref="AH251:AH314" si="21">IF(AG251="","",IF(AG251="✗","✗",IF(SUMPRODUCT((E251:R251&lt;&gt;S251:AF251)*1)=0,"○","✗")))</f>
        <v/>
      </c>
      <c r="AI251" s="42">
        <f t="shared" si="17"/>
        <v>0</v>
      </c>
      <c r="AJ251" s="54"/>
    </row>
    <row r="252" spans="1:36" ht="27.75" customHeight="1">
      <c r="A252" s="37">
        <v>248</v>
      </c>
      <c r="B252" s="45"/>
      <c r="C252" s="46"/>
      <c r="D252" s="52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37" t="str">
        <f t="shared" si="20"/>
        <v/>
      </c>
      <c r="AH252" s="37" t="str">
        <f t="shared" si="21"/>
        <v/>
      </c>
      <c r="AI252" s="42">
        <f t="shared" si="17"/>
        <v>0</v>
      </c>
      <c r="AJ252" s="54"/>
    </row>
    <row r="253" spans="1:36" ht="27.75" customHeight="1">
      <c r="A253" s="37">
        <v>249</v>
      </c>
      <c r="B253" s="45"/>
      <c r="C253" s="46"/>
      <c r="D253" s="52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37" t="str">
        <f t="shared" si="20"/>
        <v/>
      </c>
      <c r="AH253" s="37" t="str">
        <f t="shared" si="21"/>
        <v/>
      </c>
      <c r="AI253" s="42">
        <f t="shared" si="17"/>
        <v>0</v>
      </c>
      <c r="AJ253" s="54"/>
    </row>
    <row r="254" spans="1:36" ht="27.75" customHeight="1">
      <c r="A254" s="37">
        <v>250</v>
      </c>
      <c r="B254" s="45"/>
      <c r="C254" s="46"/>
      <c r="D254" s="52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37" t="str">
        <f t="shared" si="20"/>
        <v/>
      </c>
      <c r="AH254" s="37" t="str">
        <f t="shared" si="21"/>
        <v/>
      </c>
      <c r="AI254" s="42">
        <f t="shared" si="17"/>
        <v>0</v>
      </c>
      <c r="AJ254" s="54"/>
    </row>
    <row r="255" spans="1:36" ht="27.75" customHeight="1">
      <c r="A255" s="37">
        <v>251</v>
      </c>
      <c r="B255" s="45"/>
      <c r="C255" s="46"/>
      <c r="D255" s="52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37" t="str">
        <f t="shared" si="20"/>
        <v/>
      </c>
      <c r="AH255" s="37" t="str">
        <f t="shared" si="21"/>
        <v/>
      </c>
      <c r="AI255" s="42">
        <f t="shared" si="17"/>
        <v>0</v>
      </c>
      <c r="AJ255" s="54"/>
    </row>
    <row r="256" spans="1:36" ht="27.75" customHeight="1">
      <c r="A256" s="37">
        <v>252</v>
      </c>
      <c r="B256" s="45"/>
      <c r="C256" s="46"/>
      <c r="D256" s="52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37" t="str">
        <f t="shared" si="20"/>
        <v/>
      </c>
      <c r="AH256" s="37" t="str">
        <f t="shared" si="21"/>
        <v/>
      </c>
      <c r="AI256" s="42">
        <f t="shared" si="17"/>
        <v>0</v>
      </c>
      <c r="AJ256" s="54"/>
    </row>
    <row r="257" spans="1:36" ht="27.75" customHeight="1">
      <c r="A257" s="37">
        <v>253</v>
      </c>
      <c r="B257" s="45"/>
      <c r="C257" s="46"/>
      <c r="D257" s="52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37" t="str">
        <f t="shared" si="20"/>
        <v/>
      </c>
      <c r="AH257" s="37" t="str">
        <f t="shared" si="21"/>
        <v/>
      </c>
      <c r="AI257" s="42">
        <f t="shared" si="17"/>
        <v>0</v>
      </c>
      <c r="AJ257" s="54"/>
    </row>
    <row r="258" spans="1:36" ht="27.75" customHeight="1">
      <c r="A258" s="37">
        <v>254</v>
      </c>
      <c r="B258" s="45"/>
      <c r="C258" s="46"/>
      <c r="D258" s="52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37" t="str">
        <f t="shared" si="20"/>
        <v/>
      </c>
      <c r="AH258" s="37" t="str">
        <f t="shared" si="21"/>
        <v/>
      </c>
      <c r="AI258" s="42">
        <f t="shared" si="17"/>
        <v>0</v>
      </c>
      <c r="AJ258" s="54"/>
    </row>
    <row r="259" spans="1:36" ht="27.75" customHeight="1">
      <c r="A259" s="37">
        <v>255</v>
      </c>
      <c r="B259" s="45"/>
      <c r="C259" s="46"/>
      <c r="D259" s="52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37" t="str">
        <f t="shared" si="20"/>
        <v/>
      </c>
      <c r="AH259" s="37" t="str">
        <f t="shared" si="21"/>
        <v/>
      </c>
      <c r="AI259" s="42">
        <f t="shared" si="17"/>
        <v>0</v>
      </c>
      <c r="AJ259" s="54"/>
    </row>
    <row r="260" spans="1:36" ht="27.75" customHeight="1">
      <c r="A260" s="37">
        <v>256</v>
      </c>
      <c r="B260" s="45"/>
      <c r="C260" s="46"/>
      <c r="D260" s="52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37" t="str">
        <f t="shared" si="20"/>
        <v/>
      </c>
      <c r="AH260" s="37" t="str">
        <f t="shared" si="21"/>
        <v/>
      </c>
      <c r="AI260" s="42">
        <f t="shared" si="17"/>
        <v>0</v>
      </c>
      <c r="AJ260" s="54"/>
    </row>
    <row r="261" spans="1:36" ht="27.75" customHeight="1">
      <c r="A261" s="37">
        <v>257</v>
      </c>
      <c r="B261" s="45"/>
      <c r="C261" s="46"/>
      <c r="D261" s="52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37" t="str">
        <f t="shared" si="20"/>
        <v/>
      </c>
      <c r="AH261" s="37" t="str">
        <f t="shared" si="21"/>
        <v/>
      </c>
      <c r="AI261" s="42">
        <f t="shared" si="17"/>
        <v>0</v>
      </c>
      <c r="AJ261" s="54"/>
    </row>
    <row r="262" spans="1:36" ht="27.75" customHeight="1">
      <c r="A262" s="37">
        <v>258</v>
      </c>
      <c r="B262" s="45"/>
      <c r="C262" s="46"/>
      <c r="D262" s="52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37" t="str">
        <f t="shared" si="20"/>
        <v/>
      </c>
      <c r="AH262" s="37" t="str">
        <f t="shared" si="21"/>
        <v/>
      </c>
      <c r="AI262" s="42">
        <f t="shared" si="17"/>
        <v>0</v>
      </c>
      <c r="AJ262" s="54"/>
    </row>
    <row r="263" spans="1:36" ht="27.75" customHeight="1">
      <c r="A263" s="37">
        <v>259</v>
      </c>
      <c r="B263" s="45"/>
      <c r="C263" s="46"/>
      <c r="D263" s="52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37" t="str">
        <f t="shared" si="20"/>
        <v/>
      </c>
      <c r="AH263" s="37" t="str">
        <f t="shared" si="21"/>
        <v/>
      </c>
      <c r="AI263" s="42">
        <f t="shared" si="17"/>
        <v>0</v>
      </c>
      <c r="AJ263" s="54"/>
    </row>
    <row r="264" spans="1:36" ht="27.75" customHeight="1">
      <c r="A264" s="37">
        <v>260</v>
      </c>
      <c r="B264" s="45"/>
      <c r="C264" s="46"/>
      <c r="D264" s="52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37" t="str">
        <f t="shared" si="20"/>
        <v/>
      </c>
      <c r="AH264" s="37" t="str">
        <f t="shared" si="21"/>
        <v/>
      </c>
      <c r="AI264" s="42">
        <f t="shared" si="17"/>
        <v>0</v>
      </c>
      <c r="AJ264" s="54"/>
    </row>
    <row r="265" spans="1:36" ht="27.75" customHeight="1">
      <c r="A265" s="37">
        <v>261</v>
      </c>
      <c r="B265" s="45"/>
      <c r="C265" s="46"/>
      <c r="D265" s="52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37" t="str">
        <f t="shared" si="20"/>
        <v/>
      </c>
      <c r="AH265" s="37" t="str">
        <f t="shared" si="21"/>
        <v/>
      </c>
      <c r="AI265" s="42">
        <f t="shared" si="17"/>
        <v>0</v>
      </c>
      <c r="AJ265" s="54"/>
    </row>
    <row r="266" spans="1:36" ht="27.75" customHeight="1">
      <c r="A266" s="37">
        <v>262</v>
      </c>
      <c r="B266" s="45"/>
      <c r="C266" s="46"/>
      <c r="D266" s="52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37" t="str">
        <f t="shared" si="20"/>
        <v/>
      </c>
      <c r="AH266" s="37" t="str">
        <f t="shared" si="21"/>
        <v/>
      </c>
      <c r="AI266" s="42">
        <f t="shared" si="17"/>
        <v>0</v>
      </c>
      <c r="AJ266" s="54"/>
    </row>
    <row r="267" spans="1:36" ht="27.75" customHeight="1">
      <c r="A267" s="37">
        <v>263</v>
      </c>
      <c r="B267" s="45"/>
      <c r="C267" s="46"/>
      <c r="D267" s="52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37" t="str">
        <f t="shared" si="20"/>
        <v/>
      </c>
      <c r="AH267" s="37" t="str">
        <f t="shared" si="21"/>
        <v/>
      </c>
      <c r="AI267" s="42">
        <f t="shared" si="17"/>
        <v>0</v>
      </c>
      <c r="AJ267" s="54"/>
    </row>
    <row r="268" spans="1:36" ht="27.75" customHeight="1">
      <c r="A268" s="37">
        <v>264</v>
      </c>
      <c r="B268" s="45"/>
      <c r="C268" s="46"/>
      <c r="D268" s="52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37" t="str">
        <f t="shared" si="20"/>
        <v/>
      </c>
      <c r="AH268" s="37" t="str">
        <f t="shared" si="21"/>
        <v/>
      </c>
      <c r="AI268" s="42">
        <f t="shared" si="17"/>
        <v>0</v>
      </c>
      <c r="AJ268" s="54"/>
    </row>
    <row r="269" spans="1:36" ht="27.75" customHeight="1">
      <c r="A269" s="37">
        <v>265</v>
      </c>
      <c r="B269" s="45"/>
      <c r="C269" s="46"/>
      <c r="D269" s="52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37" t="str">
        <f t="shared" si="20"/>
        <v/>
      </c>
      <c r="AH269" s="37" t="str">
        <f t="shared" si="21"/>
        <v/>
      </c>
      <c r="AI269" s="42">
        <f t="shared" si="17"/>
        <v>0</v>
      </c>
      <c r="AJ269" s="54"/>
    </row>
    <row r="270" spans="1:36" ht="27.75" customHeight="1">
      <c r="A270" s="37">
        <v>266</v>
      </c>
      <c r="B270" s="45"/>
      <c r="C270" s="46"/>
      <c r="D270" s="52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37" t="str">
        <f t="shared" si="20"/>
        <v/>
      </c>
      <c r="AH270" s="37" t="str">
        <f t="shared" si="21"/>
        <v/>
      </c>
      <c r="AI270" s="42">
        <f t="shared" si="17"/>
        <v>0</v>
      </c>
      <c r="AJ270" s="54"/>
    </row>
    <row r="271" spans="1:36" ht="27.75" customHeight="1">
      <c r="A271" s="37">
        <v>267</v>
      </c>
      <c r="B271" s="45"/>
      <c r="C271" s="46"/>
      <c r="D271" s="52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37" t="str">
        <f t="shared" si="20"/>
        <v/>
      </c>
      <c r="AH271" s="37" t="str">
        <f t="shared" si="21"/>
        <v/>
      </c>
      <c r="AI271" s="42">
        <f t="shared" si="17"/>
        <v>0</v>
      </c>
      <c r="AJ271" s="54"/>
    </row>
    <row r="272" spans="1:36" ht="27.75" customHeight="1">
      <c r="A272" s="37">
        <v>268</v>
      </c>
      <c r="B272" s="45"/>
      <c r="C272" s="46"/>
      <c r="D272" s="52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37" t="str">
        <f t="shared" si="20"/>
        <v/>
      </c>
      <c r="AH272" s="37" t="str">
        <f t="shared" si="21"/>
        <v/>
      </c>
      <c r="AI272" s="42">
        <f t="shared" si="17"/>
        <v>0</v>
      </c>
      <c r="AJ272" s="54"/>
    </row>
    <row r="273" spans="1:36" ht="27.75" customHeight="1">
      <c r="A273" s="37">
        <v>269</v>
      </c>
      <c r="B273" s="45"/>
      <c r="C273" s="46"/>
      <c r="D273" s="52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37" t="str">
        <f t="shared" si="20"/>
        <v/>
      </c>
      <c r="AH273" s="37" t="str">
        <f t="shared" si="21"/>
        <v/>
      </c>
      <c r="AI273" s="42">
        <f t="shared" si="17"/>
        <v>0</v>
      </c>
      <c r="AJ273" s="54"/>
    </row>
    <row r="274" spans="1:36" ht="27.75" customHeight="1">
      <c r="A274" s="37">
        <v>270</v>
      </c>
      <c r="B274" s="45"/>
      <c r="C274" s="46"/>
      <c r="D274" s="52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37" t="str">
        <f t="shared" si="20"/>
        <v/>
      </c>
      <c r="AH274" s="37" t="str">
        <f t="shared" si="21"/>
        <v/>
      </c>
      <c r="AI274" s="42">
        <f t="shared" si="17"/>
        <v>0</v>
      </c>
      <c r="AJ274" s="54"/>
    </row>
    <row r="275" spans="1:36" ht="27.75" customHeight="1">
      <c r="A275" s="37">
        <v>271</v>
      </c>
      <c r="B275" s="45"/>
      <c r="C275" s="46"/>
      <c r="D275" s="52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37" t="str">
        <f t="shared" si="20"/>
        <v/>
      </c>
      <c r="AH275" s="37" t="str">
        <f t="shared" si="21"/>
        <v/>
      </c>
      <c r="AI275" s="42">
        <f t="shared" si="17"/>
        <v>0</v>
      </c>
      <c r="AJ275" s="54"/>
    </row>
    <row r="276" spans="1:36" ht="27.75" customHeight="1">
      <c r="A276" s="37">
        <v>272</v>
      </c>
      <c r="B276" s="45"/>
      <c r="C276" s="46"/>
      <c r="D276" s="52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37" t="str">
        <f t="shared" si="20"/>
        <v/>
      </c>
      <c r="AH276" s="37" t="str">
        <f t="shared" si="21"/>
        <v/>
      </c>
      <c r="AI276" s="42">
        <f t="shared" si="17"/>
        <v>0</v>
      </c>
      <c r="AJ276" s="54"/>
    </row>
    <row r="277" spans="1:36" ht="27.75" customHeight="1">
      <c r="A277" s="37">
        <v>273</v>
      </c>
      <c r="B277" s="45"/>
      <c r="C277" s="46"/>
      <c r="D277" s="52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37" t="str">
        <f t="shared" si="20"/>
        <v/>
      </c>
      <c r="AH277" s="37" t="str">
        <f t="shared" si="21"/>
        <v/>
      </c>
      <c r="AI277" s="42">
        <f t="shared" si="17"/>
        <v>0</v>
      </c>
      <c r="AJ277" s="54"/>
    </row>
    <row r="278" spans="1:36" ht="27.75" customHeight="1">
      <c r="A278" s="37">
        <v>274</v>
      </c>
      <c r="B278" s="45"/>
      <c r="C278" s="46"/>
      <c r="D278" s="52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37" t="str">
        <f t="shared" si="20"/>
        <v/>
      </c>
      <c r="AH278" s="37" t="str">
        <f t="shared" si="21"/>
        <v/>
      </c>
      <c r="AI278" s="42">
        <f t="shared" si="17"/>
        <v>0</v>
      </c>
      <c r="AJ278" s="54"/>
    </row>
    <row r="279" spans="1:36" ht="27.75" customHeight="1">
      <c r="A279" s="37">
        <v>275</v>
      </c>
      <c r="B279" s="45"/>
      <c r="C279" s="46"/>
      <c r="D279" s="52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37" t="str">
        <f t="shared" si="20"/>
        <v/>
      </c>
      <c r="AH279" s="37" t="str">
        <f t="shared" si="21"/>
        <v/>
      </c>
      <c r="AI279" s="42">
        <f t="shared" si="17"/>
        <v>0</v>
      </c>
      <c r="AJ279" s="54"/>
    </row>
    <row r="280" spans="1:36" ht="27.75" customHeight="1">
      <c r="A280" s="37">
        <v>276</v>
      </c>
      <c r="B280" s="45"/>
      <c r="C280" s="46"/>
      <c r="D280" s="52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37" t="str">
        <f t="shared" si="20"/>
        <v/>
      </c>
      <c r="AH280" s="37" t="str">
        <f t="shared" si="21"/>
        <v/>
      </c>
      <c r="AI280" s="42">
        <f t="shared" si="17"/>
        <v>0</v>
      </c>
      <c r="AJ280" s="54"/>
    </row>
    <row r="281" spans="1:36" ht="27.75" customHeight="1">
      <c r="A281" s="37">
        <v>277</v>
      </c>
      <c r="B281" s="45"/>
      <c r="C281" s="46"/>
      <c r="D281" s="52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37" t="str">
        <f t="shared" si="20"/>
        <v/>
      </c>
      <c r="AH281" s="37" t="str">
        <f t="shared" si="21"/>
        <v/>
      </c>
      <c r="AI281" s="42">
        <f t="shared" si="17"/>
        <v>0</v>
      </c>
      <c r="AJ281" s="54"/>
    </row>
    <row r="282" spans="1:36" ht="27.75" customHeight="1">
      <c r="A282" s="37">
        <v>278</v>
      </c>
      <c r="B282" s="45"/>
      <c r="C282" s="46"/>
      <c r="D282" s="52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37" t="str">
        <f t="shared" si="20"/>
        <v/>
      </c>
      <c r="AH282" s="37" t="str">
        <f t="shared" si="21"/>
        <v/>
      </c>
      <c r="AI282" s="42">
        <f t="shared" si="17"/>
        <v>0</v>
      </c>
      <c r="AJ282" s="54"/>
    </row>
    <row r="283" spans="1:36" ht="27.75" customHeight="1">
      <c r="A283" s="37">
        <v>279</v>
      </c>
      <c r="B283" s="45"/>
      <c r="C283" s="46"/>
      <c r="D283" s="52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37" t="str">
        <f t="shared" si="20"/>
        <v/>
      </c>
      <c r="AH283" s="37" t="str">
        <f t="shared" si="21"/>
        <v/>
      </c>
      <c r="AI283" s="42">
        <f t="shared" si="17"/>
        <v>0</v>
      </c>
      <c r="AJ283" s="54"/>
    </row>
    <row r="284" spans="1:36" ht="27.75" customHeight="1">
      <c r="A284" s="37">
        <v>280</v>
      </c>
      <c r="B284" s="45"/>
      <c r="C284" s="46"/>
      <c r="D284" s="52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37" t="str">
        <f t="shared" si="20"/>
        <v/>
      </c>
      <c r="AH284" s="37" t="str">
        <f t="shared" si="21"/>
        <v/>
      </c>
      <c r="AI284" s="42">
        <f t="shared" si="17"/>
        <v>0</v>
      </c>
      <c r="AJ284" s="54"/>
    </row>
    <row r="285" spans="1:36" ht="27.75" customHeight="1">
      <c r="A285" s="37">
        <v>281</v>
      </c>
      <c r="B285" s="45"/>
      <c r="C285" s="46"/>
      <c r="D285" s="52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37" t="str">
        <f t="shared" si="20"/>
        <v/>
      </c>
      <c r="AH285" s="37" t="str">
        <f t="shared" si="21"/>
        <v/>
      </c>
      <c r="AI285" s="42">
        <f t="shared" si="17"/>
        <v>0</v>
      </c>
      <c r="AJ285" s="54"/>
    </row>
    <row r="286" spans="1:36" ht="27.75" customHeight="1">
      <c r="A286" s="37">
        <v>282</v>
      </c>
      <c r="B286" s="45"/>
      <c r="C286" s="46"/>
      <c r="D286" s="52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37" t="str">
        <f t="shared" si="20"/>
        <v/>
      </c>
      <c r="AH286" s="37" t="str">
        <f t="shared" si="21"/>
        <v/>
      </c>
      <c r="AI286" s="42">
        <f t="shared" si="17"/>
        <v>0</v>
      </c>
      <c r="AJ286" s="54"/>
    </row>
    <row r="287" spans="1:36" ht="27.75" customHeight="1">
      <c r="A287" s="37">
        <v>283</v>
      </c>
      <c r="B287" s="45"/>
      <c r="C287" s="46"/>
      <c r="D287" s="52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37" t="str">
        <f t="shared" si="20"/>
        <v/>
      </c>
      <c r="AH287" s="37" t="str">
        <f t="shared" si="21"/>
        <v/>
      </c>
      <c r="AI287" s="42">
        <f t="shared" si="17"/>
        <v>0</v>
      </c>
      <c r="AJ287" s="54"/>
    </row>
    <row r="288" spans="1:36" ht="27.75" customHeight="1">
      <c r="A288" s="37">
        <v>284</v>
      </c>
      <c r="B288" s="45"/>
      <c r="C288" s="46"/>
      <c r="D288" s="52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37" t="str">
        <f t="shared" si="20"/>
        <v/>
      </c>
      <c r="AH288" s="37" t="str">
        <f t="shared" si="21"/>
        <v/>
      </c>
      <c r="AI288" s="42">
        <f t="shared" si="17"/>
        <v>0</v>
      </c>
      <c r="AJ288" s="54"/>
    </row>
    <row r="289" spans="1:36" ht="27.75" customHeight="1">
      <c r="A289" s="37">
        <v>285</v>
      </c>
      <c r="B289" s="45"/>
      <c r="C289" s="46"/>
      <c r="D289" s="52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37" t="str">
        <f t="shared" si="20"/>
        <v/>
      </c>
      <c r="AH289" s="37" t="str">
        <f t="shared" si="21"/>
        <v/>
      </c>
      <c r="AI289" s="42">
        <f t="shared" si="17"/>
        <v>0</v>
      </c>
      <c r="AJ289" s="54"/>
    </row>
    <row r="290" spans="1:36" ht="27.75" customHeight="1">
      <c r="A290" s="37">
        <v>286</v>
      </c>
      <c r="B290" s="45"/>
      <c r="C290" s="46"/>
      <c r="D290" s="52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37" t="str">
        <f t="shared" si="20"/>
        <v/>
      </c>
      <c r="AH290" s="37" t="str">
        <f t="shared" si="21"/>
        <v/>
      </c>
      <c r="AI290" s="42">
        <f t="shared" si="17"/>
        <v>0</v>
      </c>
      <c r="AJ290" s="54"/>
    </row>
    <row r="291" spans="1:36" ht="27.75" customHeight="1">
      <c r="A291" s="37">
        <v>287</v>
      </c>
      <c r="B291" s="45"/>
      <c r="C291" s="46"/>
      <c r="D291" s="52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37" t="str">
        <f t="shared" si="20"/>
        <v/>
      </c>
      <c r="AH291" s="37" t="str">
        <f t="shared" si="21"/>
        <v/>
      </c>
      <c r="AI291" s="42">
        <f t="shared" si="17"/>
        <v>0</v>
      </c>
      <c r="AJ291" s="54"/>
    </row>
    <row r="292" spans="1:36" ht="27.75" customHeight="1">
      <c r="A292" s="37">
        <v>288</v>
      </c>
      <c r="B292" s="45"/>
      <c r="C292" s="46"/>
      <c r="D292" s="52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37" t="str">
        <f t="shared" si="20"/>
        <v/>
      </c>
      <c r="AH292" s="37" t="str">
        <f t="shared" si="21"/>
        <v/>
      </c>
      <c r="AI292" s="42">
        <f t="shared" si="17"/>
        <v>0</v>
      </c>
      <c r="AJ292" s="54"/>
    </row>
    <row r="293" spans="1:36" ht="27.75" customHeight="1">
      <c r="A293" s="37">
        <v>289</v>
      </c>
      <c r="B293" s="45"/>
      <c r="C293" s="46"/>
      <c r="D293" s="52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37" t="str">
        <f t="shared" si="20"/>
        <v/>
      </c>
      <c r="AH293" s="37" t="str">
        <f t="shared" si="21"/>
        <v/>
      </c>
      <c r="AI293" s="42">
        <f t="shared" si="17"/>
        <v>0</v>
      </c>
      <c r="AJ293" s="54"/>
    </row>
    <row r="294" spans="1:36" ht="27.75" customHeight="1">
      <c r="A294" s="37">
        <v>290</v>
      </c>
      <c r="B294" s="45"/>
      <c r="C294" s="46"/>
      <c r="D294" s="52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37" t="str">
        <f t="shared" si="20"/>
        <v/>
      </c>
      <c r="AH294" s="37" t="str">
        <f t="shared" si="21"/>
        <v/>
      </c>
      <c r="AI294" s="42">
        <f t="shared" si="17"/>
        <v>0</v>
      </c>
      <c r="AJ294" s="54"/>
    </row>
    <row r="295" spans="1:36" ht="27.75" customHeight="1">
      <c r="A295" s="37">
        <v>291</v>
      </c>
      <c r="B295" s="45"/>
      <c r="C295" s="46"/>
      <c r="D295" s="52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37" t="str">
        <f t="shared" si="20"/>
        <v/>
      </c>
      <c r="AH295" s="37" t="str">
        <f t="shared" si="21"/>
        <v/>
      </c>
      <c r="AI295" s="42">
        <f t="shared" si="17"/>
        <v>0</v>
      </c>
      <c r="AJ295" s="54"/>
    </row>
    <row r="296" spans="1:36" ht="27.75" customHeight="1">
      <c r="A296" s="37">
        <v>292</v>
      </c>
      <c r="B296" s="45"/>
      <c r="C296" s="46"/>
      <c r="D296" s="52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37" t="str">
        <f t="shared" si="20"/>
        <v/>
      </c>
      <c r="AH296" s="37" t="str">
        <f t="shared" si="21"/>
        <v/>
      </c>
      <c r="AI296" s="42">
        <f t="shared" si="17"/>
        <v>0</v>
      </c>
      <c r="AJ296" s="54"/>
    </row>
    <row r="297" spans="1:36" ht="27.75" customHeight="1">
      <c r="A297" s="37">
        <v>293</v>
      </c>
      <c r="B297" s="45"/>
      <c r="C297" s="46"/>
      <c r="D297" s="52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37" t="str">
        <f t="shared" si="20"/>
        <v/>
      </c>
      <c r="AH297" s="37" t="str">
        <f t="shared" si="21"/>
        <v/>
      </c>
      <c r="AI297" s="42">
        <f t="shared" si="17"/>
        <v>0</v>
      </c>
      <c r="AJ297" s="54"/>
    </row>
    <row r="298" spans="1:36" ht="27.75" customHeight="1">
      <c r="A298" s="37">
        <v>294</v>
      </c>
      <c r="B298" s="45"/>
      <c r="C298" s="46"/>
      <c r="D298" s="52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37" t="str">
        <f t="shared" si="20"/>
        <v/>
      </c>
      <c r="AH298" s="37" t="str">
        <f t="shared" si="21"/>
        <v/>
      </c>
      <c r="AI298" s="42">
        <f t="shared" si="17"/>
        <v>0</v>
      </c>
      <c r="AJ298" s="54"/>
    </row>
    <row r="299" spans="1:36" ht="27.75" customHeight="1">
      <c r="A299" s="37">
        <v>295</v>
      </c>
      <c r="B299" s="45"/>
      <c r="C299" s="46"/>
      <c r="D299" s="52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37" t="str">
        <f t="shared" si="20"/>
        <v/>
      </c>
      <c r="AH299" s="37" t="str">
        <f t="shared" si="21"/>
        <v/>
      </c>
      <c r="AI299" s="42">
        <f t="shared" si="17"/>
        <v>0</v>
      </c>
      <c r="AJ299" s="54"/>
    </row>
    <row r="300" spans="1:36" ht="27.75" customHeight="1">
      <c r="A300" s="37">
        <v>296</v>
      </c>
      <c r="B300" s="45"/>
      <c r="C300" s="46"/>
      <c r="D300" s="52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37" t="str">
        <f t="shared" si="20"/>
        <v/>
      </c>
      <c r="AH300" s="37" t="str">
        <f t="shared" si="21"/>
        <v/>
      </c>
      <c r="AI300" s="42">
        <f t="shared" si="17"/>
        <v>0</v>
      </c>
      <c r="AJ300" s="54"/>
    </row>
    <row r="301" spans="1:36" ht="27.75" customHeight="1">
      <c r="A301" s="37">
        <v>297</v>
      </c>
      <c r="B301" s="45"/>
      <c r="C301" s="46"/>
      <c r="D301" s="52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37" t="str">
        <f t="shared" si="20"/>
        <v/>
      </c>
      <c r="AH301" s="37" t="str">
        <f t="shared" si="21"/>
        <v/>
      </c>
      <c r="AI301" s="42">
        <f t="shared" si="17"/>
        <v>0</v>
      </c>
      <c r="AJ301" s="54"/>
    </row>
    <row r="302" spans="1:36" ht="27.75" customHeight="1">
      <c r="A302" s="37">
        <v>298</v>
      </c>
      <c r="B302" s="45"/>
      <c r="C302" s="46"/>
      <c r="D302" s="52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37" t="str">
        <f t="shared" si="20"/>
        <v/>
      </c>
      <c r="AH302" s="37" t="str">
        <f t="shared" si="21"/>
        <v/>
      </c>
      <c r="AI302" s="42">
        <f t="shared" si="17"/>
        <v>0</v>
      </c>
      <c r="AJ302" s="54"/>
    </row>
    <row r="303" spans="1:36" ht="27.75" customHeight="1">
      <c r="A303" s="37">
        <v>299</v>
      </c>
      <c r="B303" s="45"/>
      <c r="C303" s="46"/>
      <c r="D303" s="52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37" t="str">
        <f t="shared" si="20"/>
        <v/>
      </c>
      <c r="AH303" s="37" t="str">
        <f t="shared" si="21"/>
        <v/>
      </c>
      <c r="AI303" s="42">
        <f t="shared" si="17"/>
        <v>0</v>
      </c>
      <c r="AJ303" s="54"/>
    </row>
    <row r="304" spans="1:36" ht="27.75" customHeight="1">
      <c r="A304" s="37">
        <v>300</v>
      </c>
      <c r="B304" s="45"/>
      <c r="C304" s="46"/>
      <c r="D304" s="52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37" t="str">
        <f t="shared" si="20"/>
        <v/>
      </c>
      <c r="AH304" s="37" t="str">
        <f t="shared" si="21"/>
        <v/>
      </c>
      <c r="AI304" s="42">
        <f t="shared" si="17"/>
        <v>0</v>
      </c>
      <c r="AJ304" s="54"/>
    </row>
    <row r="305" spans="1:36" ht="27.75" customHeight="1">
      <c r="A305" s="37">
        <v>301</v>
      </c>
      <c r="B305" s="45"/>
      <c r="C305" s="46"/>
      <c r="D305" s="52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37" t="str">
        <f t="shared" si="20"/>
        <v/>
      </c>
      <c r="AH305" s="37" t="str">
        <f t="shared" si="21"/>
        <v/>
      </c>
      <c r="AI305" s="42">
        <f t="shared" si="17"/>
        <v>0</v>
      </c>
      <c r="AJ305" s="54"/>
    </row>
    <row r="306" spans="1:36" ht="27.75" customHeight="1">
      <c r="A306" s="37">
        <v>302</v>
      </c>
      <c r="B306" s="45"/>
      <c r="C306" s="46"/>
      <c r="D306" s="52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37" t="str">
        <f t="shared" si="20"/>
        <v/>
      </c>
      <c r="AH306" s="37" t="str">
        <f t="shared" si="21"/>
        <v/>
      </c>
      <c r="AI306" s="42">
        <f t="shared" si="17"/>
        <v>0</v>
      </c>
      <c r="AJ306" s="54"/>
    </row>
    <row r="307" spans="1:36" ht="27.75" customHeight="1">
      <c r="A307" s="37">
        <v>303</v>
      </c>
      <c r="B307" s="45"/>
      <c r="C307" s="46"/>
      <c r="D307" s="52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37" t="str">
        <f t="shared" si="20"/>
        <v/>
      </c>
      <c r="AH307" s="37" t="str">
        <f t="shared" si="21"/>
        <v/>
      </c>
      <c r="AI307" s="42">
        <f t="shared" si="17"/>
        <v>0</v>
      </c>
      <c r="AJ307" s="54"/>
    </row>
    <row r="308" spans="1:36" ht="27.75" customHeight="1">
      <c r="A308" s="37">
        <v>304</v>
      </c>
      <c r="B308" s="45"/>
      <c r="C308" s="46"/>
      <c r="D308" s="52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37" t="str">
        <f t="shared" si="20"/>
        <v/>
      </c>
      <c r="AH308" s="37" t="str">
        <f t="shared" si="21"/>
        <v/>
      </c>
      <c r="AI308" s="42">
        <f t="shared" si="17"/>
        <v>0</v>
      </c>
      <c r="AJ308" s="54"/>
    </row>
    <row r="309" spans="1:36" ht="27.75" customHeight="1">
      <c r="A309" s="37">
        <v>305</v>
      </c>
      <c r="B309" s="45"/>
      <c r="C309" s="46"/>
      <c r="D309" s="52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37" t="str">
        <f t="shared" si="20"/>
        <v/>
      </c>
      <c r="AH309" s="37" t="str">
        <f t="shared" si="21"/>
        <v/>
      </c>
      <c r="AI309" s="42">
        <f t="shared" si="17"/>
        <v>0</v>
      </c>
      <c r="AJ309" s="54"/>
    </row>
    <row r="310" spans="1:36" ht="27.75" customHeight="1">
      <c r="A310" s="37">
        <v>306</v>
      </c>
      <c r="B310" s="45"/>
      <c r="C310" s="46"/>
      <c r="D310" s="52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37" t="str">
        <f t="shared" si="20"/>
        <v/>
      </c>
      <c r="AH310" s="37" t="str">
        <f t="shared" si="21"/>
        <v/>
      </c>
      <c r="AI310" s="42">
        <f t="shared" si="17"/>
        <v>0</v>
      </c>
      <c r="AJ310" s="54"/>
    </row>
    <row r="311" spans="1:36" ht="27.75" customHeight="1">
      <c r="A311" s="37">
        <v>307</v>
      </c>
      <c r="B311" s="45"/>
      <c r="C311" s="46"/>
      <c r="D311" s="52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37" t="str">
        <f t="shared" si="20"/>
        <v/>
      </c>
      <c r="AH311" s="37" t="str">
        <f t="shared" si="21"/>
        <v/>
      </c>
      <c r="AI311" s="42">
        <f t="shared" si="17"/>
        <v>0</v>
      </c>
      <c r="AJ311" s="54"/>
    </row>
    <row r="312" spans="1:36" ht="27.75" customHeight="1">
      <c r="A312" s="37">
        <v>308</v>
      </c>
      <c r="B312" s="45"/>
      <c r="C312" s="46"/>
      <c r="D312" s="52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37" t="str">
        <f t="shared" si="20"/>
        <v/>
      </c>
      <c r="AH312" s="37" t="str">
        <f t="shared" si="21"/>
        <v/>
      </c>
      <c r="AI312" s="42">
        <f t="shared" si="17"/>
        <v>0</v>
      </c>
      <c r="AJ312" s="54"/>
    </row>
    <row r="313" spans="1:36" ht="27.75" customHeight="1">
      <c r="A313" s="37">
        <v>309</v>
      </c>
      <c r="B313" s="45"/>
      <c r="C313" s="46"/>
      <c r="D313" s="52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37" t="str">
        <f t="shared" si="20"/>
        <v/>
      </c>
      <c r="AH313" s="37" t="str">
        <f t="shared" si="21"/>
        <v/>
      </c>
      <c r="AI313" s="42">
        <f t="shared" si="17"/>
        <v>0</v>
      </c>
      <c r="AJ313" s="54"/>
    </row>
    <row r="314" spans="1:36" ht="27.75" customHeight="1">
      <c r="A314" s="37">
        <v>310</v>
      </c>
      <c r="B314" s="45"/>
      <c r="C314" s="46"/>
      <c r="D314" s="52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37" t="str">
        <f t="shared" si="20"/>
        <v/>
      </c>
      <c r="AH314" s="37" t="str">
        <f t="shared" si="21"/>
        <v/>
      </c>
      <c r="AI314" s="42">
        <f t="shared" si="17"/>
        <v>0</v>
      </c>
      <c r="AJ314" s="54"/>
    </row>
    <row r="315" spans="1:36" ht="27.75" customHeight="1">
      <c r="A315" s="37">
        <v>311</v>
      </c>
      <c r="B315" s="45"/>
      <c r="C315" s="46"/>
      <c r="D315" s="16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7" t="str">
        <f t="shared" ref="AG315:AG342" si="22">IF(AND(B315="",E315="",S315=""),"",IF(SUMPRODUCT(((E315:R315&gt;=1)&lt;&gt;(S315:AF315&gt;=1))*1)=0,"○","✗"))</f>
        <v/>
      </c>
      <c r="AH315" s="37" t="str">
        <f t="shared" ref="AH315:AH342" si="23">IF(AG315="","",IF(AG315="✗","✗",IF(SUMPRODUCT((E315:R315&lt;&gt;S315:AF315)*1)=0,"○","✗")))</f>
        <v/>
      </c>
      <c r="AI315" s="42">
        <f t="shared" si="17"/>
        <v>0</v>
      </c>
      <c r="AJ315" s="11"/>
    </row>
    <row r="316" spans="1:36" ht="27.75" customHeight="1">
      <c r="A316" s="37">
        <v>312</v>
      </c>
      <c r="B316" s="45"/>
      <c r="C316" s="46"/>
      <c r="D316" s="16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7" t="str">
        <f t="shared" si="22"/>
        <v/>
      </c>
      <c r="AH316" s="37" t="str">
        <f t="shared" si="23"/>
        <v/>
      </c>
      <c r="AI316" s="42">
        <f t="shared" si="17"/>
        <v>0</v>
      </c>
      <c r="AJ316" s="11"/>
    </row>
    <row r="317" spans="1:36" ht="27.75" customHeight="1">
      <c r="A317" s="37">
        <v>313</v>
      </c>
      <c r="B317" s="45"/>
      <c r="C317" s="46"/>
      <c r="D317" s="52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37" t="str">
        <f t="shared" si="22"/>
        <v/>
      </c>
      <c r="AH317" s="37" t="str">
        <f t="shared" si="23"/>
        <v/>
      </c>
      <c r="AI317" s="42">
        <f t="shared" si="17"/>
        <v>0</v>
      </c>
      <c r="AJ317" s="54"/>
    </row>
    <row r="318" spans="1:36" ht="27.75" customHeight="1">
      <c r="A318" s="37">
        <v>314</v>
      </c>
      <c r="B318" s="45"/>
      <c r="C318" s="46"/>
      <c r="D318" s="52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37" t="str">
        <f t="shared" si="22"/>
        <v/>
      </c>
      <c r="AH318" s="37" t="str">
        <f t="shared" si="23"/>
        <v/>
      </c>
      <c r="AI318" s="42">
        <f t="shared" si="17"/>
        <v>0</v>
      </c>
      <c r="AJ318" s="54"/>
    </row>
    <row r="319" spans="1:36" ht="27.75" customHeight="1">
      <c r="A319" s="37">
        <v>315</v>
      </c>
      <c r="B319" s="45"/>
      <c r="C319" s="46"/>
      <c r="D319" s="52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37" t="str">
        <f t="shared" si="22"/>
        <v/>
      </c>
      <c r="AH319" s="37" t="str">
        <f t="shared" si="23"/>
        <v/>
      </c>
      <c r="AI319" s="42">
        <f t="shared" si="17"/>
        <v>0</v>
      </c>
      <c r="AJ319" s="54"/>
    </row>
    <row r="320" spans="1:36" ht="27.75" customHeight="1">
      <c r="A320" s="37">
        <v>316</v>
      </c>
      <c r="B320" s="45"/>
      <c r="C320" s="46"/>
      <c r="D320" s="52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37" t="str">
        <f t="shared" si="22"/>
        <v/>
      </c>
      <c r="AH320" s="37" t="str">
        <f t="shared" si="23"/>
        <v/>
      </c>
      <c r="AI320" s="42">
        <f t="shared" si="17"/>
        <v>0</v>
      </c>
      <c r="AJ320" s="54"/>
    </row>
    <row r="321" spans="1:36" ht="27.75" customHeight="1">
      <c r="A321" s="37">
        <v>317</v>
      </c>
      <c r="B321" s="45"/>
      <c r="C321" s="46"/>
      <c r="D321" s="52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37" t="str">
        <f t="shared" si="22"/>
        <v/>
      </c>
      <c r="AH321" s="37" t="str">
        <f t="shared" si="23"/>
        <v/>
      </c>
      <c r="AI321" s="42">
        <f t="shared" si="17"/>
        <v>0</v>
      </c>
      <c r="AJ321" s="54"/>
    </row>
    <row r="322" spans="1:36" ht="27.75" customHeight="1">
      <c r="A322" s="37">
        <v>318</v>
      </c>
      <c r="B322" s="45"/>
      <c r="C322" s="46"/>
      <c r="D322" s="52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37" t="str">
        <f t="shared" si="22"/>
        <v/>
      </c>
      <c r="AH322" s="37" t="str">
        <f t="shared" si="23"/>
        <v/>
      </c>
      <c r="AI322" s="42">
        <f t="shared" si="17"/>
        <v>0</v>
      </c>
      <c r="AJ322" s="54"/>
    </row>
    <row r="323" spans="1:36" ht="27.75" customHeight="1">
      <c r="A323" s="37">
        <v>319</v>
      </c>
      <c r="B323" s="45"/>
      <c r="C323" s="46"/>
      <c r="D323" s="52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37" t="str">
        <f t="shared" si="22"/>
        <v/>
      </c>
      <c r="AH323" s="37" t="str">
        <f t="shared" si="23"/>
        <v/>
      </c>
      <c r="AI323" s="42">
        <f t="shared" si="17"/>
        <v>0</v>
      </c>
      <c r="AJ323" s="54"/>
    </row>
    <row r="324" spans="1:36" ht="27.75" customHeight="1">
      <c r="A324" s="37">
        <v>320</v>
      </c>
      <c r="B324" s="45"/>
      <c r="C324" s="46"/>
      <c r="D324" s="52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37" t="str">
        <f t="shared" si="22"/>
        <v/>
      </c>
      <c r="AH324" s="37" t="str">
        <f t="shared" si="23"/>
        <v/>
      </c>
      <c r="AI324" s="42">
        <f t="shared" si="17"/>
        <v>0</v>
      </c>
      <c r="AJ324" s="54"/>
    </row>
    <row r="325" spans="1:36" ht="27.75" customHeight="1">
      <c r="A325" s="37">
        <v>321</v>
      </c>
      <c r="B325" s="45"/>
      <c r="C325" s="46"/>
      <c r="D325" s="52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37" t="str">
        <f t="shared" si="22"/>
        <v/>
      </c>
      <c r="AH325" s="37" t="str">
        <f t="shared" si="23"/>
        <v/>
      </c>
      <c r="AI325" s="42">
        <f t="shared" si="17"/>
        <v>0</v>
      </c>
      <c r="AJ325" s="54"/>
    </row>
    <row r="326" spans="1:36" ht="27.75" customHeight="1">
      <c r="A326" s="37">
        <v>322</v>
      </c>
      <c r="B326" s="45"/>
      <c r="C326" s="46"/>
      <c r="D326" s="52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37" t="str">
        <f t="shared" si="22"/>
        <v/>
      </c>
      <c r="AH326" s="37" t="str">
        <f t="shared" si="23"/>
        <v/>
      </c>
      <c r="AI326" s="42">
        <f t="shared" si="17"/>
        <v>0</v>
      </c>
      <c r="AJ326" s="54"/>
    </row>
    <row r="327" spans="1:36" ht="27.75" customHeight="1">
      <c r="A327" s="37">
        <v>323</v>
      </c>
      <c r="B327" s="45"/>
      <c r="C327" s="46"/>
      <c r="D327" s="52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37" t="str">
        <f t="shared" si="22"/>
        <v/>
      </c>
      <c r="AH327" s="37" t="str">
        <f t="shared" si="23"/>
        <v/>
      </c>
      <c r="AI327" s="42">
        <f t="shared" si="17"/>
        <v>0</v>
      </c>
      <c r="AJ327" s="54"/>
    </row>
    <row r="328" spans="1:36" ht="27.75" customHeight="1">
      <c r="A328" s="37">
        <v>324</v>
      </c>
      <c r="B328" s="45"/>
      <c r="C328" s="46"/>
      <c r="D328" s="52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37" t="str">
        <f t="shared" si="22"/>
        <v/>
      </c>
      <c r="AH328" s="37" t="str">
        <f t="shared" si="23"/>
        <v/>
      </c>
      <c r="AI328" s="42">
        <f t="shared" si="17"/>
        <v>0</v>
      </c>
      <c r="AJ328" s="54"/>
    </row>
    <row r="329" spans="1:36" ht="27.75" customHeight="1">
      <c r="A329" s="37">
        <v>325</v>
      </c>
      <c r="B329" s="45"/>
      <c r="C329" s="46"/>
      <c r="D329" s="52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37" t="str">
        <f t="shared" si="22"/>
        <v/>
      </c>
      <c r="AH329" s="37" t="str">
        <f t="shared" si="23"/>
        <v/>
      </c>
      <c r="AI329" s="42">
        <f t="shared" si="17"/>
        <v>0</v>
      </c>
      <c r="AJ329" s="54"/>
    </row>
    <row r="330" spans="1:36" ht="27.75" customHeight="1">
      <c r="A330" s="37">
        <v>326</v>
      </c>
      <c r="B330" s="45"/>
      <c r="C330" s="46"/>
      <c r="D330" s="52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37" t="str">
        <f t="shared" si="22"/>
        <v/>
      </c>
      <c r="AH330" s="37" t="str">
        <f t="shared" si="23"/>
        <v/>
      </c>
      <c r="AI330" s="42">
        <f t="shared" si="17"/>
        <v>0</v>
      </c>
      <c r="AJ330" s="54"/>
    </row>
    <row r="331" spans="1:36" ht="27.75" customHeight="1">
      <c r="A331" s="37">
        <v>327</v>
      </c>
      <c r="B331" s="45"/>
      <c r="C331" s="46"/>
      <c r="D331" s="52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37" t="str">
        <f t="shared" si="22"/>
        <v/>
      </c>
      <c r="AH331" s="37" t="str">
        <f t="shared" si="23"/>
        <v/>
      </c>
      <c r="AI331" s="42">
        <f t="shared" si="17"/>
        <v>0</v>
      </c>
      <c r="AJ331" s="54"/>
    </row>
    <row r="332" spans="1:36" ht="27.75" customHeight="1">
      <c r="A332" s="37">
        <v>328</v>
      </c>
      <c r="B332" s="45"/>
      <c r="C332" s="46"/>
      <c r="D332" s="52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37" t="str">
        <f t="shared" si="22"/>
        <v/>
      </c>
      <c r="AH332" s="37" t="str">
        <f t="shared" si="23"/>
        <v/>
      </c>
      <c r="AI332" s="42">
        <f t="shared" si="17"/>
        <v>0</v>
      </c>
      <c r="AJ332" s="54"/>
    </row>
    <row r="333" spans="1:36" ht="27.75" customHeight="1">
      <c r="A333" s="37">
        <v>329</v>
      </c>
      <c r="B333" s="45"/>
      <c r="C333" s="46"/>
      <c r="D333" s="16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7" t="str">
        <f t="shared" si="22"/>
        <v/>
      </c>
      <c r="AH333" s="37" t="str">
        <f t="shared" si="23"/>
        <v/>
      </c>
      <c r="AI333" s="42">
        <f t="shared" si="17"/>
        <v>0</v>
      </c>
      <c r="AJ333" s="11"/>
    </row>
    <row r="334" spans="1:36" ht="27.75" customHeight="1">
      <c r="A334" s="37">
        <v>330</v>
      </c>
      <c r="B334" s="45"/>
      <c r="C334" s="46"/>
      <c r="D334" s="16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7" t="str">
        <f t="shared" si="22"/>
        <v/>
      </c>
      <c r="AH334" s="37" t="str">
        <f t="shared" si="23"/>
        <v/>
      </c>
      <c r="AI334" s="42">
        <f t="shared" si="17"/>
        <v>0</v>
      </c>
      <c r="AJ334" s="11"/>
    </row>
    <row r="335" spans="1:36" ht="27.75" customHeight="1">
      <c r="A335" s="37">
        <v>331</v>
      </c>
      <c r="B335" s="45"/>
      <c r="C335" s="46"/>
      <c r="D335" s="16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7" t="str">
        <f t="shared" si="22"/>
        <v/>
      </c>
      <c r="AH335" s="37" t="str">
        <f t="shared" si="23"/>
        <v/>
      </c>
      <c r="AI335" s="42">
        <f t="shared" si="17"/>
        <v>0</v>
      </c>
      <c r="AJ335" s="11"/>
    </row>
    <row r="336" spans="1:36" ht="27.75" customHeight="1">
      <c r="A336" s="37">
        <v>332</v>
      </c>
      <c r="B336" s="45"/>
      <c r="C336" s="46"/>
      <c r="D336" s="16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7" t="str">
        <f t="shared" si="22"/>
        <v/>
      </c>
      <c r="AH336" s="37" t="str">
        <f t="shared" si="23"/>
        <v/>
      </c>
      <c r="AI336" s="42">
        <f t="shared" si="17"/>
        <v>0</v>
      </c>
      <c r="AJ336" s="11"/>
    </row>
    <row r="337" spans="1:36" ht="27.75" customHeight="1">
      <c r="A337" s="37">
        <v>333</v>
      </c>
      <c r="B337" s="45"/>
      <c r="C337" s="46"/>
      <c r="D337" s="16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7" t="str">
        <f t="shared" si="22"/>
        <v/>
      </c>
      <c r="AH337" s="37" t="str">
        <f t="shared" si="23"/>
        <v/>
      </c>
      <c r="AI337" s="42">
        <f t="shared" si="17"/>
        <v>0</v>
      </c>
      <c r="AJ337" s="11"/>
    </row>
    <row r="338" spans="1:36" ht="27.75" customHeight="1">
      <c r="A338" s="37">
        <v>334</v>
      </c>
      <c r="B338" s="45"/>
      <c r="C338" s="46"/>
      <c r="D338" s="16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7" t="str">
        <f t="shared" si="22"/>
        <v/>
      </c>
      <c r="AH338" s="37" t="str">
        <f t="shared" si="23"/>
        <v/>
      </c>
      <c r="AI338" s="42">
        <f t="shared" si="17"/>
        <v>0</v>
      </c>
      <c r="AJ338" s="11"/>
    </row>
    <row r="339" spans="1:36" ht="27.75" customHeight="1">
      <c r="A339" s="37">
        <v>335</v>
      </c>
      <c r="B339" s="45"/>
      <c r="C339" s="46"/>
      <c r="D339" s="16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7" t="str">
        <f t="shared" si="22"/>
        <v/>
      </c>
      <c r="AH339" s="37" t="str">
        <f t="shared" si="23"/>
        <v/>
      </c>
      <c r="AI339" s="42">
        <f t="shared" si="17"/>
        <v>0</v>
      </c>
      <c r="AJ339" s="11"/>
    </row>
    <row r="340" spans="1:36" ht="27.75" customHeight="1">
      <c r="A340" s="37">
        <v>336</v>
      </c>
      <c r="B340" s="45"/>
      <c r="C340" s="46"/>
      <c r="D340" s="16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7" t="str">
        <f t="shared" si="22"/>
        <v/>
      </c>
      <c r="AH340" s="37" t="str">
        <f t="shared" si="23"/>
        <v/>
      </c>
      <c r="AI340" s="42">
        <f t="shared" si="17"/>
        <v>0</v>
      </c>
      <c r="AJ340" s="11"/>
    </row>
    <row r="341" spans="1:36" ht="27.75" customHeight="1">
      <c r="A341" s="37">
        <v>337</v>
      </c>
      <c r="B341" s="45"/>
      <c r="C341" s="46"/>
      <c r="D341" s="16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7" t="str">
        <f t="shared" si="22"/>
        <v/>
      </c>
      <c r="AH341" s="37" t="str">
        <f t="shared" si="23"/>
        <v/>
      </c>
      <c r="AI341" s="42">
        <f t="shared" ref="AI341:AI351" si="24">IF(AND(SUM(E341:R341)=0,SUM(S341:AF341)=0),0,(SUM(E341:R341)+SUM(S341:AF341))/2)</f>
        <v>0</v>
      </c>
      <c r="AJ341" s="11"/>
    </row>
    <row r="342" spans="1:36" ht="27.75" customHeight="1">
      <c r="A342" s="37">
        <v>338</v>
      </c>
      <c r="B342" s="45"/>
      <c r="C342" s="46"/>
      <c r="D342" s="16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7" t="str">
        <f t="shared" si="22"/>
        <v/>
      </c>
      <c r="AH342" s="37" t="str">
        <f t="shared" si="23"/>
        <v/>
      </c>
      <c r="AI342" s="42">
        <f t="shared" si="24"/>
        <v>0</v>
      </c>
      <c r="AJ342" s="11"/>
    </row>
    <row r="343" spans="1:36" ht="27.75" customHeight="1">
      <c r="A343" s="37">
        <v>339</v>
      </c>
      <c r="B343" s="45"/>
      <c r="C343" s="46"/>
      <c r="D343" s="16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7" t="str">
        <f t="shared" ref="AG343:AG351" si="25">IF(AND(B343="",E343="",S343=""),"",IF(SUMPRODUCT(((E343:R343&gt;=1)&lt;&gt;(S343:AF343&gt;=1))*1)=0,"○","✗"))</f>
        <v/>
      </c>
      <c r="AH343" s="37" t="str">
        <f t="shared" ref="AH343:AH351" si="26">IF(AG343="","",IF(AG343="✗","✗",IF(SUMPRODUCT((E343:R343&lt;&gt;S343:AF343)*1)=0,"○","✗")))</f>
        <v/>
      </c>
      <c r="AI343" s="42">
        <f t="shared" si="24"/>
        <v>0</v>
      </c>
      <c r="AJ343" s="11"/>
    </row>
    <row r="344" spans="1:36" ht="27.75" customHeight="1">
      <c r="A344" s="37">
        <v>340</v>
      </c>
      <c r="B344" s="45"/>
      <c r="C344" s="46"/>
      <c r="D344" s="16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7" t="str">
        <f t="shared" si="25"/>
        <v/>
      </c>
      <c r="AH344" s="37" t="str">
        <f t="shared" si="26"/>
        <v/>
      </c>
      <c r="AI344" s="42">
        <f t="shared" si="24"/>
        <v>0</v>
      </c>
      <c r="AJ344" s="11"/>
    </row>
    <row r="345" spans="1:36" ht="27.75" customHeight="1">
      <c r="A345" s="37">
        <v>341</v>
      </c>
      <c r="B345" s="45"/>
      <c r="C345" s="46"/>
      <c r="D345" s="52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37" t="str">
        <f t="shared" ref="AG345:AG348" si="27">IF(AND(B345="",E345="",S345=""),"",IF(SUMPRODUCT(((E345:R345&gt;=1)&lt;&gt;(S345:AF345&gt;=1))*1)=0,"○","✗"))</f>
        <v/>
      </c>
      <c r="AH345" s="37" t="str">
        <f t="shared" ref="AH345:AH348" si="28">IF(AG345="","",IF(AG345="✗","✗",IF(SUMPRODUCT((E345:R345&lt;&gt;S345:AF345)*1)=0,"○","✗")))</f>
        <v/>
      </c>
      <c r="AI345" s="42">
        <f t="shared" si="24"/>
        <v>0</v>
      </c>
      <c r="AJ345" s="54"/>
    </row>
    <row r="346" spans="1:36" ht="27.75" customHeight="1">
      <c r="A346" s="37">
        <v>342</v>
      </c>
      <c r="B346" s="45"/>
      <c r="C346" s="46"/>
      <c r="D346" s="52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37" t="str">
        <f t="shared" si="27"/>
        <v/>
      </c>
      <c r="AH346" s="37" t="str">
        <f t="shared" si="28"/>
        <v/>
      </c>
      <c r="AI346" s="42">
        <f t="shared" si="24"/>
        <v>0</v>
      </c>
      <c r="AJ346" s="54"/>
    </row>
    <row r="347" spans="1:36" ht="27.75" customHeight="1">
      <c r="A347" s="37">
        <v>343</v>
      </c>
      <c r="B347" s="45"/>
      <c r="C347" s="46"/>
      <c r="D347" s="52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37" t="str">
        <f t="shared" si="27"/>
        <v/>
      </c>
      <c r="AH347" s="37" t="str">
        <f t="shared" si="28"/>
        <v/>
      </c>
      <c r="AI347" s="42">
        <f t="shared" si="24"/>
        <v>0</v>
      </c>
      <c r="AJ347" s="54"/>
    </row>
    <row r="348" spans="1:36" ht="27.75" customHeight="1">
      <c r="A348" s="37">
        <v>344</v>
      </c>
      <c r="B348" s="45"/>
      <c r="C348" s="46"/>
      <c r="D348" s="52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37" t="str">
        <f t="shared" si="27"/>
        <v/>
      </c>
      <c r="AH348" s="37" t="str">
        <f t="shared" si="28"/>
        <v/>
      </c>
      <c r="AI348" s="42">
        <f t="shared" si="24"/>
        <v>0</v>
      </c>
      <c r="AJ348" s="54"/>
    </row>
    <row r="349" spans="1:36" ht="27.75" customHeight="1">
      <c r="A349" s="37">
        <v>345</v>
      </c>
      <c r="B349" s="45"/>
      <c r="C349" s="46"/>
      <c r="D349" s="16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7" t="str">
        <f t="shared" si="25"/>
        <v/>
      </c>
      <c r="AH349" s="37" t="str">
        <f t="shared" si="26"/>
        <v/>
      </c>
      <c r="AI349" s="42">
        <f t="shared" si="24"/>
        <v>0</v>
      </c>
      <c r="AJ349" s="11"/>
    </row>
    <row r="350" spans="1:36" ht="27.75" customHeight="1">
      <c r="A350" s="37">
        <v>346</v>
      </c>
      <c r="B350" s="45"/>
      <c r="C350" s="46"/>
      <c r="D350" s="16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7" t="str">
        <f t="shared" si="25"/>
        <v/>
      </c>
      <c r="AH350" s="37" t="str">
        <f t="shared" si="26"/>
        <v/>
      </c>
      <c r="AI350" s="42">
        <f t="shared" si="24"/>
        <v>0</v>
      </c>
      <c r="AJ350" s="11"/>
    </row>
    <row r="351" spans="1:36" ht="27.75" customHeight="1">
      <c r="A351" s="37">
        <v>347</v>
      </c>
      <c r="B351" s="45"/>
      <c r="C351" s="46"/>
      <c r="D351" s="16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7" t="str">
        <f t="shared" si="25"/>
        <v/>
      </c>
      <c r="AH351" s="37" t="str">
        <f t="shared" si="26"/>
        <v/>
      </c>
      <c r="AI351" s="42">
        <f t="shared" si="24"/>
        <v>0</v>
      </c>
      <c r="AJ351" s="11"/>
    </row>
    <row r="353" spans="1:36" ht="15" customHeight="1">
      <c r="A353" s="67" t="s">
        <v>270</v>
      </c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  <c r="AD353" s="66"/>
      <c r="AE353" s="66"/>
      <c r="AF353" s="66"/>
      <c r="AG353" s="66"/>
      <c r="AH353" s="66"/>
      <c r="AI353" s="66"/>
      <c r="AJ353" s="66"/>
    </row>
    <row r="354" spans="1:36" ht="43.5" customHeight="1">
      <c r="A354" s="10" t="s">
        <v>258</v>
      </c>
      <c r="B354" s="24" t="s">
        <v>271</v>
      </c>
      <c r="C354" s="24">
        <f>COUNTIF(AG5:AG351,"○")+COUNTIF(AG5:AG351,"✗")</f>
        <v>0</v>
      </c>
      <c r="D354" s="39" t="s">
        <v>260</v>
      </c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</row>
    <row r="355" spans="1:36" ht="54.75" customHeight="1">
      <c r="A355" s="10" t="s">
        <v>261</v>
      </c>
      <c r="B355" s="24" t="s">
        <v>262</v>
      </c>
      <c r="C355" s="25">
        <f>IFERROR(COUNTIF(AG5:AG351,"○")/(COUNTIF(AG5:AG351,"○")+COUNTIF(AG5:AG351,"✗"))*100,0)</f>
        <v>0</v>
      </c>
      <c r="D355" s="24" t="str">
        <f>IF(C355="","",IF(C355&gt;=70,"✅ 1차 게이트 통과",IF(C355&gt;=50,"⚠ 데이터 신뢰도 부족","❌ 데이터 무효")))</f>
        <v>❌ 데이터 무효</v>
      </c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</row>
    <row r="356" spans="1:36" ht="40.5" customHeight="1">
      <c r="A356" s="10" t="s">
        <v>263</v>
      </c>
      <c r="B356" s="24" t="s">
        <v>264</v>
      </c>
      <c r="C356" s="25">
        <f>IFERROR(COUNTIF(AH5:AH351,"○")/(COUNTIF(AH5:AH351,"○")+COUNTIF(AH5:AH351,"✗"))*100,0)</f>
        <v>0</v>
      </c>
      <c r="D356" s="24" t="str">
        <f>IF(C356="","",IF(C356&gt;=60,"✅ 충분","⚠ 강도 합의 부족"))</f>
        <v>⚠ 강도 합의 부족</v>
      </c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</row>
    <row r="357" spans="1:36" ht="43.5" customHeight="1">
      <c r="A357" s="10" t="s">
        <v>272</v>
      </c>
      <c r="B357" s="39" t="s">
        <v>260</v>
      </c>
      <c r="C357" s="24">
        <f>COUNTIF(AG5:AG351,"✗")</f>
        <v>0</v>
      </c>
      <c r="D357" s="39" t="s">
        <v>273</v>
      </c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</row>
  </sheetData>
  <mergeCells count="11">
    <mergeCell ref="S3:AF3"/>
    <mergeCell ref="E3:R3"/>
    <mergeCell ref="A353:AJ353"/>
    <mergeCell ref="C3:C4"/>
    <mergeCell ref="A3:A4"/>
    <mergeCell ref="AG3:AG4"/>
    <mergeCell ref="B3:B4"/>
    <mergeCell ref="AJ3:AJ4"/>
    <mergeCell ref="AI3:AI4"/>
    <mergeCell ref="AH3:AH4"/>
    <mergeCell ref="D3:D4"/>
  </mergeCells>
  <phoneticPr fontId="21" type="noConversion"/>
  <conditionalFormatting sqref="E5:AF351">
    <cfRule type="cellIs" dxfId="4" priority="1" operator="equal">
      <formula>3</formula>
    </cfRule>
    <cfRule type="cellIs" dxfId="3" priority="2" operator="equal">
      <formula>2</formula>
    </cfRule>
    <cfRule type="cellIs" dxfId="2" priority="3" operator="equal">
      <formula>1</formula>
    </cfRule>
  </conditionalFormatting>
  <conditionalFormatting sqref="AG5:AH351">
    <cfRule type="cellIs" dxfId="1" priority="11" operator="equal">
      <formula>"○"</formula>
    </cfRule>
    <cfRule type="cellIs" dxfId="0" priority="12" operator="equal">
      <formula>"✗"</formula>
    </cfRule>
  </conditionalFormatting>
  <dataValidations count="1">
    <dataValidation type="list" allowBlank="1" sqref="E5:AF351" xr:uid="{00000000-0002-0000-0800-000000000000}">
      <formula1>"0,1,2,3"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① 안내</vt:lpstr>
      <vt:lpstr>② 카테고리 정의</vt:lpstr>
      <vt:lpstr>③ 평가 입력</vt:lpstr>
      <vt:lpstr>④ 정성 평가</vt:lpstr>
      <vt:lpstr>⑤ 결과 대시보드</vt:lpstr>
      <vt:lpstr>⑥ 버전 비교</vt:lpstr>
      <vt:lpstr>⑦ 기타 사례 누적</vt:lpstr>
      <vt:lpstr>⑧ 평가자 일치율</vt:lpstr>
      <vt:lpstr>⑨ 본 평가 비교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최영주</cp:lastModifiedBy>
  <cp:revision>0</cp:revision>
  <dcterms:created xsi:type="dcterms:W3CDTF">2026-05-28T09:45:42Z</dcterms:created>
  <dcterms:modified xsi:type="dcterms:W3CDTF">2026-06-15T09:39:16Z</dcterms:modified>
  <dc:language>en-US</dc:language>
</cp:coreProperties>
</file>