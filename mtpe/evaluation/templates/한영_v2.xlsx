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P-123\Downloads\"/>
    </mc:Choice>
  </mc:AlternateContent>
  <xr:revisionPtr revIDLastSave="0" documentId="13_ncr:1_{E0FC06B1-E6AA-4819-ADE0-5037E8B2B52F}" xr6:coauthVersionLast="47" xr6:coauthVersionMax="47" xr10:uidLastSave="{00000000-0000-0000-0000-000000000000}"/>
  <bookViews>
    <workbookView xWindow="-108" yWindow="-108" windowWidth="23256" windowHeight="12456" tabRatio="595" activeTab="1" xr2:uid="{00000000-000D-0000-FFFF-FFFF00000000}"/>
  </bookViews>
  <sheets>
    <sheet name="① 안내" sheetId="1" r:id="rId1"/>
    <sheet name="② 카테고리 정의" sheetId="2" r:id="rId2"/>
    <sheet name="③ 평가 입력" sheetId="3" r:id="rId3"/>
    <sheet name="④ 정성 평가" sheetId="4" r:id="rId4"/>
    <sheet name="⑤ 결과 대시보드" sheetId="5" r:id="rId5"/>
    <sheet name="⑥ 버전 비교" sheetId="6" r:id="rId6"/>
    <sheet name="⑦ 기타 사례 누적" sheetId="7" r:id="rId7"/>
    <sheet name="⑧ 평가자 일치율" sheetId="8" r:id="rId8"/>
    <sheet name="⑨ 본 평가 비교"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6" i="8" l="1"/>
  <c r="H55" i="8"/>
  <c r="H54" i="8"/>
  <c r="H53" i="8"/>
  <c r="H52" i="8"/>
  <c r="H51" i="8"/>
  <c r="H50" i="8"/>
  <c r="H49" i="8"/>
  <c r="H48" i="8"/>
  <c r="H37" i="8"/>
  <c r="H36" i="8"/>
  <c r="H35" i="8"/>
  <c r="H34" i="8"/>
  <c r="H33" i="8"/>
  <c r="H32" i="8"/>
  <c r="H31" i="8"/>
  <c r="H24" i="8"/>
  <c r="I24" i="8" s="1"/>
  <c r="H30" i="8"/>
  <c r="I30" i="8" s="1"/>
  <c r="H29" i="8"/>
  <c r="I29" i="8" s="1"/>
  <c r="H28" i="8"/>
  <c r="I28" i="8" s="1"/>
  <c r="H27" i="8"/>
  <c r="I27" i="8" s="1"/>
  <c r="AI326" i="9"/>
  <c r="AI325" i="9"/>
  <c r="AI324" i="9"/>
  <c r="AI323" i="9"/>
  <c r="AI322" i="9"/>
  <c r="AI321" i="9"/>
  <c r="AI320" i="9"/>
  <c r="AI319" i="9"/>
  <c r="AI318" i="9"/>
  <c r="AI317" i="9"/>
  <c r="AI316" i="9"/>
  <c r="AI315" i="9"/>
  <c r="AI314" i="9"/>
  <c r="AI313" i="9"/>
  <c r="AI312" i="9"/>
  <c r="AI311" i="9"/>
  <c r="AI310" i="9"/>
  <c r="AI309" i="9"/>
  <c r="AI308" i="9"/>
  <c r="AI307" i="9"/>
  <c r="AI306" i="9"/>
  <c r="AI305" i="9"/>
  <c r="AI304" i="9"/>
  <c r="AI303" i="9"/>
  <c r="AI302" i="9"/>
  <c r="AI301" i="9"/>
  <c r="AI300" i="9"/>
  <c r="AI299" i="9"/>
  <c r="AI298" i="9"/>
  <c r="AI297" i="9"/>
  <c r="AI296" i="9"/>
  <c r="AI295" i="9"/>
  <c r="AI294" i="9"/>
  <c r="AI293" i="9"/>
  <c r="AI292" i="9"/>
  <c r="AI291" i="9"/>
  <c r="AI290" i="9"/>
  <c r="AI289" i="9"/>
  <c r="AI288" i="9"/>
  <c r="AI287" i="9"/>
  <c r="AI286" i="9"/>
  <c r="AI285" i="9"/>
  <c r="AI284" i="9"/>
  <c r="AI283" i="9"/>
  <c r="AI282" i="9"/>
  <c r="AI281" i="9"/>
  <c r="AI280" i="9"/>
  <c r="AI279" i="9"/>
  <c r="AI278" i="9"/>
  <c r="AI277" i="9"/>
  <c r="AI276" i="9"/>
  <c r="AI275" i="9"/>
  <c r="AI274" i="9"/>
  <c r="AI273" i="9"/>
  <c r="AI272" i="9"/>
  <c r="AI271" i="9"/>
  <c r="AI270" i="9"/>
  <c r="AI269" i="9"/>
  <c r="AI268" i="9"/>
  <c r="AI267" i="9"/>
  <c r="AI266" i="9"/>
  <c r="AI265" i="9"/>
  <c r="AI264" i="9"/>
  <c r="AI263" i="9"/>
  <c r="AI262" i="9"/>
  <c r="AI261" i="9"/>
  <c r="AI260" i="9"/>
  <c r="AI259" i="9"/>
  <c r="AI258" i="9"/>
  <c r="AI257" i="9"/>
  <c r="AI256" i="9"/>
  <c r="AI255" i="9"/>
  <c r="AI254" i="9"/>
  <c r="AI253" i="9"/>
  <c r="AI252" i="9"/>
  <c r="AI251" i="9"/>
  <c r="AI250" i="9"/>
  <c r="AI249" i="9"/>
  <c r="AI248" i="9"/>
  <c r="AI247" i="9"/>
  <c r="AI246" i="9"/>
  <c r="AI245" i="9"/>
  <c r="AI244" i="9"/>
  <c r="AI243" i="9"/>
  <c r="AI242" i="9"/>
  <c r="AI241" i="9"/>
  <c r="AI240" i="9"/>
  <c r="AI239" i="9"/>
  <c r="AI238" i="9"/>
  <c r="AI237" i="9"/>
  <c r="AI236" i="9"/>
  <c r="AI235" i="9"/>
  <c r="AI234" i="9"/>
  <c r="AI233" i="9"/>
  <c r="AI232" i="9"/>
  <c r="AI231" i="9"/>
  <c r="AI230" i="9"/>
  <c r="AI229" i="9"/>
  <c r="AI228" i="9"/>
  <c r="AI227" i="9"/>
  <c r="AI226" i="9"/>
  <c r="AI225" i="9"/>
  <c r="AI224" i="9"/>
  <c r="AI223" i="9"/>
  <c r="AI222" i="9"/>
  <c r="AI221" i="9"/>
  <c r="AI220" i="9"/>
  <c r="AI219" i="9"/>
  <c r="AI218" i="9"/>
  <c r="AI217" i="9"/>
  <c r="AI216" i="9"/>
  <c r="AI215" i="9"/>
  <c r="AI214" i="9"/>
  <c r="AI213" i="9"/>
  <c r="AI212" i="9"/>
  <c r="AI211" i="9"/>
  <c r="AI210" i="9"/>
  <c r="AI209" i="9"/>
  <c r="AI208" i="9"/>
  <c r="AI207" i="9"/>
  <c r="AI206" i="9"/>
  <c r="AI205" i="9"/>
  <c r="AI204" i="9"/>
  <c r="AI203" i="9"/>
  <c r="AI202" i="9"/>
  <c r="AI201" i="9"/>
  <c r="AI200" i="9"/>
  <c r="AI199" i="9"/>
  <c r="AI198" i="9"/>
  <c r="AI197" i="9"/>
  <c r="AI196" i="9"/>
  <c r="AI195" i="9"/>
  <c r="AI194" i="9"/>
  <c r="AI193" i="9"/>
  <c r="AI192" i="9"/>
  <c r="AI191" i="9"/>
  <c r="AI190" i="9"/>
  <c r="AI189" i="9"/>
  <c r="AI188" i="9"/>
  <c r="AI187" i="9"/>
  <c r="AI348" i="9"/>
  <c r="AI347" i="9"/>
  <c r="AI346" i="9"/>
  <c r="AI345" i="9"/>
  <c r="AI332" i="9"/>
  <c r="AI331" i="9"/>
  <c r="AI330" i="9"/>
  <c r="AI329" i="9"/>
  <c r="AI328" i="9"/>
  <c r="AI327" i="9"/>
  <c r="AG348" i="9"/>
  <c r="AG347" i="9"/>
  <c r="AG346" i="9"/>
  <c r="AG345" i="9"/>
  <c r="AG342" i="9"/>
  <c r="AG341" i="9"/>
  <c r="AG340" i="9"/>
  <c r="AG339" i="9"/>
  <c r="AG338" i="9"/>
  <c r="AG337" i="9"/>
  <c r="AG336" i="9"/>
  <c r="AG335" i="9"/>
  <c r="AG334" i="9"/>
  <c r="AG333" i="9"/>
  <c r="AG332" i="9"/>
  <c r="AG331" i="9"/>
  <c r="AG330" i="9"/>
  <c r="AG329" i="9"/>
  <c r="AG328" i="9"/>
  <c r="AG327" i="9"/>
  <c r="AG326" i="9"/>
  <c r="AG325" i="9"/>
  <c r="AG324" i="9"/>
  <c r="AG323" i="9"/>
  <c r="AG322" i="9"/>
  <c r="AG321" i="9"/>
  <c r="AG320" i="9"/>
  <c r="AG319" i="9"/>
  <c r="AG318" i="9"/>
  <c r="AG317" i="9"/>
  <c r="AG316" i="9"/>
  <c r="AG315" i="9"/>
  <c r="AG314" i="9"/>
  <c r="AG313" i="9"/>
  <c r="AG312" i="9"/>
  <c r="AG311" i="9"/>
  <c r="AG310" i="9"/>
  <c r="AG309" i="9"/>
  <c r="AG308" i="9"/>
  <c r="AG307" i="9"/>
  <c r="AG306" i="9"/>
  <c r="AG305" i="9"/>
  <c r="AG304" i="9"/>
  <c r="AG303" i="9"/>
  <c r="AG302" i="9"/>
  <c r="AG301" i="9"/>
  <c r="AG300" i="9"/>
  <c r="AG299" i="9"/>
  <c r="AG298" i="9"/>
  <c r="AG297" i="9"/>
  <c r="AG296" i="9"/>
  <c r="AG295" i="9"/>
  <c r="AG294" i="9"/>
  <c r="AG293" i="9"/>
  <c r="AG292" i="9"/>
  <c r="AG291" i="9"/>
  <c r="AG290" i="9"/>
  <c r="AG289" i="9"/>
  <c r="AG288" i="9"/>
  <c r="AG287" i="9"/>
  <c r="AG286" i="9"/>
  <c r="AG285" i="9"/>
  <c r="AG284" i="9"/>
  <c r="AG283" i="9"/>
  <c r="AG282" i="9"/>
  <c r="AG281" i="9"/>
  <c r="AG280" i="9"/>
  <c r="AG279" i="9"/>
  <c r="AG278" i="9"/>
  <c r="AG277" i="9"/>
  <c r="AG276" i="9"/>
  <c r="AG275" i="9"/>
  <c r="AG274" i="9"/>
  <c r="AG273" i="9"/>
  <c r="AG272" i="9"/>
  <c r="AG271" i="9"/>
  <c r="AG270" i="9"/>
  <c r="AG269" i="9"/>
  <c r="AG268" i="9"/>
  <c r="AG267" i="9"/>
  <c r="AG266" i="9"/>
  <c r="AG265" i="9"/>
  <c r="AG264" i="9"/>
  <c r="AG263" i="9"/>
  <c r="AG262" i="9"/>
  <c r="AG261" i="9"/>
  <c r="AG260" i="9"/>
  <c r="AG259" i="9"/>
  <c r="AG258" i="9"/>
  <c r="AG257" i="9"/>
  <c r="AG256" i="9"/>
  <c r="AG255" i="9"/>
  <c r="AG254" i="9"/>
  <c r="AG253" i="9"/>
  <c r="AG252" i="9"/>
  <c r="AG251" i="9"/>
  <c r="AG250" i="9"/>
  <c r="AG249" i="9"/>
  <c r="AG248" i="9"/>
  <c r="AG247" i="9"/>
  <c r="AG246" i="9"/>
  <c r="AG245" i="9"/>
  <c r="AG244" i="9"/>
  <c r="AG243" i="9"/>
  <c r="AG242" i="9"/>
  <c r="AG241" i="9"/>
  <c r="AG240" i="9"/>
  <c r="AG239" i="9"/>
  <c r="AG238" i="9"/>
  <c r="AG237" i="9"/>
  <c r="AG236" i="9"/>
  <c r="AG235" i="9"/>
  <c r="AG234" i="9"/>
  <c r="AG233" i="9"/>
  <c r="AG232" i="9"/>
  <c r="AG231" i="9"/>
  <c r="AG230" i="9"/>
  <c r="AG229" i="9"/>
  <c r="AG228" i="9"/>
  <c r="AG227" i="9"/>
  <c r="AG226" i="9"/>
  <c r="AG225" i="9"/>
  <c r="AG224" i="9"/>
  <c r="AG223" i="9"/>
  <c r="AG222" i="9"/>
  <c r="AG221" i="9"/>
  <c r="AG220" i="9"/>
  <c r="AG219" i="9"/>
  <c r="AG218" i="9"/>
  <c r="AG217" i="9"/>
  <c r="AG216" i="9"/>
  <c r="AG215" i="9"/>
  <c r="AG214" i="9"/>
  <c r="AG213" i="9"/>
  <c r="AG212" i="9"/>
  <c r="AG211" i="9"/>
  <c r="AG210" i="9"/>
  <c r="AG209" i="9"/>
  <c r="AG208" i="9"/>
  <c r="AG207" i="9"/>
  <c r="AG206" i="9"/>
  <c r="AG205" i="9"/>
  <c r="AG204" i="9"/>
  <c r="AG203" i="9"/>
  <c r="AG202" i="9"/>
  <c r="AG201" i="9"/>
  <c r="AG200" i="9"/>
  <c r="AG199" i="9"/>
  <c r="AG198" i="9"/>
  <c r="AG197" i="9"/>
  <c r="AG196" i="9"/>
  <c r="AG195" i="9"/>
  <c r="AG194" i="9"/>
  <c r="AG193" i="9"/>
  <c r="AG192" i="9"/>
  <c r="AG191" i="9"/>
  <c r="AG190" i="9"/>
  <c r="AG189" i="9"/>
  <c r="AG188" i="9"/>
  <c r="AG187" i="9"/>
  <c r="C26" i="6"/>
  <c r="C25" i="6"/>
  <c r="C24" i="6"/>
  <c r="C23" i="6"/>
  <c r="C22" i="6"/>
  <c r="C21" i="6"/>
  <c r="C20" i="6"/>
  <c r="C19" i="6"/>
  <c r="C18" i="6"/>
  <c r="C17" i="6"/>
  <c r="C16" i="6"/>
  <c r="C15" i="6"/>
  <c r="C14" i="6"/>
  <c r="C13" i="6"/>
  <c r="B9" i="6"/>
  <c r="B8" i="6"/>
  <c r="B7" i="6"/>
  <c r="B6" i="6"/>
  <c r="B5" i="6"/>
  <c r="X349" i="3"/>
  <c r="V349" i="3"/>
  <c r="U349" i="3"/>
  <c r="T349" i="3"/>
  <c r="S349" i="3"/>
  <c r="W349" i="3" s="1"/>
  <c r="X348" i="3"/>
  <c r="V348" i="3"/>
  <c r="U348" i="3"/>
  <c r="T348" i="3"/>
  <c r="S348" i="3"/>
  <c r="W348" i="3" s="1"/>
  <c r="X347" i="3"/>
  <c r="V347" i="3"/>
  <c r="U347" i="3"/>
  <c r="T347" i="3"/>
  <c r="S347" i="3"/>
  <c r="W347" i="3" s="1"/>
  <c r="X346" i="3"/>
  <c r="V346" i="3"/>
  <c r="U346" i="3"/>
  <c r="T346" i="3"/>
  <c r="S346" i="3"/>
  <c r="W346" i="3" s="1"/>
  <c r="X345" i="3"/>
  <c r="V345" i="3"/>
  <c r="U345" i="3"/>
  <c r="T345" i="3"/>
  <c r="S345" i="3"/>
  <c r="W345" i="3" s="1"/>
  <c r="X344" i="3"/>
  <c r="V344" i="3"/>
  <c r="U344" i="3"/>
  <c r="T344" i="3"/>
  <c r="S344" i="3"/>
  <c r="W344" i="3" s="1"/>
  <c r="X343" i="3"/>
  <c r="V343" i="3"/>
  <c r="U343" i="3"/>
  <c r="T343" i="3"/>
  <c r="S343" i="3"/>
  <c r="W343" i="3" s="1"/>
  <c r="X342" i="3"/>
  <c r="V342" i="3"/>
  <c r="U342" i="3"/>
  <c r="T342" i="3"/>
  <c r="S342" i="3"/>
  <c r="W342" i="3" s="1"/>
  <c r="X341" i="3"/>
  <c r="V341" i="3"/>
  <c r="U341" i="3"/>
  <c r="T341" i="3"/>
  <c r="S341" i="3"/>
  <c r="W341" i="3" s="1"/>
  <c r="X340" i="3"/>
  <c r="V340" i="3"/>
  <c r="U340" i="3"/>
  <c r="T340" i="3"/>
  <c r="S340" i="3"/>
  <c r="W340" i="3" s="1"/>
  <c r="X339" i="3"/>
  <c r="V339" i="3"/>
  <c r="U339" i="3"/>
  <c r="T339" i="3"/>
  <c r="S339" i="3"/>
  <c r="W339" i="3" s="1"/>
  <c r="X338" i="3"/>
  <c r="V338" i="3"/>
  <c r="U338" i="3"/>
  <c r="T338" i="3"/>
  <c r="S338" i="3"/>
  <c r="W338" i="3" s="1"/>
  <c r="X337" i="3"/>
  <c r="V337" i="3"/>
  <c r="U337" i="3"/>
  <c r="T337" i="3"/>
  <c r="S337" i="3"/>
  <c r="W337" i="3" s="1"/>
  <c r="X336" i="3"/>
  <c r="V336" i="3"/>
  <c r="U336" i="3"/>
  <c r="T336" i="3"/>
  <c r="S336" i="3"/>
  <c r="W336" i="3" s="1"/>
  <c r="X335" i="3"/>
  <c r="V335" i="3"/>
  <c r="U335" i="3"/>
  <c r="T335" i="3"/>
  <c r="S335" i="3"/>
  <c r="W335" i="3" s="1"/>
  <c r="X334" i="3"/>
  <c r="V334" i="3"/>
  <c r="U334" i="3"/>
  <c r="T334" i="3"/>
  <c r="S334" i="3"/>
  <c r="W334" i="3" s="1"/>
  <c r="X333" i="3"/>
  <c r="V333" i="3"/>
  <c r="U333" i="3"/>
  <c r="T333" i="3"/>
  <c r="S333" i="3"/>
  <c r="X332" i="3"/>
  <c r="V332" i="3"/>
  <c r="U332" i="3"/>
  <c r="T332" i="3"/>
  <c r="S332" i="3"/>
  <c r="W332" i="3" s="1"/>
  <c r="X331" i="3"/>
  <c r="V331" i="3"/>
  <c r="U331" i="3"/>
  <c r="T331" i="3"/>
  <c r="S331" i="3"/>
  <c r="W331" i="3" s="1"/>
  <c r="X330" i="3"/>
  <c r="V330" i="3"/>
  <c r="U330" i="3"/>
  <c r="T330" i="3"/>
  <c r="S330" i="3"/>
  <c r="W330" i="3" s="1"/>
  <c r="X329" i="3"/>
  <c r="V329" i="3"/>
  <c r="U329" i="3"/>
  <c r="T329" i="3"/>
  <c r="S329" i="3"/>
  <c r="W329" i="3" s="1"/>
  <c r="X328" i="3"/>
  <c r="V328" i="3"/>
  <c r="U328" i="3"/>
  <c r="T328" i="3"/>
  <c r="S328" i="3"/>
  <c r="W328" i="3" s="1"/>
  <c r="X327" i="3"/>
  <c r="V327" i="3"/>
  <c r="U327" i="3"/>
  <c r="T327" i="3"/>
  <c r="S327" i="3"/>
  <c r="W327" i="3" s="1"/>
  <c r="X326" i="3"/>
  <c r="V326" i="3"/>
  <c r="U326" i="3"/>
  <c r="T326" i="3"/>
  <c r="S326" i="3"/>
  <c r="W326" i="3" s="1"/>
  <c r="X325" i="3"/>
  <c r="V325" i="3"/>
  <c r="U325" i="3"/>
  <c r="T325" i="3"/>
  <c r="S325" i="3"/>
  <c r="W325" i="3" s="1"/>
  <c r="X324" i="3"/>
  <c r="V324" i="3"/>
  <c r="U324" i="3"/>
  <c r="T324" i="3"/>
  <c r="S324" i="3"/>
  <c r="W324" i="3" s="1"/>
  <c r="X323" i="3"/>
  <c r="V323" i="3"/>
  <c r="U323" i="3"/>
  <c r="T323" i="3"/>
  <c r="S323" i="3"/>
  <c r="W323" i="3" s="1"/>
  <c r="X322" i="3"/>
  <c r="V322" i="3"/>
  <c r="U322" i="3"/>
  <c r="T322" i="3"/>
  <c r="S322" i="3"/>
  <c r="W322" i="3" s="1"/>
  <c r="X321" i="3"/>
  <c r="V321" i="3"/>
  <c r="U321" i="3"/>
  <c r="T321" i="3"/>
  <c r="S321" i="3"/>
  <c r="W321" i="3" s="1"/>
  <c r="X320" i="3"/>
  <c r="V320" i="3"/>
  <c r="U320" i="3"/>
  <c r="T320" i="3"/>
  <c r="S320" i="3"/>
  <c r="W320" i="3" s="1"/>
  <c r="X319" i="3"/>
  <c r="V319" i="3"/>
  <c r="U319" i="3"/>
  <c r="T319" i="3"/>
  <c r="S319" i="3"/>
  <c r="W319" i="3" s="1"/>
  <c r="X318" i="3"/>
  <c r="V318" i="3"/>
  <c r="U318" i="3"/>
  <c r="T318" i="3"/>
  <c r="S318" i="3"/>
  <c r="W318" i="3" s="1"/>
  <c r="X317" i="3"/>
  <c r="V317" i="3"/>
  <c r="U317" i="3"/>
  <c r="T317" i="3"/>
  <c r="S317" i="3"/>
  <c r="W317" i="3" s="1"/>
  <c r="X316" i="3"/>
  <c r="V316" i="3"/>
  <c r="U316" i="3"/>
  <c r="T316" i="3"/>
  <c r="S316" i="3"/>
  <c r="W316" i="3" s="1"/>
  <c r="X315" i="3"/>
  <c r="V315" i="3"/>
  <c r="U315" i="3"/>
  <c r="T315" i="3"/>
  <c r="S315" i="3"/>
  <c r="W315" i="3" s="1"/>
  <c r="X314" i="3"/>
  <c r="V314" i="3"/>
  <c r="U314" i="3"/>
  <c r="T314" i="3"/>
  <c r="S314" i="3"/>
  <c r="W314" i="3" s="1"/>
  <c r="X313" i="3"/>
  <c r="V313" i="3"/>
  <c r="U313" i="3"/>
  <c r="T313" i="3"/>
  <c r="S313" i="3"/>
  <c r="W313" i="3" s="1"/>
  <c r="X312" i="3"/>
  <c r="V312" i="3"/>
  <c r="U312" i="3"/>
  <c r="T312" i="3"/>
  <c r="S312" i="3"/>
  <c r="W312" i="3" s="1"/>
  <c r="X311" i="3"/>
  <c r="V311" i="3"/>
  <c r="U311" i="3"/>
  <c r="T311" i="3"/>
  <c r="S311" i="3"/>
  <c r="W311" i="3" s="1"/>
  <c r="X310" i="3"/>
  <c r="V310" i="3"/>
  <c r="U310" i="3"/>
  <c r="T310" i="3"/>
  <c r="S310" i="3"/>
  <c r="W310" i="3" s="1"/>
  <c r="X309" i="3"/>
  <c r="V309" i="3"/>
  <c r="U309" i="3"/>
  <c r="T309" i="3"/>
  <c r="S309" i="3"/>
  <c r="X308" i="3"/>
  <c r="V308" i="3"/>
  <c r="U308" i="3"/>
  <c r="T308" i="3"/>
  <c r="S308" i="3"/>
  <c r="W308" i="3" s="1"/>
  <c r="X307" i="3"/>
  <c r="V307" i="3"/>
  <c r="U307" i="3"/>
  <c r="T307" i="3"/>
  <c r="S307" i="3"/>
  <c r="W307" i="3" s="1"/>
  <c r="X306" i="3"/>
  <c r="V306" i="3"/>
  <c r="U306" i="3"/>
  <c r="T306" i="3"/>
  <c r="S306" i="3"/>
  <c r="W306" i="3" s="1"/>
  <c r="X305" i="3"/>
  <c r="V305" i="3"/>
  <c r="U305" i="3"/>
  <c r="T305" i="3"/>
  <c r="S305" i="3"/>
  <c r="W305" i="3" s="1"/>
  <c r="X304" i="3"/>
  <c r="V304" i="3"/>
  <c r="U304" i="3"/>
  <c r="T304" i="3"/>
  <c r="S304" i="3"/>
  <c r="W304" i="3" s="1"/>
  <c r="X303" i="3"/>
  <c r="V303" i="3"/>
  <c r="U303" i="3"/>
  <c r="T303" i="3"/>
  <c r="S303" i="3"/>
  <c r="W303" i="3" s="1"/>
  <c r="X302" i="3"/>
  <c r="V302" i="3"/>
  <c r="U302" i="3"/>
  <c r="T302" i="3"/>
  <c r="S302" i="3"/>
  <c r="W302" i="3" s="1"/>
  <c r="X301" i="3"/>
  <c r="V301" i="3"/>
  <c r="U301" i="3"/>
  <c r="T301" i="3"/>
  <c r="S301" i="3"/>
  <c r="W301" i="3" s="1"/>
  <c r="X300" i="3"/>
  <c r="V300" i="3"/>
  <c r="U300" i="3"/>
  <c r="T300" i="3"/>
  <c r="S300" i="3"/>
  <c r="W300" i="3" s="1"/>
  <c r="X299" i="3"/>
  <c r="V299" i="3"/>
  <c r="U299" i="3"/>
  <c r="T299" i="3"/>
  <c r="S299" i="3"/>
  <c r="W299" i="3" s="1"/>
  <c r="X298" i="3"/>
  <c r="V298" i="3"/>
  <c r="U298" i="3"/>
  <c r="T298" i="3"/>
  <c r="S298" i="3"/>
  <c r="W298" i="3" s="1"/>
  <c r="X297" i="3"/>
  <c r="V297" i="3"/>
  <c r="U297" i="3"/>
  <c r="T297" i="3"/>
  <c r="S297" i="3"/>
  <c r="W297" i="3" s="1"/>
  <c r="X296" i="3"/>
  <c r="V296" i="3"/>
  <c r="U296" i="3"/>
  <c r="T296" i="3"/>
  <c r="S296" i="3"/>
  <c r="W296" i="3" s="1"/>
  <c r="X295" i="3"/>
  <c r="V295" i="3"/>
  <c r="U295" i="3"/>
  <c r="T295" i="3"/>
  <c r="S295" i="3"/>
  <c r="W295" i="3" s="1"/>
  <c r="X294" i="3"/>
  <c r="V294" i="3"/>
  <c r="U294" i="3"/>
  <c r="T294" i="3"/>
  <c r="S294" i="3"/>
  <c r="W294" i="3" s="1"/>
  <c r="X293" i="3"/>
  <c r="V293" i="3"/>
  <c r="U293" i="3"/>
  <c r="T293" i="3"/>
  <c r="S293" i="3"/>
  <c r="W293" i="3" s="1"/>
  <c r="X292" i="3"/>
  <c r="V292" i="3"/>
  <c r="U292" i="3"/>
  <c r="T292" i="3"/>
  <c r="S292" i="3"/>
  <c r="W292" i="3" s="1"/>
  <c r="X291" i="3"/>
  <c r="V291" i="3"/>
  <c r="U291" i="3"/>
  <c r="T291" i="3"/>
  <c r="S291" i="3"/>
  <c r="W291" i="3" s="1"/>
  <c r="X290" i="3"/>
  <c r="V290" i="3"/>
  <c r="U290" i="3"/>
  <c r="T290" i="3"/>
  <c r="S290" i="3"/>
  <c r="W290" i="3" s="1"/>
  <c r="X289" i="3"/>
  <c r="V289" i="3"/>
  <c r="U289" i="3"/>
  <c r="T289" i="3"/>
  <c r="S289" i="3"/>
  <c r="W289" i="3" s="1"/>
  <c r="X288" i="3"/>
  <c r="V288" i="3"/>
  <c r="U288" i="3"/>
  <c r="T288" i="3"/>
  <c r="S288" i="3"/>
  <c r="W288" i="3" s="1"/>
  <c r="X287" i="3"/>
  <c r="V287" i="3"/>
  <c r="U287" i="3"/>
  <c r="T287" i="3"/>
  <c r="S287" i="3"/>
  <c r="W287" i="3" s="1"/>
  <c r="X286" i="3"/>
  <c r="V286" i="3"/>
  <c r="U286" i="3"/>
  <c r="T286" i="3"/>
  <c r="S286" i="3"/>
  <c r="W286" i="3" s="1"/>
  <c r="X285" i="3"/>
  <c r="V285" i="3"/>
  <c r="U285" i="3"/>
  <c r="T285" i="3"/>
  <c r="S285" i="3"/>
  <c r="W285" i="3" s="1"/>
  <c r="X284" i="3"/>
  <c r="V284" i="3"/>
  <c r="U284" i="3"/>
  <c r="T284" i="3"/>
  <c r="S284" i="3"/>
  <c r="W284" i="3" s="1"/>
  <c r="X283" i="3"/>
  <c r="V283" i="3"/>
  <c r="U283" i="3"/>
  <c r="T283" i="3"/>
  <c r="S283" i="3"/>
  <c r="W283" i="3" s="1"/>
  <c r="X282" i="3"/>
  <c r="V282" i="3"/>
  <c r="U282" i="3"/>
  <c r="T282" i="3"/>
  <c r="S282" i="3"/>
  <c r="W282" i="3" s="1"/>
  <c r="X281" i="3"/>
  <c r="V281" i="3"/>
  <c r="U281" i="3"/>
  <c r="T281" i="3"/>
  <c r="S281" i="3"/>
  <c r="W281" i="3" s="1"/>
  <c r="X280" i="3"/>
  <c r="V280" i="3"/>
  <c r="U280" i="3"/>
  <c r="T280" i="3"/>
  <c r="S280" i="3"/>
  <c r="W280" i="3" s="1"/>
  <c r="X279" i="3"/>
  <c r="V279" i="3"/>
  <c r="U279" i="3"/>
  <c r="T279" i="3"/>
  <c r="S279" i="3"/>
  <c r="W279" i="3" s="1"/>
  <c r="X278" i="3"/>
  <c r="V278" i="3"/>
  <c r="U278" i="3"/>
  <c r="T278" i="3"/>
  <c r="S278" i="3"/>
  <c r="W278" i="3" s="1"/>
  <c r="X277" i="3"/>
  <c r="V277" i="3"/>
  <c r="U277" i="3"/>
  <c r="T277" i="3"/>
  <c r="S277" i="3"/>
  <c r="W277" i="3" s="1"/>
  <c r="X276" i="3"/>
  <c r="V276" i="3"/>
  <c r="U276" i="3"/>
  <c r="T276" i="3"/>
  <c r="S276" i="3"/>
  <c r="W276" i="3" s="1"/>
  <c r="X275" i="3"/>
  <c r="V275" i="3"/>
  <c r="U275" i="3"/>
  <c r="T275" i="3"/>
  <c r="S275" i="3"/>
  <c r="W275" i="3" s="1"/>
  <c r="X274" i="3"/>
  <c r="V274" i="3"/>
  <c r="U274" i="3"/>
  <c r="T274" i="3"/>
  <c r="S274" i="3"/>
  <c r="W274" i="3" s="1"/>
  <c r="X273" i="3"/>
  <c r="V273" i="3"/>
  <c r="U273" i="3"/>
  <c r="T273" i="3"/>
  <c r="S273" i="3"/>
  <c r="W273" i="3" s="1"/>
  <c r="X272" i="3"/>
  <c r="V272" i="3"/>
  <c r="U272" i="3"/>
  <c r="T272" i="3"/>
  <c r="S272" i="3"/>
  <c r="W272" i="3" s="1"/>
  <c r="X271" i="3"/>
  <c r="V271" i="3"/>
  <c r="U271" i="3"/>
  <c r="T271" i="3"/>
  <c r="S271" i="3"/>
  <c r="W271" i="3" s="1"/>
  <c r="X270" i="3"/>
  <c r="V270" i="3"/>
  <c r="U270" i="3"/>
  <c r="T270" i="3"/>
  <c r="S270" i="3"/>
  <c r="W270" i="3" s="1"/>
  <c r="X269" i="3"/>
  <c r="V269" i="3"/>
  <c r="U269" i="3"/>
  <c r="T269" i="3"/>
  <c r="S269" i="3"/>
  <c r="W269" i="3" s="1"/>
  <c r="X268" i="3"/>
  <c r="V268" i="3"/>
  <c r="U268" i="3"/>
  <c r="T268" i="3"/>
  <c r="S268" i="3"/>
  <c r="W268" i="3" s="1"/>
  <c r="X267" i="3"/>
  <c r="V267" i="3"/>
  <c r="U267" i="3"/>
  <c r="T267" i="3"/>
  <c r="S267" i="3"/>
  <c r="W267" i="3" s="1"/>
  <c r="X266" i="3"/>
  <c r="V266" i="3"/>
  <c r="U266" i="3"/>
  <c r="T266" i="3"/>
  <c r="S266" i="3"/>
  <c r="W266" i="3" s="1"/>
  <c r="X265" i="3"/>
  <c r="V265" i="3"/>
  <c r="U265" i="3"/>
  <c r="T265" i="3"/>
  <c r="S265" i="3"/>
  <c r="W265" i="3" s="1"/>
  <c r="X264" i="3"/>
  <c r="V264" i="3"/>
  <c r="U264" i="3"/>
  <c r="T264" i="3"/>
  <c r="S264" i="3"/>
  <c r="W264" i="3" s="1"/>
  <c r="X263" i="3"/>
  <c r="V263" i="3"/>
  <c r="U263" i="3"/>
  <c r="T263" i="3"/>
  <c r="S263" i="3"/>
  <c r="W263" i="3" s="1"/>
  <c r="X262" i="3"/>
  <c r="V262" i="3"/>
  <c r="U262" i="3"/>
  <c r="T262" i="3"/>
  <c r="S262" i="3"/>
  <c r="W262" i="3" s="1"/>
  <c r="X261" i="3"/>
  <c r="V261" i="3"/>
  <c r="U261" i="3"/>
  <c r="T261" i="3"/>
  <c r="S261" i="3"/>
  <c r="W261" i="3" s="1"/>
  <c r="X260" i="3"/>
  <c r="V260" i="3"/>
  <c r="U260" i="3"/>
  <c r="T260" i="3"/>
  <c r="S260" i="3"/>
  <c r="W260" i="3" s="1"/>
  <c r="X259" i="3"/>
  <c r="V259" i="3"/>
  <c r="U259" i="3"/>
  <c r="T259" i="3"/>
  <c r="S259" i="3"/>
  <c r="W259" i="3" s="1"/>
  <c r="X258" i="3"/>
  <c r="V258" i="3"/>
  <c r="U258" i="3"/>
  <c r="T258" i="3"/>
  <c r="S258" i="3"/>
  <c r="W258" i="3" s="1"/>
  <c r="X257" i="3"/>
  <c r="V257" i="3"/>
  <c r="U257" i="3"/>
  <c r="T257" i="3"/>
  <c r="S257" i="3"/>
  <c r="W257" i="3" s="1"/>
  <c r="X256" i="3"/>
  <c r="V256" i="3"/>
  <c r="U256" i="3"/>
  <c r="T256" i="3"/>
  <c r="S256" i="3"/>
  <c r="W256" i="3" s="1"/>
  <c r="X255" i="3"/>
  <c r="V255" i="3"/>
  <c r="U255" i="3"/>
  <c r="T255" i="3"/>
  <c r="S255" i="3"/>
  <c r="W255" i="3" s="1"/>
  <c r="X254" i="3"/>
  <c r="V254" i="3"/>
  <c r="U254" i="3"/>
  <c r="T254" i="3"/>
  <c r="S254" i="3"/>
  <c r="W254" i="3" s="1"/>
  <c r="X253" i="3"/>
  <c r="V253" i="3"/>
  <c r="U253" i="3"/>
  <c r="T253" i="3"/>
  <c r="S253" i="3"/>
  <c r="W253" i="3" s="1"/>
  <c r="X252" i="3"/>
  <c r="V252" i="3"/>
  <c r="U252" i="3"/>
  <c r="T252" i="3"/>
  <c r="S252" i="3"/>
  <c r="W252" i="3" s="1"/>
  <c r="X251" i="3"/>
  <c r="V251" i="3"/>
  <c r="U251" i="3"/>
  <c r="T251" i="3"/>
  <c r="S251" i="3"/>
  <c r="W251" i="3" s="1"/>
  <c r="X250" i="3"/>
  <c r="V250" i="3"/>
  <c r="U250" i="3"/>
  <c r="T250" i="3"/>
  <c r="S250" i="3"/>
  <c r="W250" i="3" s="1"/>
  <c r="X249" i="3"/>
  <c r="V249" i="3"/>
  <c r="U249" i="3"/>
  <c r="T249" i="3"/>
  <c r="S249" i="3"/>
  <c r="W249" i="3" s="1"/>
  <c r="X248" i="3"/>
  <c r="V248" i="3"/>
  <c r="U248" i="3"/>
  <c r="T248" i="3"/>
  <c r="S248" i="3"/>
  <c r="W248" i="3" s="1"/>
  <c r="X247" i="3"/>
  <c r="V247" i="3"/>
  <c r="U247" i="3"/>
  <c r="T247" i="3"/>
  <c r="S247" i="3"/>
  <c r="W247" i="3" s="1"/>
  <c r="X246" i="3"/>
  <c r="V246" i="3"/>
  <c r="U246" i="3"/>
  <c r="T246" i="3"/>
  <c r="S246" i="3"/>
  <c r="W246" i="3" s="1"/>
  <c r="X245" i="3"/>
  <c r="V245" i="3"/>
  <c r="U245" i="3"/>
  <c r="T245" i="3"/>
  <c r="S245" i="3"/>
  <c r="W245" i="3" s="1"/>
  <c r="X244" i="3"/>
  <c r="V244" i="3"/>
  <c r="U244" i="3"/>
  <c r="T244" i="3"/>
  <c r="S244" i="3"/>
  <c r="W244" i="3" s="1"/>
  <c r="X243" i="3"/>
  <c r="V243" i="3"/>
  <c r="U243" i="3"/>
  <c r="T243" i="3"/>
  <c r="S243" i="3"/>
  <c r="W243" i="3" s="1"/>
  <c r="X242" i="3"/>
  <c r="V242" i="3"/>
  <c r="U242" i="3"/>
  <c r="T242" i="3"/>
  <c r="S242" i="3"/>
  <c r="W242" i="3" s="1"/>
  <c r="X241" i="3"/>
  <c r="V241" i="3"/>
  <c r="U241" i="3"/>
  <c r="T241" i="3"/>
  <c r="S241" i="3"/>
  <c r="W241" i="3" s="1"/>
  <c r="X240" i="3"/>
  <c r="V240" i="3"/>
  <c r="U240" i="3"/>
  <c r="T240" i="3"/>
  <c r="S240" i="3"/>
  <c r="W240" i="3" s="1"/>
  <c r="X239" i="3"/>
  <c r="V239" i="3"/>
  <c r="U239" i="3"/>
  <c r="T239" i="3"/>
  <c r="S239" i="3"/>
  <c r="W239" i="3" s="1"/>
  <c r="X238" i="3"/>
  <c r="V238" i="3"/>
  <c r="U238" i="3"/>
  <c r="T238" i="3"/>
  <c r="S238" i="3"/>
  <c r="W238" i="3" s="1"/>
  <c r="X237" i="3"/>
  <c r="V237" i="3"/>
  <c r="U237" i="3"/>
  <c r="T237" i="3"/>
  <c r="S237" i="3"/>
  <c r="W237" i="3" s="1"/>
  <c r="X236" i="3"/>
  <c r="V236" i="3"/>
  <c r="U236" i="3"/>
  <c r="T236" i="3"/>
  <c r="S236" i="3"/>
  <c r="W236" i="3" s="1"/>
  <c r="X235" i="3"/>
  <c r="V235" i="3"/>
  <c r="U235" i="3"/>
  <c r="T235" i="3"/>
  <c r="S235" i="3"/>
  <c r="W235" i="3" s="1"/>
  <c r="X234" i="3"/>
  <c r="V234" i="3"/>
  <c r="U234" i="3"/>
  <c r="T234" i="3"/>
  <c r="S234" i="3"/>
  <c r="W234" i="3" s="1"/>
  <c r="X233" i="3"/>
  <c r="V233" i="3"/>
  <c r="U233" i="3"/>
  <c r="T233" i="3"/>
  <c r="S233" i="3"/>
  <c r="W233" i="3" s="1"/>
  <c r="X232" i="3"/>
  <c r="V232" i="3"/>
  <c r="U232" i="3"/>
  <c r="T232" i="3"/>
  <c r="S232" i="3"/>
  <c r="W232" i="3" s="1"/>
  <c r="X231" i="3"/>
  <c r="V231" i="3"/>
  <c r="U231" i="3"/>
  <c r="T231" i="3"/>
  <c r="S231" i="3"/>
  <c r="X230" i="3"/>
  <c r="V230" i="3"/>
  <c r="U230" i="3"/>
  <c r="T230" i="3"/>
  <c r="S230" i="3"/>
  <c r="W230" i="3" s="1"/>
  <c r="X229" i="3"/>
  <c r="V229" i="3"/>
  <c r="U229" i="3"/>
  <c r="T229" i="3"/>
  <c r="S229" i="3"/>
  <c r="X228" i="3"/>
  <c r="V228" i="3"/>
  <c r="U228" i="3"/>
  <c r="T228" i="3"/>
  <c r="S228" i="3"/>
  <c r="W228" i="3" s="1"/>
  <c r="X227" i="3"/>
  <c r="V227" i="3"/>
  <c r="U227" i="3"/>
  <c r="T227" i="3"/>
  <c r="S227" i="3"/>
  <c r="X226" i="3"/>
  <c r="V226" i="3"/>
  <c r="U226" i="3"/>
  <c r="T226" i="3"/>
  <c r="S226" i="3"/>
  <c r="W226" i="3" s="1"/>
  <c r="X225" i="3"/>
  <c r="V225" i="3"/>
  <c r="U225" i="3"/>
  <c r="T225" i="3"/>
  <c r="S225" i="3"/>
  <c r="W225" i="3" s="1"/>
  <c r="X224" i="3"/>
  <c r="V224" i="3"/>
  <c r="U224" i="3"/>
  <c r="T224" i="3"/>
  <c r="S224" i="3"/>
  <c r="W224" i="3" s="1"/>
  <c r="X223" i="3"/>
  <c r="V223" i="3"/>
  <c r="U223" i="3"/>
  <c r="T223" i="3"/>
  <c r="S223" i="3"/>
  <c r="W223" i="3" s="1"/>
  <c r="X222" i="3"/>
  <c r="V222" i="3"/>
  <c r="U222" i="3"/>
  <c r="T222" i="3"/>
  <c r="S222" i="3"/>
  <c r="W222" i="3" s="1"/>
  <c r="X221" i="3"/>
  <c r="V221" i="3"/>
  <c r="U221" i="3"/>
  <c r="T221" i="3"/>
  <c r="S221" i="3"/>
  <c r="W221" i="3" s="1"/>
  <c r="X220" i="3"/>
  <c r="V220" i="3"/>
  <c r="U220" i="3"/>
  <c r="T220" i="3"/>
  <c r="S220" i="3"/>
  <c r="W220" i="3" s="1"/>
  <c r="X219" i="3"/>
  <c r="V219" i="3"/>
  <c r="U219" i="3"/>
  <c r="T219" i="3"/>
  <c r="S219" i="3"/>
  <c r="W219" i="3" s="1"/>
  <c r="X218" i="3"/>
  <c r="V218" i="3"/>
  <c r="U218" i="3"/>
  <c r="T218" i="3"/>
  <c r="S218" i="3"/>
  <c r="W218" i="3" s="1"/>
  <c r="X217" i="3"/>
  <c r="V217" i="3"/>
  <c r="U217" i="3"/>
  <c r="T217" i="3"/>
  <c r="S217" i="3"/>
  <c r="W217" i="3" s="1"/>
  <c r="X216" i="3"/>
  <c r="V216" i="3"/>
  <c r="U216" i="3"/>
  <c r="T216" i="3"/>
  <c r="S216" i="3"/>
  <c r="W216" i="3" s="1"/>
  <c r="X215" i="3"/>
  <c r="V215" i="3"/>
  <c r="U215" i="3"/>
  <c r="T215" i="3"/>
  <c r="S215" i="3"/>
  <c r="W215" i="3" s="1"/>
  <c r="X214" i="3"/>
  <c r="V214" i="3"/>
  <c r="U214" i="3"/>
  <c r="T214" i="3"/>
  <c r="S214" i="3"/>
  <c r="W214" i="3" s="1"/>
  <c r="X213" i="3"/>
  <c r="V213" i="3"/>
  <c r="U213" i="3"/>
  <c r="T213" i="3"/>
  <c r="S213" i="3"/>
  <c r="W213" i="3" s="1"/>
  <c r="X212" i="3"/>
  <c r="V212" i="3"/>
  <c r="U212" i="3"/>
  <c r="T212" i="3"/>
  <c r="S212" i="3"/>
  <c r="W212" i="3" s="1"/>
  <c r="X211" i="3"/>
  <c r="V211" i="3"/>
  <c r="U211" i="3"/>
  <c r="T211" i="3"/>
  <c r="S211" i="3"/>
  <c r="W211" i="3" s="1"/>
  <c r="X210" i="3"/>
  <c r="V210" i="3"/>
  <c r="U210" i="3"/>
  <c r="T210" i="3"/>
  <c r="S210" i="3"/>
  <c r="W210" i="3" s="1"/>
  <c r="X209" i="3"/>
  <c r="V209" i="3"/>
  <c r="U209" i="3"/>
  <c r="T209" i="3"/>
  <c r="S209" i="3"/>
  <c r="W209" i="3" s="1"/>
  <c r="X208" i="3"/>
  <c r="V208" i="3"/>
  <c r="U208" i="3"/>
  <c r="T208" i="3"/>
  <c r="S208" i="3"/>
  <c r="W208" i="3" s="1"/>
  <c r="X207" i="3"/>
  <c r="V207" i="3"/>
  <c r="U207" i="3"/>
  <c r="T207" i="3"/>
  <c r="S207" i="3"/>
  <c r="W207" i="3" s="1"/>
  <c r="X206" i="3"/>
  <c r="V206" i="3"/>
  <c r="U206" i="3"/>
  <c r="T206" i="3"/>
  <c r="S206" i="3"/>
  <c r="W206" i="3" s="1"/>
  <c r="X205" i="3"/>
  <c r="V205" i="3"/>
  <c r="U205" i="3"/>
  <c r="T205" i="3"/>
  <c r="S205" i="3"/>
  <c r="W205" i="3" s="1"/>
  <c r="X203" i="3"/>
  <c r="V203" i="3"/>
  <c r="U203" i="3"/>
  <c r="T203" i="3"/>
  <c r="S203" i="3"/>
  <c r="W203" i="3" s="1"/>
  <c r="X204" i="3"/>
  <c r="V204" i="3"/>
  <c r="U204" i="3"/>
  <c r="T204" i="3"/>
  <c r="S204" i="3"/>
  <c r="W204" i="3" s="1"/>
  <c r="AI351" i="9"/>
  <c r="AG351" i="9"/>
  <c r="AH351" i="9" s="1"/>
  <c r="AI350" i="9"/>
  <c r="AG350" i="9"/>
  <c r="AH350" i="9" s="1"/>
  <c r="AI349" i="9"/>
  <c r="AG349" i="9"/>
  <c r="AH349" i="9" s="1"/>
  <c r="AI344" i="9"/>
  <c r="AG344" i="9"/>
  <c r="AH344" i="9" s="1"/>
  <c r="AI343" i="9"/>
  <c r="AG343" i="9"/>
  <c r="AH343" i="9" s="1"/>
  <c r="AI342" i="9"/>
  <c r="AI341" i="9"/>
  <c r="AI340" i="9"/>
  <c r="AI339" i="9"/>
  <c r="AI338" i="9"/>
  <c r="AI337" i="9"/>
  <c r="AI336" i="9"/>
  <c r="AI335" i="9"/>
  <c r="AI334" i="9"/>
  <c r="AI333" i="9"/>
  <c r="AI186" i="9"/>
  <c r="AG186" i="9"/>
  <c r="AH186" i="9" s="1"/>
  <c r="AI185" i="9"/>
  <c r="AG185" i="9"/>
  <c r="AH185" i="9" s="1"/>
  <c r="AI184" i="9"/>
  <c r="AG184" i="9"/>
  <c r="AH184" i="9" s="1"/>
  <c r="AI183" i="9"/>
  <c r="AG183" i="9"/>
  <c r="AH183" i="9" s="1"/>
  <c r="AI182" i="9"/>
  <c r="AG182" i="9"/>
  <c r="AH182" i="9" s="1"/>
  <c r="AI181" i="9"/>
  <c r="AG181" i="9"/>
  <c r="AH181" i="9" s="1"/>
  <c r="AI180" i="9"/>
  <c r="AG180" i="9"/>
  <c r="AH180" i="9" s="1"/>
  <c r="AI179" i="9"/>
  <c r="AG179" i="9"/>
  <c r="AH179" i="9" s="1"/>
  <c r="AI178" i="9"/>
  <c r="AG178" i="9"/>
  <c r="AH178" i="9" s="1"/>
  <c r="AI177" i="9"/>
  <c r="AG177" i="9"/>
  <c r="AH177" i="9" s="1"/>
  <c r="AI176" i="9"/>
  <c r="AG176" i="9"/>
  <c r="AH176" i="9" s="1"/>
  <c r="AI175" i="9"/>
  <c r="AG175" i="9"/>
  <c r="AH175" i="9" s="1"/>
  <c r="AI174" i="9"/>
  <c r="AG174" i="9"/>
  <c r="AH174" i="9" s="1"/>
  <c r="AI173" i="9"/>
  <c r="AG173" i="9"/>
  <c r="AH173" i="9" s="1"/>
  <c r="AI172" i="9"/>
  <c r="AG172" i="9"/>
  <c r="AH172" i="9" s="1"/>
  <c r="AI171" i="9"/>
  <c r="AG171" i="9"/>
  <c r="AH171" i="9" s="1"/>
  <c r="AI170" i="9"/>
  <c r="AG170" i="9"/>
  <c r="AH170" i="9" s="1"/>
  <c r="AI169" i="9"/>
  <c r="AG169" i="9"/>
  <c r="AH169" i="9" s="1"/>
  <c r="AI168" i="9"/>
  <c r="AG168" i="9"/>
  <c r="AH168" i="9" s="1"/>
  <c r="AI167" i="9"/>
  <c r="AG167" i="9"/>
  <c r="AH167" i="9" s="1"/>
  <c r="AI166" i="9"/>
  <c r="AG166" i="9"/>
  <c r="AH166" i="9" s="1"/>
  <c r="AI165" i="9"/>
  <c r="AG165" i="9"/>
  <c r="AH165" i="9" s="1"/>
  <c r="AI164" i="9"/>
  <c r="AG164" i="9"/>
  <c r="AH164" i="9" s="1"/>
  <c r="AI163" i="9"/>
  <c r="AG163" i="9"/>
  <c r="AH163" i="9" s="1"/>
  <c r="AI162" i="9"/>
  <c r="AG162" i="9"/>
  <c r="AH162" i="9" s="1"/>
  <c r="AI161" i="9"/>
  <c r="AG161" i="9"/>
  <c r="AH161" i="9" s="1"/>
  <c r="AI160" i="9"/>
  <c r="AG160" i="9"/>
  <c r="AH160" i="9" s="1"/>
  <c r="AI159" i="9"/>
  <c r="AG159" i="9"/>
  <c r="AH159" i="9" s="1"/>
  <c r="AI158" i="9"/>
  <c r="AG158" i="9"/>
  <c r="AH158" i="9" s="1"/>
  <c r="AI157" i="9"/>
  <c r="AG157" i="9"/>
  <c r="AH157" i="9" s="1"/>
  <c r="AI156" i="9"/>
  <c r="AG156" i="9"/>
  <c r="AH156" i="9" s="1"/>
  <c r="AI155" i="9"/>
  <c r="AG155" i="9"/>
  <c r="AH155" i="9" s="1"/>
  <c r="AI154" i="9"/>
  <c r="AG154" i="9"/>
  <c r="AH154" i="9" s="1"/>
  <c r="AI153" i="9"/>
  <c r="AG153" i="9"/>
  <c r="AH153" i="9" s="1"/>
  <c r="AI152" i="9"/>
  <c r="AG152" i="9"/>
  <c r="AH152" i="9" s="1"/>
  <c r="AI151" i="9"/>
  <c r="AG151" i="9"/>
  <c r="AH151" i="9" s="1"/>
  <c r="AI150" i="9"/>
  <c r="AG150" i="9"/>
  <c r="AH150" i="9" s="1"/>
  <c r="AI149" i="9"/>
  <c r="AG149" i="9"/>
  <c r="AH149" i="9" s="1"/>
  <c r="AI148" i="9"/>
  <c r="AG148" i="9"/>
  <c r="AH148" i="9" s="1"/>
  <c r="AI147" i="9"/>
  <c r="AG147" i="9"/>
  <c r="AH147" i="9" s="1"/>
  <c r="AI146" i="9"/>
  <c r="AG146" i="9"/>
  <c r="AH146" i="9" s="1"/>
  <c r="AI145" i="9"/>
  <c r="AG145" i="9"/>
  <c r="AH145" i="9" s="1"/>
  <c r="AI144" i="9"/>
  <c r="AG144" i="9"/>
  <c r="AH144" i="9" s="1"/>
  <c r="AI143" i="9"/>
  <c r="AG143" i="9"/>
  <c r="AH143" i="9" s="1"/>
  <c r="AI142" i="9"/>
  <c r="AG142" i="9"/>
  <c r="AH142" i="9" s="1"/>
  <c r="AI141" i="9"/>
  <c r="AG141" i="9"/>
  <c r="AH141" i="9" s="1"/>
  <c r="AI140" i="9"/>
  <c r="AG140" i="9"/>
  <c r="AH140" i="9" s="1"/>
  <c r="AI139" i="9"/>
  <c r="AG139" i="9"/>
  <c r="AH139" i="9" s="1"/>
  <c r="AI138" i="9"/>
  <c r="AG138" i="9"/>
  <c r="AH138" i="9" s="1"/>
  <c r="AI137" i="9"/>
  <c r="AG137" i="9"/>
  <c r="AH137" i="9" s="1"/>
  <c r="AI136" i="9"/>
  <c r="AG136" i="9"/>
  <c r="AH136" i="9" s="1"/>
  <c r="AI135" i="9"/>
  <c r="AG135" i="9"/>
  <c r="AH135" i="9" s="1"/>
  <c r="AI134" i="9"/>
  <c r="AG134" i="9"/>
  <c r="AH134" i="9" s="1"/>
  <c r="AI133" i="9"/>
  <c r="AG133" i="9"/>
  <c r="AH133" i="9" s="1"/>
  <c r="AI132" i="9"/>
  <c r="AG132" i="9"/>
  <c r="AH132" i="9" s="1"/>
  <c r="AI131" i="9"/>
  <c r="AG131" i="9"/>
  <c r="AH131" i="9" s="1"/>
  <c r="AI130" i="9"/>
  <c r="AG130" i="9"/>
  <c r="AH130" i="9" s="1"/>
  <c r="AI129" i="9"/>
  <c r="AG129" i="9"/>
  <c r="AH129" i="9" s="1"/>
  <c r="AI128" i="9"/>
  <c r="AG128" i="9"/>
  <c r="AH128" i="9" s="1"/>
  <c r="AI127" i="9"/>
  <c r="AG127" i="9"/>
  <c r="AH127" i="9" s="1"/>
  <c r="AI126" i="9"/>
  <c r="AG126" i="9"/>
  <c r="AH126" i="9" s="1"/>
  <c r="AI125" i="9"/>
  <c r="AG125" i="9"/>
  <c r="AH125" i="9" s="1"/>
  <c r="AI124" i="9"/>
  <c r="AG124" i="9"/>
  <c r="AH124" i="9" s="1"/>
  <c r="AI123" i="9"/>
  <c r="AG123" i="9"/>
  <c r="AH123" i="9" s="1"/>
  <c r="AI122" i="9"/>
  <c r="AG122" i="9"/>
  <c r="AH122" i="9" s="1"/>
  <c r="AI121" i="9"/>
  <c r="AG121" i="9"/>
  <c r="AH121" i="9" s="1"/>
  <c r="AI120" i="9"/>
  <c r="AG120" i="9"/>
  <c r="AH120" i="9" s="1"/>
  <c r="AI119" i="9"/>
  <c r="AG119" i="9"/>
  <c r="AH119" i="9" s="1"/>
  <c r="AI118" i="9"/>
  <c r="AG118" i="9"/>
  <c r="AH118" i="9" s="1"/>
  <c r="AI117" i="9"/>
  <c r="AG117" i="9"/>
  <c r="AH117" i="9" s="1"/>
  <c r="AI116" i="9"/>
  <c r="AG116" i="9"/>
  <c r="AH116" i="9" s="1"/>
  <c r="AI115" i="9"/>
  <c r="AG115" i="9"/>
  <c r="AH115" i="9" s="1"/>
  <c r="AI114" i="9"/>
  <c r="AG114" i="9"/>
  <c r="AH114" i="9" s="1"/>
  <c r="AI113" i="9"/>
  <c r="AG113" i="9"/>
  <c r="AH113" i="9" s="1"/>
  <c r="AI112" i="9"/>
  <c r="AG112" i="9"/>
  <c r="AH112" i="9" s="1"/>
  <c r="AI111" i="9"/>
  <c r="AG111" i="9"/>
  <c r="AH111" i="9" s="1"/>
  <c r="AI110" i="9"/>
  <c r="AG110" i="9"/>
  <c r="AH110" i="9" s="1"/>
  <c r="AI109" i="9"/>
  <c r="AG109" i="9"/>
  <c r="AH109" i="9" s="1"/>
  <c r="AI108" i="9"/>
  <c r="AG108" i="9"/>
  <c r="AH108" i="9" s="1"/>
  <c r="AI107" i="9"/>
  <c r="AG107" i="9"/>
  <c r="AH107" i="9" s="1"/>
  <c r="AI106" i="9"/>
  <c r="AG106" i="9"/>
  <c r="AH106" i="9" s="1"/>
  <c r="AI105" i="9"/>
  <c r="AG105" i="9"/>
  <c r="AH105" i="9" s="1"/>
  <c r="AI104" i="9"/>
  <c r="AG104" i="9"/>
  <c r="AH104" i="9" s="1"/>
  <c r="AI103" i="9"/>
  <c r="AG103" i="9"/>
  <c r="AH103" i="9" s="1"/>
  <c r="AI102" i="9"/>
  <c r="AG102" i="9"/>
  <c r="AH102" i="9" s="1"/>
  <c r="AI101" i="9"/>
  <c r="AG101" i="9"/>
  <c r="AH101" i="9" s="1"/>
  <c r="AI100" i="9"/>
  <c r="AG100" i="9"/>
  <c r="AH100" i="9" s="1"/>
  <c r="AI99" i="9"/>
  <c r="AG99" i="9"/>
  <c r="AH99" i="9" s="1"/>
  <c r="AI98" i="9"/>
  <c r="AG98" i="9"/>
  <c r="AH98" i="9" s="1"/>
  <c r="AI97" i="9"/>
  <c r="AG97" i="9"/>
  <c r="AH97" i="9" s="1"/>
  <c r="AI96" i="9"/>
  <c r="AG96" i="9"/>
  <c r="AH96" i="9" s="1"/>
  <c r="AI95" i="9"/>
  <c r="AG95" i="9"/>
  <c r="AH95" i="9" s="1"/>
  <c r="AI94" i="9"/>
  <c r="AG94" i="9"/>
  <c r="AH94" i="9" s="1"/>
  <c r="AI93" i="9"/>
  <c r="AG93" i="9"/>
  <c r="AH93" i="9" s="1"/>
  <c r="AI92" i="9"/>
  <c r="AG92" i="9"/>
  <c r="AH92" i="9" s="1"/>
  <c r="AI91" i="9"/>
  <c r="AG91" i="9"/>
  <c r="AH91" i="9" s="1"/>
  <c r="AI90" i="9"/>
  <c r="AG90" i="9"/>
  <c r="AH90" i="9" s="1"/>
  <c r="AI89" i="9"/>
  <c r="AG89" i="9"/>
  <c r="AH89" i="9" s="1"/>
  <c r="AI88" i="9"/>
  <c r="AG88" i="9"/>
  <c r="AH88" i="9" s="1"/>
  <c r="AI87" i="9"/>
  <c r="AG87" i="9"/>
  <c r="AH87" i="9" s="1"/>
  <c r="AI86" i="9"/>
  <c r="AG86" i="9"/>
  <c r="AH86" i="9" s="1"/>
  <c r="AI85" i="9"/>
  <c r="AG85" i="9"/>
  <c r="AH85" i="9" s="1"/>
  <c r="AI84" i="9"/>
  <c r="AG84" i="9"/>
  <c r="AH84" i="9" s="1"/>
  <c r="AI83" i="9"/>
  <c r="AG83" i="9"/>
  <c r="AH83" i="9" s="1"/>
  <c r="AI82" i="9"/>
  <c r="AG82" i="9"/>
  <c r="AH82" i="9" s="1"/>
  <c r="AI81" i="9"/>
  <c r="AG81" i="9"/>
  <c r="AH81" i="9" s="1"/>
  <c r="AI80" i="9"/>
  <c r="AG80" i="9"/>
  <c r="AH80" i="9" s="1"/>
  <c r="AI79" i="9"/>
  <c r="AG79" i="9"/>
  <c r="AH79" i="9" s="1"/>
  <c r="AI78" i="9"/>
  <c r="AG78" i="9"/>
  <c r="AH78" i="9" s="1"/>
  <c r="AI77" i="9"/>
  <c r="AG77" i="9"/>
  <c r="AH77" i="9" s="1"/>
  <c r="AI76" i="9"/>
  <c r="AG76" i="9"/>
  <c r="AH76" i="9" s="1"/>
  <c r="AI75" i="9"/>
  <c r="AG75" i="9"/>
  <c r="AH75" i="9" s="1"/>
  <c r="AI74" i="9"/>
  <c r="AG74" i="9"/>
  <c r="AH74" i="9" s="1"/>
  <c r="AI73" i="9"/>
  <c r="AG73" i="9"/>
  <c r="AH73" i="9" s="1"/>
  <c r="AI72" i="9"/>
  <c r="AG72" i="9"/>
  <c r="AH72" i="9" s="1"/>
  <c r="AI71" i="9"/>
  <c r="AG71" i="9"/>
  <c r="AH71" i="9" s="1"/>
  <c r="AI70" i="9"/>
  <c r="AG70" i="9"/>
  <c r="AH70" i="9" s="1"/>
  <c r="AI69" i="9"/>
  <c r="AG69" i="9"/>
  <c r="AH69" i="9" s="1"/>
  <c r="AI68" i="9"/>
  <c r="AG68" i="9"/>
  <c r="AH68" i="9" s="1"/>
  <c r="AI67" i="9"/>
  <c r="AG67" i="9"/>
  <c r="AH67" i="9" s="1"/>
  <c r="AI66" i="9"/>
  <c r="AG66" i="9"/>
  <c r="AH66" i="9" s="1"/>
  <c r="AI65" i="9"/>
  <c r="AG65" i="9"/>
  <c r="AH65" i="9" s="1"/>
  <c r="AI64" i="9"/>
  <c r="AG64" i="9"/>
  <c r="AH64" i="9" s="1"/>
  <c r="AI63" i="9"/>
  <c r="AG63" i="9"/>
  <c r="AH63" i="9" s="1"/>
  <c r="AI62" i="9"/>
  <c r="AG62" i="9"/>
  <c r="AH62" i="9" s="1"/>
  <c r="AI61" i="9"/>
  <c r="AG61" i="9"/>
  <c r="AH61" i="9" s="1"/>
  <c r="AI60" i="9"/>
  <c r="AG60" i="9"/>
  <c r="AH60" i="9" s="1"/>
  <c r="AI59" i="9"/>
  <c r="AG59" i="9"/>
  <c r="AH59" i="9" s="1"/>
  <c r="AI58" i="9"/>
  <c r="AG58" i="9"/>
  <c r="AH58" i="9" s="1"/>
  <c r="AI57" i="9"/>
  <c r="AG57" i="9"/>
  <c r="AH57" i="9" s="1"/>
  <c r="AI56" i="9"/>
  <c r="AG56" i="9"/>
  <c r="AH56" i="9" s="1"/>
  <c r="AI55" i="9"/>
  <c r="AG55" i="9"/>
  <c r="AH55" i="9" s="1"/>
  <c r="AI54" i="9"/>
  <c r="AG54" i="9"/>
  <c r="AH54" i="9" s="1"/>
  <c r="AI53" i="9"/>
  <c r="AG53" i="9"/>
  <c r="AH53" i="9" s="1"/>
  <c r="AI52" i="9"/>
  <c r="AG52" i="9"/>
  <c r="AH52" i="9" s="1"/>
  <c r="AI51" i="9"/>
  <c r="AG51" i="9"/>
  <c r="AH51" i="9" s="1"/>
  <c r="AI50" i="9"/>
  <c r="AG50" i="9"/>
  <c r="AH50" i="9" s="1"/>
  <c r="AI49" i="9"/>
  <c r="AG49" i="9"/>
  <c r="AH49" i="9" s="1"/>
  <c r="AI48" i="9"/>
  <c r="AG48" i="9"/>
  <c r="AH48" i="9" s="1"/>
  <c r="AI47" i="9"/>
  <c r="AG47" i="9"/>
  <c r="AH47" i="9" s="1"/>
  <c r="AI46" i="9"/>
  <c r="AG46" i="9"/>
  <c r="AH46" i="9" s="1"/>
  <c r="AI45" i="9"/>
  <c r="AG45" i="9"/>
  <c r="AH45" i="9" s="1"/>
  <c r="AI44" i="9"/>
  <c r="AG44" i="9"/>
  <c r="AH44" i="9" s="1"/>
  <c r="AI43" i="9"/>
  <c r="AG43" i="9"/>
  <c r="AH43" i="9" s="1"/>
  <c r="AI42" i="9"/>
  <c r="AG42" i="9"/>
  <c r="AH42" i="9" s="1"/>
  <c r="AI41" i="9"/>
  <c r="AG41" i="9"/>
  <c r="AH41" i="9" s="1"/>
  <c r="AI40" i="9"/>
  <c r="AG40" i="9"/>
  <c r="AH40" i="9" s="1"/>
  <c r="AI39" i="9"/>
  <c r="AG39" i="9"/>
  <c r="AH39" i="9" s="1"/>
  <c r="AI38" i="9"/>
  <c r="AG38" i="9"/>
  <c r="AH38" i="9" s="1"/>
  <c r="AI37" i="9"/>
  <c r="AG37" i="9"/>
  <c r="AH37" i="9" s="1"/>
  <c r="AI36" i="9"/>
  <c r="AG36" i="9"/>
  <c r="AH36" i="9" s="1"/>
  <c r="AI35" i="9"/>
  <c r="AG35" i="9"/>
  <c r="AH35" i="9" s="1"/>
  <c r="AI34" i="9"/>
  <c r="AG34" i="9"/>
  <c r="AH34" i="9" s="1"/>
  <c r="AI33" i="9"/>
  <c r="AG33" i="9"/>
  <c r="AH33" i="9" s="1"/>
  <c r="AI32" i="9"/>
  <c r="AG32" i="9"/>
  <c r="AH32" i="9" s="1"/>
  <c r="AI31" i="9"/>
  <c r="AG31" i="9"/>
  <c r="AH31" i="9" s="1"/>
  <c r="AI30" i="9"/>
  <c r="AG30" i="9"/>
  <c r="AH30" i="9" s="1"/>
  <c r="AI29" i="9"/>
  <c r="AG29" i="9"/>
  <c r="AH29" i="9" s="1"/>
  <c r="AI28" i="9"/>
  <c r="AG28" i="9"/>
  <c r="AH28" i="9" s="1"/>
  <c r="AI27" i="9"/>
  <c r="AG27" i="9"/>
  <c r="AH27" i="9" s="1"/>
  <c r="AI26" i="9"/>
  <c r="AG26" i="9"/>
  <c r="AH26" i="9" s="1"/>
  <c r="AI25" i="9"/>
  <c r="AG25" i="9"/>
  <c r="AH25" i="9" s="1"/>
  <c r="AI24" i="9"/>
  <c r="AG24" i="9"/>
  <c r="AH24" i="9" s="1"/>
  <c r="AI23" i="9"/>
  <c r="AG23" i="9"/>
  <c r="AH23" i="9" s="1"/>
  <c r="AI22" i="9"/>
  <c r="AG22" i="9"/>
  <c r="AH22" i="9" s="1"/>
  <c r="AI21" i="9"/>
  <c r="AG21" i="9"/>
  <c r="AH21" i="9" s="1"/>
  <c r="AI20" i="9"/>
  <c r="AG20" i="9"/>
  <c r="AH20" i="9" s="1"/>
  <c r="AI19" i="9"/>
  <c r="AG19" i="9"/>
  <c r="AH19" i="9" s="1"/>
  <c r="AI18" i="9"/>
  <c r="AG18" i="9"/>
  <c r="AH18" i="9" s="1"/>
  <c r="AI17" i="9"/>
  <c r="AG17" i="9"/>
  <c r="AH17" i="9" s="1"/>
  <c r="AI16" i="9"/>
  <c r="AG16" i="9"/>
  <c r="AH16" i="9" s="1"/>
  <c r="AI15" i="9"/>
  <c r="AG15" i="9"/>
  <c r="AH15" i="9" s="1"/>
  <c r="AI14" i="9"/>
  <c r="AG14" i="9"/>
  <c r="AH14" i="9" s="1"/>
  <c r="AI13" i="9"/>
  <c r="AG13" i="9"/>
  <c r="AH13" i="9" s="1"/>
  <c r="AI12" i="9"/>
  <c r="AG12" i="9"/>
  <c r="AH12" i="9" s="1"/>
  <c r="AI11" i="9"/>
  <c r="AG11" i="9"/>
  <c r="AH11" i="9" s="1"/>
  <c r="AI10" i="9"/>
  <c r="AG10" i="9"/>
  <c r="AH10" i="9" s="1"/>
  <c r="AI9" i="9"/>
  <c r="AG9" i="9"/>
  <c r="AH9" i="9" s="1"/>
  <c r="AI8" i="9"/>
  <c r="AG8" i="9"/>
  <c r="AH8" i="9" s="1"/>
  <c r="AI7" i="9"/>
  <c r="AG7" i="9"/>
  <c r="AH7" i="9" s="1"/>
  <c r="AI6" i="9"/>
  <c r="AG6" i="9"/>
  <c r="AH6" i="9" s="1"/>
  <c r="AI5" i="9"/>
  <c r="AG5" i="9"/>
  <c r="H57" i="8"/>
  <c r="I57" i="8" s="1"/>
  <c r="H47" i="8"/>
  <c r="I47" i="8" s="1"/>
  <c r="H46" i="8"/>
  <c r="I46" i="8" s="1"/>
  <c r="H45" i="8"/>
  <c r="I45" i="8" s="1"/>
  <c r="H44" i="8"/>
  <c r="I44" i="8" s="1"/>
  <c r="H43" i="8"/>
  <c r="I43" i="8" s="1"/>
  <c r="H42" i="8"/>
  <c r="I42" i="8" s="1"/>
  <c r="H41" i="8"/>
  <c r="I41" i="8" s="1"/>
  <c r="H40" i="8"/>
  <c r="I40" i="8" s="1"/>
  <c r="H39" i="8"/>
  <c r="I39" i="8" s="1"/>
  <c r="H38" i="8"/>
  <c r="I38" i="8" s="1"/>
  <c r="H26" i="8"/>
  <c r="I26" i="8" s="1"/>
  <c r="H25" i="8"/>
  <c r="I25" i="8" s="1"/>
  <c r="H23" i="8"/>
  <c r="I23" i="8" s="1"/>
  <c r="H22" i="8"/>
  <c r="I22" i="8" s="1"/>
  <c r="H21" i="8"/>
  <c r="I21" i="8" s="1"/>
  <c r="H20" i="8"/>
  <c r="I20" i="8" s="1"/>
  <c r="H19" i="8"/>
  <c r="I19" i="8" s="1"/>
  <c r="H18" i="8"/>
  <c r="I18" i="8" s="1"/>
  <c r="H17" i="8"/>
  <c r="I17" i="8" s="1"/>
  <c r="H16" i="8"/>
  <c r="I16" i="8" s="1"/>
  <c r="H15" i="8"/>
  <c r="I15" i="8" s="1"/>
  <c r="H14" i="8"/>
  <c r="I14" i="8" s="1"/>
  <c r="H13" i="8"/>
  <c r="I13" i="8" s="1"/>
  <c r="H12" i="8"/>
  <c r="I12" i="8" s="1"/>
  <c r="H11" i="8"/>
  <c r="I11" i="8" s="1"/>
  <c r="H10" i="8"/>
  <c r="I10" i="8" s="1"/>
  <c r="H9" i="8"/>
  <c r="I9" i="8" s="1"/>
  <c r="H8" i="8"/>
  <c r="H9" i="6"/>
  <c r="H8" i="6"/>
  <c r="H7" i="6"/>
  <c r="H6" i="6"/>
  <c r="H5" i="6"/>
  <c r="C29" i="5"/>
  <c r="D29" i="5" s="1"/>
  <c r="C28" i="5"/>
  <c r="D28" i="5" s="1"/>
  <c r="C27" i="5"/>
  <c r="D27" i="5" s="1"/>
  <c r="C26" i="5"/>
  <c r="D26" i="5" s="1"/>
  <c r="C25" i="5"/>
  <c r="D25" i="5" s="1"/>
  <c r="C24" i="5"/>
  <c r="D24" i="5" s="1"/>
  <c r="C23" i="5"/>
  <c r="D23" i="5" s="1"/>
  <c r="C22" i="5"/>
  <c r="D22" i="5" s="1"/>
  <c r="C21" i="5"/>
  <c r="D21" i="5" s="1"/>
  <c r="C20" i="5"/>
  <c r="D20" i="5" s="1"/>
  <c r="C19" i="5"/>
  <c r="D19" i="5" s="1"/>
  <c r="C18" i="5"/>
  <c r="D18" i="5" s="1"/>
  <c r="C17" i="5"/>
  <c r="D17" i="5" s="1"/>
  <c r="C16" i="5"/>
  <c r="D16" i="5" s="1"/>
  <c r="I34" i="4"/>
  <c r="H34" i="4"/>
  <c r="G34" i="4"/>
  <c r="F34" i="4"/>
  <c r="E34" i="4"/>
  <c r="D34" i="4"/>
  <c r="C34" i="4"/>
  <c r="J32" i="4"/>
  <c r="J31" i="4"/>
  <c r="J30" i="4"/>
  <c r="J29" i="4"/>
  <c r="J28" i="4"/>
  <c r="J27" i="4"/>
  <c r="J26" i="4"/>
  <c r="J25" i="4"/>
  <c r="J24" i="4"/>
  <c r="J23" i="4"/>
  <c r="J22" i="4"/>
  <c r="J21" i="4"/>
  <c r="J20" i="4"/>
  <c r="J19" i="4"/>
  <c r="J18" i="4"/>
  <c r="J17" i="4"/>
  <c r="J16" i="4"/>
  <c r="J15" i="4"/>
  <c r="J14" i="4"/>
  <c r="J13" i="4"/>
  <c r="J12" i="4"/>
  <c r="J11" i="4"/>
  <c r="J10" i="4"/>
  <c r="J9" i="4"/>
  <c r="J8" i="4"/>
  <c r="J7" i="4"/>
  <c r="J6" i="4"/>
  <c r="J5" i="4"/>
  <c r="J4" i="4"/>
  <c r="J3" i="4"/>
  <c r="X202" i="3"/>
  <c r="V202" i="3"/>
  <c r="U202" i="3"/>
  <c r="T202" i="3"/>
  <c r="S202" i="3"/>
  <c r="W202" i="3" s="1"/>
  <c r="X201" i="3"/>
  <c r="V201" i="3"/>
  <c r="U201" i="3"/>
  <c r="T201" i="3"/>
  <c r="S201" i="3"/>
  <c r="W201" i="3" s="1"/>
  <c r="X200" i="3"/>
  <c r="V200" i="3"/>
  <c r="U200" i="3"/>
  <c r="T200" i="3"/>
  <c r="S200" i="3"/>
  <c r="W200" i="3" s="1"/>
  <c r="X199" i="3"/>
  <c r="V199" i="3"/>
  <c r="U199" i="3"/>
  <c r="T199" i="3"/>
  <c r="S199" i="3"/>
  <c r="W199" i="3" s="1"/>
  <c r="X198" i="3"/>
  <c r="V198" i="3"/>
  <c r="U198" i="3"/>
  <c r="T198" i="3"/>
  <c r="S198" i="3"/>
  <c r="W198" i="3" s="1"/>
  <c r="X197" i="3"/>
  <c r="V197" i="3"/>
  <c r="U197" i="3"/>
  <c r="T197" i="3"/>
  <c r="S197" i="3"/>
  <c r="W197" i="3" s="1"/>
  <c r="X196" i="3"/>
  <c r="V196" i="3"/>
  <c r="U196" i="3"/>
  <c r="T196" i="3"/>
  <c r="S196" i="3"/>
  <c r="W196" i="3" s="1"/>
  <c r="X195" i="3"/>
  <c r="V195" i="3"/>
  <c r="U195" i="3"/>
  <c r="T195" i="3"/>
  <c r="S195" i="3"/>
  <c r="X194" i="3"/>
  <c r="V194" i="3"/>
  <c r="U194" i="3"/>
  <c r="T194" i="3"/>
  <c r="S194" i="3"/>
  <c r="W194" i="3" s="1"/>
  <c r="X193" i="3"/>
  <c r="V193" i="3"/>
  <c r="U193" i="3"/>
  <c r="T193" i="3"/>
  <c r="S193" i="3"/>
  <c r="X192" i="3"/>
  <c r="V192" i="3"/>
  <c r="U192" i="3"/>
  <c r="T192" i="3"/>
  <c r="S192" i="3"/>
  <c r="W192" i="3" s="1"/>
  <c r="X191" i="3"/>
  <c r="V191" i="3"/>
  <c r="U191" i="3"/>
  <c r="T191" i="3"/>
  <c r="S191" i="3"/>
  <c r="X190" i="3"/>
  <c r="V190" i="3"/>
  <c r="U190" i="3"/>
  <c r="T190" i="3"/>
  <c r="S190" i="3"/>
  <c r="W190" i="3" s="1"/>
  <c r="X189" i="3"/>
  <c r="V189" i="3"/>
  <c r="U189" i="3"/>
  <c r="T189" i="3"/>
  <c r="S189" i="3"/>
  <c r="X188" i="3"/>
  <c r="V188" i="3"/>
  <c r="U188" i="3"/>
  <c r="T188" i="3"/>
  <c r="S188" i="3"/>
  <c r="W188" i="3" s="1"/>
  <c r="X187" i="3"/>
  <c r="V187" i="3"/>
  <c r="U187" i="3"/>
  <c r="T187" i="3"/>
  <c r="S187" i="3"/>
  <c r="W187" i="3" s="1"/>
  <c r="X186" i="3"/>
  <c r="V186" i="3"/>
  <c r="U186" i="3"/>
  <c r="T186" i="3"/>
  <c r="S186" i="3"/>
  <c r="W186" i="3" s="1"/>
  <c r="X185" i="3"/>
  <c r="V185" i="3"/>
  <c r="U185" i="3"/>
  <c r="T185" i="3"/>
  <c r="S185" i="3"/>
  <c r="W185" i="3" s="1"/>
  <c r="X184" i="3"/>
  <c r="V184" i="3"/>
  <c r="U184" i="3"/>
  <c r="T184" i="3"/>
  <c r="S184" i="3"/>
  <c r="W184" i="3" s="1"/>
  <c r="X183" i="3"/>
  <c r="V183" i="3"/>
  <c r="U183" i="3"/>
  <c r="T183" i="3"/>
  <c r="S183" i="3"/>
  <c r="W183" i="3" s="1"/>
  <c r="X182" i="3"/>
  <c r="V182" i="3"/>
  <c r="U182" i="3"/>
  <c r="T182" i="3"/>
  <c r="S182" i="3"/>
  <c r="W182" i="3" s="1"/>
  <c r="X181" i="3"/>
  <c r="V181" i="3"/>
  <c r="U181" i="3"/>
  <c r="T181" i="3"/>
  <c r="S181" i="3"/>
  <c r="W181" i="3" s="1"/>
  <c r="X180" i="3"/>
  <c r="V180" i="3"/>
  <c r="U180" i="3"/>
  <c r="T180" i="3"/>
  <c r="S180" i="3"/>
  <c r="W180" i="3" s="1"/>
  <c r="X179" i="3"/>
  <c r="V179" i="3"/>
  <c r="U179" i="3"/>
  <c r="T179" i="3"/>
  <c r="S179" i="3"/>
  <c r="W179" i="3" s="1"/>
  <c r="X178" i="3"/>
  <c r="V178" i="3"/>
  <c r="U178" i="3"/>
  <c r="T178" i="3"/>
  <c r="S178" i="3"/>
  <c r="W178" i="3" s="1"/>
  <c r="X177" i="3"/>
  <c r="V177" i="3"/>
  <c r="U177" i="3"/>
  <c r="T177" i="3"/>
  <c r="S177" i="3"/>
  <c r="W177" i="3" s="1"/>
  <c r="X176" i="3"/>
  <c r="V176" i="3"/>
  <c r="U176" i="3"/>
  <c r="T176" i="3"/>
  <c r="S176" i="3"/>
  <c r="W176" i="3" s="1"/>
  <c r="X175" i="3"/>
  <c r="V175" i="3"/>
  <c r="U175" i="3"/>
  <c r="T175" i="3"/>
  <c r="S175" i="3"/>
  <c r="W175" i="3" s="1"/>
  <c r="X174" i="3"/>
  <c r="V174" i="3"/>
  <c r="U174" i="3"/>
  <c r="T174" i="3"/>
  <c r="S174" i="3"/>
  <c r="W174" i="3" s="1"/>
  <c r="X173" i="3"/>
  <c r="V173" i="3"/>
  <c r="U173" i="3"/>
  <c r="T173" i="3"/>
  <c r="S173" i="3"/>
  <c r="W173" i="3" s="1"/>
  <c r="X172" i="3"/>
  <c r="V172" i="3"/>
  <c r="U172" i="3"/>
  <c r="T172" i="3"/>
  <c r="S172" i="3"/>
  <c r="W172" i="3" s="1"/>
  <c r="X171" i="3"/>
  <c r="V171" i="3"/>
  <c r="U171" i="3"/>
  <c r="T171" i="3"/>
  <c r="S171" i="3"/>
  <c r="X170" i="3"/>
  <c r="V170" i="3"/>
  <c r="U170" i="3"/>
  <c r="T170" i="3"/>
  <c r="S170" i="3"/>
  <c r="W170" i="3" s="1"/>
  <c r="X169" i="3"/>
  <c r="V169" i="3"/>
  <c r="U169" i="3"/>
  <c r="T169" i="3"/>
  <c r="S169" i="3"/>
  <c r="X168" i="3"/>
  <c r="V168" i="3"/>
  <c r="U168" i="3"/>
  <c r="T168" i="3"/>
  <c r="S168" i="3"/>
  <c r="W168" i="3" s="1"/>
  <c r="X167" i="3"/>
  <c r="V167" i="3"/>
  <c r="U167" i="3"/>
  <c r="T167" i="3"/>
  <c r="S167" i="3"/>
  <c r="X166" i="3"/>
  <c r="V166" i="3"/>
  <c r="U166" i="3"/>
  <c r="T166" i="3"/>
  <c r="S166" i="3"/>
  <c r="W166" i="3" s="1"/>
  <c r="X165" i="3"/>
  <c r="V165" i="3"/>
  <c r="U165" i="3"/>
  <c r="T165" i="3"/>
  <c r="S165" i="3"/>
  <c r="X164" i="3"/>
  <c r="V164" i="3"/>
  <c r="U164" i="3"/>
  <c r="T164" i="3"/>
  <c r="S164" i="3"/>
  <c r="W164" i="3" s="1"/>
  <c r="X163" i="3"/>
  <c r="V163" i="3"/>
  <c r="U163" i="3"/>
  <c r="T163" i="3"/>
  <c r="S163" i="3"/>
  <c r="W163" i="3" s="1"/>
  <c r="X162" i="3"/>
  <c r="V162" i="3"/>
  <c r="U162" i="3"/>
  <c r="T162" i="3"/>
  <c r="S162" i="3"/>
  <c r="W162" i="3" s="1"/>
  <c r="X161" i="3"/>
  <c r="V161" i="3"/>
  <c r="U161" i="3"/>
  <c r="T161" i="3"/>
  <c r="S161" i="3"/>
  <c r="W161" i="3" s="1"/>
  <c r="X160" i="3"/>
  <c r="V160" i="3"/>
  <c r="U160" i="3"/>
  <c r="T160" i="3"/>
  <c r="S160" i="3"/>
  <c r="W160" i="3" s="1"/>
  <c r="X159" i="3"/>
  <c r="V159" i="3"/>
  <c r="U159" i="3"/>
  <c r="T159" i="3"/>
  <c r="S159" i="3"/>
  <c r="W159" i="3" s="1"/>
  <c r="X158" i="3"/>
  <c r="V158" i="3"/>
  <c r="U158" i="3"/>
  <c r="T158" i="3"/>
  <c r="S158" i="3"/>
  <c r="W158" i="3" s="1"/>
  <c r="X157" i="3"/>
  <c r="V157" i="3"/>
  <c r="U157" i="3"/>
  <c r="T157" i="3"/>
  <c r="S157" i="3"/>
  <c r="W157" i="3" s="1"/>
  <c r="X156" i="3"/>
  <c r="V156" i="3"/>
  <c r="U156" i="3"/>
  <c r="T156" i="3"/>
  <c r="S156" i="3"/>
  <c r="W156" i="3" s="1"/>
  <c r="X155" i="3"/>
  <c r="V155" i="3"/>
  <c r="U155" i="3"/>
  <c r="T155" i="3"/>
  <c r="S155" i="3"/>
  <c r="W155" i="3" s="1"/>
  <c r="X154" i="3"/>
  <c r="V154" i="3"/>
  <c r="U154" i="3"/>
  <c r="T154" i="3"/>
  <c r="S154" i="3"/>
  <c r="W154" i="3" s="1"/>
  <c r="X153" i="3"/>
  <c r="V153" i="3"/>
  <c r="U153" i="3"/>
  <c r="T153" i="3"/>
  <c r="S153" i="3"/>
  <c r="W153" i="3" s="1"/>
  <c r="X152" i="3"/>
  <c r="V152" i="3"/>
  <c r="U152" i="3"/>
  <c r="T152" i="3"/>
  <c r="S152" i="3"/>
  <c r="W152" i="3" s="1"/>
  <c r="X151" i="3"/>
  <c r="V151" i="3"/>
  <c r="U151" i="3"/>
  <c r="T151" i="3"/>
  <c r="S151" i="3"/>
  <c r="W151" i="3" s="1"/>
  <c r="X150" i="3"/>
  <c r="V150" i="3"/>
  <c r="U150" i="3"/>
  <c r="T150" i="3"/>
  <c r="S150" i="3"/>
  <c r="W150" i="3" s="1"/>
  <c r="X149" i="3"/>
  <c r="V149" i="3"/>
  <c r="U149" i="3"/>
  <c r="T149" i="3"/>
  <c r="S149" i="3"/>
  <c r="W149" i="3" s="1"/>
  <c r="X148" i="3"/>
  <c r="V148" i="3"/>
  <c r="U148" i="3"/>
  <c r="T148" i="3"/>
  <c r="S148" i="3"/>
  <c r="W148" i="3" s="1"/>
  <c r="X147" i="3"/>
  <c r="V147" i="3"/>
  <c r="U147" i="3"/>
  <c r="T147" i="3"/>
  <c r="S147" i="3"/>
  <c r="X146" i="3"/>
  <c r="V146" i="3"/>
  <c r="U146" i="3"/>
  <c r="T146" i="3"/>
  <c r="S146" i="3"/>
  <c r="W146" i="3" s="1"/>
  <c r="X145" i="3"/>
  <c r="V145" i="3"/>
  <c r="U145" i="3"/>
  <c r="T145" i="3"/>
  <c r="S145" i="3"/>
  <c r="X144" i="3"/>
  <c r="V144" i="3"/>
  <c r="U144" i="3"/>
  <c r="T144" i="3"/>
  <c r="S144" i="3"/>
  <c r="W144" i="3" s="1"/>
  <c r="X143" i="3"/>
  <c r="V143" i="3"/>
  <c r="U143" i="3"/>
  <c r="T143" i="3"/>
  <c r="S143" i="3"/>
  <c r="X142" i="3"/>
  <c r="V142" i="3"/>
  <c r="U142" i="3"/>
  <c r="T142" i="3"/>
  <c r="S142" i="3"/>
  <c r="W142" i="3" s="1"/>
  <c r="X141" i="3"/>
  <c r="V141" i="3"/>
  <c r="U141" i="3"/>
  <c r="T141" i="3"/>
  <c r="S141" i="3"/>
  <c r="X140" i="3"/>
  <c r="V140" i="3"/>
  <c r="U140" i="3"/>
  <c r="T140" i="3"/>
  <c r="S140" i="3"/>
  <c r="W140" i="3" s="1"/>
  <c r="X139" i="3"/>
  <c r="V139" i="3"/>
  <c r="U139" i="3"/>
  <c r="T139" i="3"/>
  <c r="S139" i="3"/>
  <c r="W139" i="3" s="1"/>
  <c r="X138" i="3"/>
  <c r="V138" i="3"/>
  <c r="U138" i="3"/>
  <c r="T138" i="3"/>
  <c r="S138" i="3"/>
  <c r="W138" i="3" s="1"/>
  <c r="X137" i="3"/>
  <c r="V137" i="3"/>
  <c r="U137" i="3"/>
  <c r="T137" i="3"/>
  <c r="S137" i="3"/>
  <c r="W137" i="3" s="1"/>
  <c r="X136" i="3"/>
  <c r="V136" i="3"/>
  <c r="U136" i="3"/>
  <c r="T136" i="3"/>
  <c r="S136" i="3"/>
  <c r="W136" i="3" s="1"/>
  <c r="X135" i="3"/>
  <c r="V135" i="3"/>
  <c r="U135" i="3"/>
  <c r="T135" i="3"/>
  <c r="S135" i="3"/>
  <c r="W135" i="3" s="1"/>
  <c r="X134" i="3"/>
  <c r="V134" i="3"/>
  <c r="U134" i="3"/>
  <c r="T134" i="3"/>
  <c r="S134" i="3"/>
  <c r="W134" i="3" s="1"/>
  <c r="X133" i="3"/>
  <c r="V133" i="3"/>
  <c r="U133" i="3"/>
  <c r="T133" i="3"/>
  <c r="S133" i="3"/>
  <c r="W133" i="3" s="1"/>
  <c r="X132" i="3"/>
  <c r="V132" i="3"/>
  <c r="U132" i="3"/>
  <c r="T132" i="3"/>
  <c r="S132" i="3"/>
  <c r="W132" i="3" s="1"/>
  <c r="X131" i="3"/>
  <c r="V131" i="3"/>
  <c r="U131" i="3"/>
  <c r="T131" i="3"/>
  <c r="S131" i="3"/>
  <c r="W131" i="3" s="1"/>
  <c r="X130" i="3"/>
  <c r="V130" i="3"/>
  <c r="U130" i="3"/>
  <c r="T130" i="3"/>
  <c r="S130" i="3"/>
  <c r="W130" i="3" s="1"/>
  <c r="X129" i="3"/>
  <c r="V129" i="3"/>
  <c r="U129" i="3"/>
  <c r="T129" i="3"/>
  <c r="S129" i="3"/>
  <c r="W129" i="3" s="1"/>
  <c r="X128" i="3"/>
  <c r="V128" i="3"/>
  <c r="U128" i="3"/>
  <c r="T128" i="3"/>
  <c r="S128" i="3"/>
  <c r="W128" i="3" s="1"/>
  <c r="X127" i="3"/>
  <c r="V127" i="3"/>
  <c r="U127" i="3"/>
  <c r="T127" i="3"/>
  <c r="S127" i="3"/>
  <c r="W127" i="3" s="1"/>
  <c r="X126" i="3"/>
  <c r="V126" i="3"/>
  <c r="U126" i="3"/>
  <c r="T126" i="3"/>
  <c r="S126" i="3"/>
  <c r="W126" i="3" s="1"/>
  <c r="X125" i="3"/>
  <c r="V125" i="3"/>
  <c r="U125" i="3"/>
  <c r="T125" i="3"/>
  <c r="S125" i="3"/>
  <c r="W125" i="3" s="1"/>
  <c r="X124" i="3"/>
  <c r="V124" i="3"/>
  <c r="U124" i="3"/>
  <c r="T124" i="3"/>
  <c r="S124" i="3"/>
  <c r="W124" i="3" s="1"/>
  <c r="X123" i="3"/>
  <c r="V123" i="3"/>
  <c r="U123" i="3"/>
  <c r="T123" i="3"/>
  <c r="S123" i="3"/>
  <c r="X122" i="3"/>
  <c r="V122" i="3"/>
  <c r="U122" i="3"/>
  <c r="T122" i="3"/>
  <c r="S122" i="3"/>
  <c r="W122" i="3" s="1"/>
  <c r="X121" i="3"/>
  <c r="V121" i="3"/>
  <c r="U121" i="3"/>
  <c r="T121" i="3"/>
  <c r="S121" i="3"/>
  <c r="X120" i="3"/>
  <c r="V120" i="3"/>
  <c r="U120" i="3"/>
  <c r="T120" i="3"/>
  <c r="S120" i="3"/>
  <c r="W120" i="3" s="1"/>
  <c r="X119" i="3"/>
  <c r="V119" i="3"/>
  <c r="U119" i="3"/>
  <c r="T119" i="3"/>
  <c r="S119" i="3"/>
  <c r="X118" i="3"/>
  <c r="V118" i="3"/>
  <c r="U118" i="3"/>
  <c r="T118" i="3"/>
  <c r="S118" i="3"/>
  <c r="W118" i="3" s="1"/>
  <c r="X117" i="3"/>
  <c r="V117" i="3"/>
  <c r="U117" i="3"/>
  <c r="T117" i="3"/>
  <c r="S117" i="3"/>
  <c r="X116" i="3"/>
  <c r="V116" i="3"/>
  <c r="U116" i="3"/>
  <c r="T116" i="3"/>
  <c r="S116" i="3"/>
  <c r="W116" i="3" s="1"/>
  <c r="X115" i="3"/>
  <c r="V115" i="3"/>
  <c r="U115" i="3"/>
  <c r="T115" i="3"/>
  <c r="S115" i="3"/>
  <c r="W115" i="3" s="1"/>
  <c r="X114" i="3"/>
  <c r="V114" i="3"/>
  <c r="U114" i="3"/>
  <c r="T114" i="3"/>
  <c r="S114" i="3"/>
  <c r="W114" i="3" s="1"/>
  <c r="X113" i="3"/>
  <c r="V113" i="3"/>
  <c r="U113" i="3"/>
  <c r="T113" i="3"/>
  <c r="S113" i="3"/>
  <c r="W113" i="3" s="1"/>
  <c r="X112" i="3"/>
  <c r="V112" i="3"/>
  <c r="U112" i="3"/>
  <c r="T112" i="3"/>
  <c r="S112" i="3"/>
  <c r="W112" i="3" s="1"/>
  <c r="X111" i="3"/>
  <c r="V111" i="3"/>
  <c r="U111" i="3"/>
  <c r="T111" i="3"/>
  <c r="S111" i="3"/>
  <c r="W111" i="3" s="1"/>
  <c r="X110" i="3"/>
  <c r="V110" i="3"/>
  <c r="U110" i="3"/>
  <c r="T110" i="3"/>
  <c r="S110" i="3"/>
  <c r="W110" i="3" s="1"/>
  <c r="X109" i="3"/>
  <c r="V109" i="3"/>
  <c r="U109" i="3"/>
  <c r="T109" i="3"/>
  <c r="S109" i="3"/>
  <c r="W109" i="3" s="1"/>
  <c r="X108" i="3"/>
  <c r="V108" i="3"/>
  <c r="U108" i="3"/>
  <c r="T108" i="3"/>
  <c r="S108" i="3"/>
  <c r="W108" i="3" s="1"/>
  <c r="X107" i="3"/>
  <c r="V107" i="3"/>
  <c r="U107" i="3"/>
  <c r="T107" i="3"/>
  <c r="S107" i="3"/>
  <c r="W107" i="3" s="1"/>
  <c r="X106" i="3"/>
  <c r="V106" i="3"/>
  <c r="U106" i="3"/>
  <c r="T106" i="3"/>
  <c r="S106" i="3"/>
  <c r="W106" i="3" s="1"/>
  <c r="X105" i="3"/>
  <c r="V105" i="3"/>
  <c r="U105" i="3"/>
  <c r="T105" i="3"/>
  <c r="S105" i="3"/>
  <c r="W105" i="3" s="1"/>
  <c r="X104" i="3"/>
  <c r="V104" i="3"/>
  <c r="U104" i="3"/>
  <c r="T104" i="3"/>
  <c r="S104" i="3"/>
  <c r="W104" i="3" s="1"/>
  <c r="X103" i="3"/>
  <c r="V103" i="3"/>
  <c r="U103" i="3"/>
  <c r="T103" i="3"/>
  <c r="S103" i="3"/>
  <c r="W103" i="3" s="1"/>
  <c r="X102" i="3"/>
  <c r="V102" i="3"/>
  <c r="U102" i="3"/>
  <c r="T102" i="3"/>
  <c r="S102" i="3"/>
  <c r="W102" i="3" s="1"/>
  <c r="X101" i="3"/>
  <c r="V101" i="3"/>
  <c r="U101" i="3"/>
  <c r="T101" i="3"/>
  <c r="S101" i="3"/>
  <c r="W101" i="3" s="1"/>
  <c r="X100" i="3"/>
  <c r="V100" i="3"/>
  <c r="U100" i="3"/>
  <c r="T100" i="3"/>
  <c r="S100" i="3"/>
  <c r="W100" i="3" s="1"/>
  <c r="X99" i="3"/>
  <c r="V99" i="3"/>
  <c r="U99" i="3"/>
  <c r="T99" i="3"/>
  <c r="S99" i="3"/>
  <c r="X98" i="3"/>
  <c r="V98" i="3"/>
  <c r="U98" i="3"/>
  <c r="T98" i="3"/>
  <c r="S98" i="3"/>
  <c r="W98" i="3" s="1"/>
  <c r="X97" i="3"/>
  <c r="V97" i="3"/>
  <c r="U97" i="3"/>
  <c r="T97" i="3"/>
  <c r="S97" i="3"/>
  <c r="X96" i="3"/>
  <c r="V96" i="3"/>
  <c r="U96" i="3"/>
  <c r="T96" i="3"/>
  <c r="S96" i="3"/>
  <c r="W96" i="3" s="1"/>
  <c r="X95" i="3"/>
  <c r="V95" i="3"/>
  <c r="U95" i="3"/>
  <c r="T95" i="3"/>
  <c r="S95" i="3"/>
  <c r="X94" i="3"/>
  <c r="V94" i="3"/>
  <c r="U94" i="3"/>
  <c r="T94" i="3"/>
  <c r="S94" i="3"/>
  <c r="W94" i="3" s="1"/>
  <c r="X93" i="3"/>
  <c r="V93" i="3"/>
  <c r="U93" i="3"/>
  <c r="T93" i="3"/>
  <c r="S93" i="3"/>
  <c r="X92" i="3"/>
  <c r="V92" i="3"/>
  <c r="U92" i="3"/>
  <c r="T92" i="3"/>
  <c r="S92" i="3"/>
  <c r="W92" i="3" s="1"/>
  <c r="X91" i="3"/>
  <c r="V91" i="3"/>
  <c r="U91" i="3"/>
  <c r="T91" i="3"/>
  <c r="S91" i="3"/>
  <c r="W91" i="3" s="1"/>
  <c r="X90" i="3"/>
  <c r="V90" i="3"/>
  <c r="U90" i="3"/>
  <c r="T90" i="3"/>
  <c r="S90" i="3"/>
  <c r="W90" i="3" s="1"/>
  <c r="X89" i="3"/>
  <c r="V89" i="3"/>
  <c r="U89" i="3"/>
  <c r="T89" i="3"/>
  <c r="S89" i="3"/>
  <c r="W89" i="3" s="1"/>
  <c r="X88" i="3"/>
  <c r="V88" i="3"/>
  <c r="U88" i="3"/>
  <c r="T88" i="3"/>
  <c r="S88" i="3"/>
  <c r="W88" i="3" s="1"/>
  <c r="X87" i="3"/>
  <c r="V87" i="3"/>
  <c r="U87" i="3"/>
  <c r="T87" i="3"/>
  <c r="S87" i="3"/>
  <c r="W87" i="3" s="1"/>
  <c r="X86" i="3"/>
  <c r="V86" i="3"/>
  <c r="U86" i="3"/>
  <c r="T86" i="3"/>
  <c r="S86" i="3"/>
  <c r="W86" i="3" s="1"/>
  <c r="X85" i="3"/>
  <c r="V85" i="3"/>
  <c r="U85" i="3"/>
  <c r="T85" i="3"/>
  <c r="S85" i="3"/>
  <c r="W85" i="3" s="1"/>
  <c r="X84" i="3"/>
  <c r="V84" i="3"/>
  <c r="U84" i="3"/>
  <c r="T84" i="3"/>
  <c r="S84" i="3"/>
  <c r="W84" i="3" s="1"/>
  <c r="X83" i="3"/>
  <c r="V83" i="3"/>
  <c r="U83" i="3"/>
  <c r="T83" i="3"/>
  <c r="S83" i="3"/>
  <c r="W83" i="3" s="1"/>
  <c r="X82" i="3"/>
  <c r="V82" i="3"/>
  <c r="U82" i="3"/>
  <c r="T82" i="3"/>
  <c r="S82" i="3"/>
  <c r="W82" i="3" s="1"/>
  <c r="X81" i="3"/>
  <c r="V81" i="3"/>
  <c r="U81" i="3"/>
  <c r="T81" i="3"/>
  <c r="S81" i="3"/>
  <c r="W81" i="3" s="1"/>
  <c r="X80" i="3"/>
  <c r="V80" i="3"/>
  <c r="U80" i="3"/>
  <c r="T80" i="3"/>
  <c r="S80" i="3"/>
  <c r="W80" i="3" s="1"/>
  <c r="X79" i="3"/>
  <c r="V79" i="3"/>
  <c r="U79" i="3"/>
  <c r="T79" i="3"/>
  <c r="S79" i="3"/>
  <c r="W79" i="3" s="1"/>
  <c r="X78" i="3"/>
  <c r="V78" i="3"/>
  <c r="U78" i="3"/>
  <c r="T78" i="3"/>
  <c r="S78" i="3"/>
  <c r="W78" i="3" s="1"/>
  <c r="X77" i="3"/>
  <c r="V77" i="3"/>
  <c r="U77" i="3"/>
  <c r="T77" i="3"/>
  <c r="S77" i="3"/>
  <c r="W77" i="3" s="1"/>
  <c r="X76" i="3"/>
  <c r="V76" i="3"/>
  <c r="U76" i="3"/>
  <c r="T76" i="3"/>
  <c r="S76" i="3"/>
  <c r="W76" i="3" s="1"/>
  <c r="X75" i="3"/>
  <c r="V75" i="3"/>
  <c r="U75" i="3"/>
  <c r="T75" i="3"/>
  <c r="S75" i="3"/>
  <c r="X74" i="3"/>
  <c r="V74" i="3"/>
  <c r="U74" i="3"/>
  <c r="T74" i="3"/>
  <c r="S74" i="3"/>
  <c r="W74" i="3" s="1"/>
  <c r="X73" i="3"/>
  <c r="V73" i="3"/>
  <c r="U73" i="3"/>
  <c r="T73" i="3"/>
  <c r="S73" i="3"/>
  <c r="X72" i="3"/>
  <c r="V72" i="3"/>
  <c r="U72" i="3"/>
  <c r="T72" i="3"/>
  <c r="S72" i="3"/>
  <c r="W72" i="3" s="1"/>
  <c r="X71" i="3"/>
  <c r="V71" i="3"/>
  <c r="U71" i="3"/>
  <c r="T71" i="3"/>
  <c r="S71" i="3"/>
  <c r="X70" i="3"/>
  <c r="V70" i="3"/>
  <c r="U70" i="3"/>
  <c r="T70" i="3"/>
  <c r="S70" i="3"/>
  <c r="W70" i="3" s="1"/>
  <c r="X69" i="3"/>
  <c r="V69" i="3"/>
  <c r="U69" i="3"/>
  <c r="T69" i="3"/>
  <c r="S69" i="3"/>
  <c r="X68" i="3"/>
  <c r="V68" i="3"/>
  <c r="U68" i="3"/>
  <c r="T68" i="3"/>
  <c r="S68" i="3"/>
  <c r="W68" i="3" s="1"/>
  <c r="X67" i="3"/>
  <c r="V67" i="3"/>
  <c r="U67" i="3"/>
  <c r="T67" i="3"/>
  <c r="S67" i="3"/>
  <c r="W67" i="3" s="1"/>
  <c r="X66" i="3"/>
  <c r="V66" i="3"/>
  <c r="U66" i="3"/>
  <c r="T66" i="3"/>
  <c r="S66" i="3"/>
  <c r="W66" i="3" s="1"/>
  <c r="X65" i="3"/>
  <c r="V65" i="3"/>
  <c r="U65" i="3"/>
  <c r="T65" i="3"/>
  <c r="S65" i="3"/>
  <c r="W65" i="3" s="1"/>
  <c r="X64" i="3"/>
  <c r="V64" i="3"/>
  <c r="U64" i="3"/>
  <c r="T64" i="3"/>
  <c r="S64" i="3"/>
  <c r="W64" i="3" s="1"/>
  <c r="X63" i="3"/>
  <c r="V63" i="3"/>
  <c r="U63" i="3"/>
  <c r="T63" i="3"/>
  <c r="S63" i="3"/>
  <c r="W63" i="3" s="1"/>
  <c r="X62" i="3"/>
  <c r="V62" i="3"/>
  <c r="U62" i="3"/>
  <c r="T62" i="3"/>
  <c r="S62" i="3"/>
  <c r="W62" i="3" s="1"/>
  <c r="X61" i="3"/>
  <c r="V61" i="3"/>
  <c r="U61" i="3"/>
  <c r="T61" i="3"/>
  <c r="S61" i="3"/>
  <c r="W61" i="3" s="1"/>
  <c r="X60" i="3"/>
  <c r="V60" i="3"/>
  <c r="U60" i="3"/>
  <c r="T60" i="3"/>
  <c r="S60" i="3"/>
  <c r="W60" i="3" s="1"/>
  <c r="X59" i="3"/>
  <c r="V59" i="3"/>
  <c r="U59" i="3"/>
  <c r="T59" i="3"/>
  <c r="S59" i="3"/>
  <c r="W59" i="3" s="1"/>
  <c r="X58" i="3"/>
  <c r="V58" i="3"/>
  <c r="U58" i="3"/>
  <c r="T58" i="3"/>
  <c r="S58" i="3"/>
  <c r="W58" i="3" s="1"/>
  <c r="X57" i="3"/>
  <c r="V57" i="3"/>
  <c r="U57" i="3"/>
  <c r="T57" i="3"/>
  <c r="S57" i="3"/>
  <c r="W57" i="3" s="1"/>
  <c r="X56" i="3"/>
  <c r="V56" i="3"/>
  <c r="U56" i="3"/>
  <c r="T56" i="3"/>
  <c r="S56" i="3"/>
  <c r="W56" i="3" s="1"/>
  <c r="X55" i="3"/>
  <c r="V55" i="3"/>
  <c r="U55" i="3"/>
  <c r="T55" i="3"/>
  <c r="S55" i="3"/>
  <c r="W55" i="3" s="1"/>
  <c r="X54" i="3"/>
  <c r="V54" i="3"/>
  <c r="U54" i="3"/>
  <c r="T54" i="3"/>
  <c r="S54" i="3"/>
  <c r="W54" i="3" s="1"/>
  <c r="X53" i="3"/>
  <c r="V53" i="3"/>
  <c r="U53" i="3"/>
  <c r="T53" i="3"/>
  <c r="S53" i="3"/>
  <c r="W53" i="3" s="1"/>
  <c r="X52" i="3"/>
  <c r="V52" i="3"/>
  <c r="U52" i="3"/>
  <c r="T52" i="3"/>
  <c r="S52" i="3"/>
  <c r="W52" i="3" s="1"/>
  <c r="X51" i="3"/>
  <c r="V51" i="3"/>
  <c r="U51" i="3"/>
  <c r="T51" i="3"/>
  <c r="S51" i="3"/>
  <c r="X50" i="3"/>
  <c r="V50" i="3"/>
  <c r="U50" i="3"/>
  <c r="T50" i="3"/>
  <c r="S50" i="3"/>
  <c r="W50" i="3" s="1"/>
  <c r="X49" i="3"/>
  <c r="V49" i="3"/>
  <c r="U49" i="3"/>
  <c r="T49" i="3"/>
  <c r="S49" i="3"/>
  <c r="X48" i="3"/>
  <c r="V48" i="3"/>
  <c r="U48" i="3"/>
  <c r="T48" i="3"/>
  <c r="S48" i="3"/>
  <c r="W48" i="3" s="1"/>
  <c r="X47" i="3"/>
  <c r="V47" i="3"/>
  <c r="U47" i="3"/>
  <c r="T47" i="3"/>
  <c r="S47" i="3"/>
  <c r="X46" i="3"/>
  <c r="V46" i="3"/>
  <c r="U46" i="3"/>
  <c r="T46" i="3"/>
  <c r="S46" i="3"/>
  <c r="W46" i="3" s="1"/>
  <c r="X45" i="3"/>
  <c r="V45" i="3"/>
  <c r="U45" i="3"/>
  <c r="T45" i="3"/>
  <c r="S45" i="3"/>
  <c r="X44" i="3"/>
  <c r="V44" i="3"/>
  <c r="U44" i="3"/>
  <c r="T44" i="3"/>
  <c r="S44" i="3"/>
  <c r="W44" i="3" s="1"/>
  <c r="X43" i="3"/>
  <c r="V43" i="3"/>
  <c r="U43" i="3"/>
  <c r="T43" i="3"/>
  <c r="S43" i="3"/>
  <c r="W43" i="3" s="1"/>
  <c r="X42" i="3"/>
  <c r="V42" i="3"/>
  <c r="U42" i="3"/>
  <c r="T42" i="3"/>
  <c r="S42" i="3"/>
  <c r="W42" i="3" s="1"/>
  <c r="X41" i="3"/>
  <c r="V41" i="3"/>
  <c r="U41" i="3"/>
  <c r="T41" i="3"/>
  <c r="S41" i="3"/>
  <c r="W41" i="3" s="1"/>
  <c r="X40" i="3"/>
  <c r="V40" i="3"/>
  <c r="U40" i="3"/>
  <c r="T40" i="3"/>
  <c r="S40" i="3"/>
  <c r="W40" i="3" s="1"/>
  <c r="X39" i="3"/>
  <c r="V39" i="3"/>
  <c r="U39" i="3"/>
  <c r="T39" i="3"/>
  <c r="S39" i="3"/>
  <c r="W39" i="3" s="1"/>
  <c r="X38" i="3"/>
  <c r="V38" i="3"/>
  <c r="U38" i="3"/>
  <c r="T38" i="3"/>
  <c r="S38" i="3"/>
  <c r="W38" i="3" s="1"/>
  <c r="X37" i="3"/>
  <c r="V37" i="3"/>
  <c r="U37" i="3"/>
  <c r="T37" i="3"/>
  <c r="S37" i="3"/>
  <c r="W37" i="3" s="1"/>
  <c r="X36" i="3"/>
  <c r="V36" i="3"/>
  <c r="U36" i="3"/>
  <c r="T36" i="3"/>
  <c r="S36" i="3"/>
  <c r="W36" i="3" s="1"/>
  <c r="X35" i="3"/>
  <c r="V35" i="3"/>
  <c r="U35" i="3"/>
  <c r="T35" i="3"/>
  <c r="S35" i="3"/>
  <c r="W35" i="3" s="1"/>
  <c r="X34" i="3"/>
  <c r="V34" i="3"/>
  <c r="U34" i="3"/>
  <c r="T34" i="3"/>
  <c r="S34" i="3"/>
  <c r="W34" i="3" s="1"/>
  <c r="X33" i="3"/>
  <c r="V33" i="3"/>
  <c r="U33" i="3"/>
  <c r="T33" i="3"/>
  <c r="S33" i="3"/>
  <c r="W33" i="3" s="1"/>
  <c r="X32" i="3"/>
  <c r="V32" i="3"/>
  <c r="U32" i="3"/>
  <c r="T32" i="3"/>
  <c r="S32" i="3"/>
  <c r="W32" i="3" s="1"/>
  <c r="X31" i="3"/>
  <c r="V31" i="3"/>
  <c r="U31" i="3"/>
  <c r="T31" i="3"/>
  <c r="S31" i="3"/>
  <c r="W31" i="3" s="1"/>
  <c r="X30" i="3"/>
  <c r="V30" i="3"/>
  <c r="U30" i="3"/>
  <c r="T30" i="3"/>
  <c r="S30" i="3"/>
  <c r="W30" i="3" s="1"/>
  <c r="X29" i="3"/>
  <c r="V29" i="3"/>
  <c r="U29" i="3"/>
  <c r="T29" i="3"/>
  <c r="S29" i="3"/>
  <c r="W29" i="3" s="1"/>
  <c r="X28" i="3"/>
  <c r="V28" i="3"/>
  <c r="U28" i="3"/>
  <c r="T28" i="3"/>
  <c r="S28" i="3"/>
  <c r="W28" i="3" s="1"/>
  <c r="X27" i="3"/>
  <c r="V27" i="3"/>
  <c r="U27" i="3"/>
  <c r="T27" i="3"/>
  <c r="S27" i="3"/>
  <c r="X26" i="3"/>
  <c r="V26" i="3"/>
  <c r="U26" i="3"/>
  <c r="T26" i="3"/>
  <c r="S26" i="3"/>
  <c r="W26" i="3" s="1"/>
  <c r="X25" i="3"/>
  <c r="V25" i="3"/>
  <c r="U25" i="3"/>
  <c r="T25" i="3"/>
  <c r="S25" i="3"/>
  <c r="X24" i="3"/>
  <c r="V24" i="3"/>
  <c r="U24" i="3"/>
  <c r="T24" i="3"/>
  <c r="S24" i="3"/>
  <c r="W24" i="3" s="1"/>
  <c r="X23" i="3"/>
  <c r="V23" i="3"/>
  <c r="U23" i="3"/>
  <c r="T23" i="3"/>
  <c r="S23" i="3"/>
  <c r="X22" i="3"/>
  <c r="V22" i="3"/>
  <c r="U22" i="3"/>
  <c r="T22" i="3"/>
  <c r="S22" i="3"/>
  <c r="W22" i="3" s="1"/>
  <c r="X21" i="3"/>
  <c r="V21" i="3"/>
  <c r="U21" i="3"/>
  <c r="T21" i="3"/>
  <c r="S21" i="3"/>
  <c r="X20" i="3"/>
  <c r="V20" i="3"/>
  <c r="U20" i="3"/>
  <c r="T20" i="3"/>
  <c r="S20" i="3"/>
  <c r="W20" i="3" s="1"/>
  <c r="X19" i="3"/>
  <c r="V19" i="3"/>
  <c r="U19" i="3"/>
  <c r="T19" i="3"/>
  <c r="S19" i="3"/>
  <c r="W19" i="3" s="1"/>
  <c r="X18" i="3"/>
  <c r="V18" i="3"/>
  <c r="U18" i="3"/>
  <c r="T18" i="3"/>
  <c r="S18" i="3"/>
  <c r="W18" i="3" s="1"/>
  <c r="X17" i="3"/>
  <c r="V17" i="3"/>
  <c r="U17" i="3"/>
  <c r="T17" i="3"/>
  <c r="S17" i="3"/>
  <c r="W17" i="3" s="1"/>
  <c r="X16" i="3"/>
  <c r="V16" i="3"/>
  <c r="U16" i="3"/>
  <c r="T16" i="3"/>
  <c r="S16" i="3"/>
  <c r="W16" i="3" s="1"/>
  <c r="X15" i="3"/>
  <c r="V15" i="3"/>
  <c r="U15" i="3"/>
  <c r="T15" i="3"/>
  <c r="S15" i="3"/>
  <c r="W15" i="3" s="1"/>
  <c r="X14" i="3"/>
  <c r="V14" i="3"/>
  <c r="U14" i="3"/>
  <c r="T14" i="3"/>
  <c r="S14" i="3"/>
  <c r="W14" i="3" s="1"/>
  <c r="X13" i="3"/>
  <c r="V13" i="3"/>
  <c r="U13" i="3"/>
  <c r="T13" i="3"/>
  <c r="S13" i="3"/>
  <c r="W13" i="3" s="1"/>
  <c r="X12" i="3"/>
  <c r="V12" i="3"/>
  <c r="U12" i="3"/>
  <c r="T12" i="3"/>
  <c r="S12" i="3"/>
  <c r="W12" i="3" s="1"/>
  <c r="X11" i="3"/>
  <c r="V11" i="3"/>
  <c r="U11" i="3"/>
  <c r="T11" i="3"/>
  <c r="S11" i="3"/>
  <c r="W11" i="3" s="1"/>
  <c r="X10" i="3"/>
  <c r="V10" i="3"/>
  <c r="U10" i="3"/>
  <c r="T10" i="3"/>
  <c r="S10" i="3"/>
  <c r="W10" i="3" s="1"/>
  <c r="X9" i="3"/>
  <c r="V9" i="3"/>
  <c r="U9" i="3"/>
  <c r="T9" i="3"/>
  <c r="S9" i="3"/>
  <c r="W9" i="3" s="1"/>
  <c r="X8" i="3"/>
  <c r="V8" i="3"/>
  <c r="U8" i="3"/>
  <c r="T8" i="3"/>
  <c r="S8" i="3"/>
  <c r="W8" i="3" s="1"/>
  <c r="X7" i="3"/>
  <c r="V7" i="3"/>
  <c r="U7" i="3"/>
  <c r="T7" i="3"/>
  <c r="S7" i="3"/>
  <c r="W7" i="3" s="1"/>
  <c r="X6" i="3"/>
  <c r="V6" i="3"/>
  <c r="U6" i="3"/>
  <c r="T6" i="3"/>
  <c r="S6" i="3"/>
  <c r="W6" i="3" s="1"/>
  <c r="X5" i="3"/>
  <c r="V5" i="3"/>
  <c r="U5" i="3"/>
  <c r="T5" i="3"/>
  <c r="S5" i="3"/>
  <c r="W5" i="3" s="1"/>
  <c r="X4" i="3"/>
  <c r="V4" i="3"/>
  <c r="U4" i="3"/>
  <c r="T4" i="3"/>
  <c r="S4" i="3"/>
  <c r="W4" i="3" s="1"/>
  <c r="X3" i="3"/>
  <c r="V3" i="3"/>
  <c r="U3" i="3"/>
  <c r="T3" i="3"/>
  <c r="S3" i="3"/>
  <c r="I55" i="8" l="1"/>
  <c r="I54" i="8"/>
  <c r="I53" i="8"/>
  <c r="I52" i="8"/>
  <c r="I51" i="8"/>
  <c r="I50" i="8"/>
  <c r="I49" i="8"/>
  <c r="I48" i="8"/>
  <c r="I37" i="8"/>
  <c r="I36" i="8"/>
  <c r="I35" i="8"/>
  <c r="I56" i="8"/>
  <c r="I32" i="8"/>
  <c r="I34" i="8"/>
  <c r="I33" i="8"/>
  <c r="I31" i="8"/>
  <c r="C61" i="8"/>
  <c r="D61" i="8" s="1"/>
  <c r="AH273" i="9"/>
  <c r="AH348" i="9"/>
  <c r="AH347" i="9"/>
  <c r="AH346" i="9"/>
  <c r="AH345" i="9"/>
  <c r="AH342" i="9"/>
  <c r="AH335" i="9"/>
  <c r="AH334" i="9"/>
  <c r="AH341" i="9"/>
  <c r="AH340" i="9"/>
  <c r="AH338" i="9"/>
  <c r="AH337" i="9"/>
  <c r="AH332" i="9"/>
  <c r="AH331" i="9"/>
  <c r="AH336" i="9"/>
  <c r="AH333" i="9"/>
  <c r="AH339" i="9"/>
  <c r="AH330" i="9"/>
  <c r="AH329" i="9"/>
  <c r="AH326" i="9"/>
  <c r="AH325" i="9"/>
  <c r="AH324" i="9"/>
  <c r="AH322" i="9"/>
  <c r="AH319" i="9"/>
  <c r="AH321" i="9"/>
  <c r="AH318" i="9"/>
  <c r="AH328" i="9"/>
  <c r="AH327" i="9"/>
  <c r="AH323" i="9"/>
  <c r="AH320" i="9"/>
  <c r="AH317" i="9"/>
  <c r="AH316" i="9"/>
  <c r="AH313" i="9"/>
  <c r="AH308" i="9"/>
  <c r="AH307" i="9"/>
  <c r="AH315" i="9"/>
  <c r="AH314" i="9"/>
  <c r="AH310" i="9"/>
  <c r="AH306" i="9"/>
  <c r="AH304" i="9"/>
  <c r="AH312" i="9"/>
  <c r="AH311" i="9"/>
  <c r="AH309" i="9"/>
  <c r="AH305" i="9"/>
  <c r="AH303" i="9"/>
  <c r="AH295" i="9"/>
  <c r="AH291" i="9"/>
  <c r="AH302" i="9"/>
  <c r="AH299" i="9"/>
  <c r="AH294" i="9"/>
  <c r="AH293" i="9"/>
  <c r="AH297" i="9"/>
  <c r="AH296" i="9"/>
  <c r="AH292" i="9"/>
  <c r="AH301" i="9"/>
  <c r="AH300" i="9"/>
  <c r="AH298" i="9"/>
  <c r="AH290" i="9"/>
  <c r="AH288" i="9"/>
  <c r="AH286" i="9"/>
  <c r="AH283" i="9"/>
  <c r="AH281" i="9"/>
  <c r="AH279" i="9"/>
  <c r="AH289" i="9"/>
  <c r="AH285" i="9"/>
  <c r="AH282" i="9"/>
  <c r="AH280" i="9"/>
  <c r="AH278" i="9"/>
  <c r="AH287" i="9"/>
  <c r="AH284" i="9"/>
  <c r="AH277" i="9"/>
  <c r="AH276" i="9"/>
  <c r="AH275" i="9"/>
  <c r="AH274" i="9"/>
  <c r="AH272" i="9"/>
  <c r="AH269" i="9"/>
  <c r="AH268" i="9"/>
  <c r="AH267" i="9"/>
  <c r="AH266" i="9"/>
  <c r="AH265" i="9"/>
  <c r="AH271" i="9"/>
  <c r="AH270" i="9"/>
  <c r="AH264" i="9"/>
  <c r="AH263" i="9"/>
  <c r="AH260" i="9"/>
  <c r="AH257" i="9"/>
  <c r="AH262" i="9"/>
  <c r="AH259" i="9"/>
  <c r="AH258" i="9"/>
  <c r="AH256" i="9"/>
  <c r="AH255" i="9"/>
  <c r="AH254" i="9"/>
  <c r="AH261" i="9"/>
  <c r="AH253" i="9"/>
  <c r="AH252" i="9"/>
  <c r="AH251" i="9"/>
  <c r="AH247" i="9"/>
  <c r="AH245" i="9"/>
  <c r="AH243" i="9"/>
  <c r="AH240" i="9"/>
  <c r="AH249" i="9"/>
  <c r="AH248" i="9"/>
  <c r="AH250" i="9"/>
  <c r="AH246" i="9"/>
  <c r="AH244" i="9"/>
  <c r="AH242" i="9"/>
  <c r="AH239" i="9"/>
  <c r="AH241" i="9"/>
  <c r="AH238" i="9"/>
  <c r="AH231" i="9"/>
  <c r="AH228" i="9"/>
  <c r="AH237" i="9"/>
  <c r="AH236" i="9"/>
  <c r="AH230" i="9"/>
  <c r="AH227" i="9"/>
  <c r="AH234" i="9"/>
  <c r="AH229" i="9"/>
  <c r="AH226" i="9"/>
  <c r="AH235" i="9"/>
  <c r="AH233" i="9"/>
  <c r="AH232" i="9"/>
  <c r="AH225" i="9"/>
  <c r="AH219" i="9"/>
  <c r="AH218" i="9"/>
  <c r="AH215" i="9"/>
  <c r="AH224" i="9"/>
  <c r="AH222" i="9"/>
  <c r="AH221" i="9"/>
  <c r="AH216" i="9"/>
  <c r="AH213" i="9"/>
  <c r="AH223" i="9"/>
  <c r="AH220" i="9"/>
  <c r="AH217" i="9"/>
  <c r="AH214" i="9"/>
  <c r="AH212" i="9"/>
  <c r="AH206" i="9"/>
  <c r="AH205" i="9"/>
  <c r="AH211" i="9"/>
  <c r="AH210" i="9"/>
  <c r="AH207" i="9"/>
  <c r="AH204" i="9"/>
  <c r="AH201" i="9"/>
  <c r="AH200" i="9"/>
  <c r="AH203" i="9"/>
  <c r="AH202" i="9"/>
  <c r="AH209" i="9"/>
  <c r="AH208" i="9"/>
  <c r="AH199" i="9"/>
  <c r="AH195" i="9"/>
  <c r="AH192" i="9"/>
  <c r="AH190" i="9"/>
  <c r="AH197" i="9"/>
  <c r="AH196" i="9"/>
  <c r="AH198" i="9"/>
  <c r="AH189" i="9"/>
  <c r="AH188" i="9"/>
  <c r="AH187" i="9"/>
  <c r="AH194" i="9"/>
  <c r="AH193" i="9"/>
  <c r="AH191" i="9"/>
  <c r="C357" i="9"/>
  <c r="C355" i="9"/>
  <c r="D355" i="9" s="1"/>
  <c r="C354" i="9"/>
  <c r="C8" i="5"/>
  <c r="E26" i="6"/>
  <c r="E24" i="6"/>
  <c r="E23" i="6"/>
  <c r="G23" i="6" s="1"/>
  <c r="E19" i="6"/>
  <c r="G19" i="6" s="1"/>
  <c r="E18" i="6"/>
  <c r="E15" i="6"/>
  <c r="G15" i="6" s="1"/>
  <c r="E25" i="6"/>
  <c r="G25" i="6" s="1"/>
  <c r="E22" i="6"/>
  <c r="E21" i="6"/>
  <c r="G21" i="6" s="1"/>
  <c r="E20" i="6"/>
  <c r="E17" i="6"/>
  <c r="G17" i="6" s="1"/>
  <c r="E16" i="6"/>
  <c r="E14" i="6"/>
  <c r="E13" i="6"/>
  <c r="G13" i="6" s="1"/>
  <c r="D8" i="6"/>
  <c r="F8" i="6" s="1"/>
  <c r="D5" i="6"/>
  <c r="F5" i="6" s="1"/>
  <c r="D9" i="6"/>
  <c r="D7" i="6"/>
  <c r="F7" i="6" s="1"/>
  <c r="D6" i="6"/>
  <c r="J34" i="4"/>
  <c r="B32" i="5" s="1"/>
  <c r="W93" i="3"/>
  <c r="W333" i="3"/>
  <c r="W169" i="3"/>
  <c r="W167" i="3"/>
  <c r="W69" i="3"/>
  <c r="W45" i="3"/>
  <c r="W309" i="3"/>
  <c r="W141" i="3"/>
  <c r="W123" i="3"/>
  <c r="W117" i="3"/>
  <c r="W21" i="3"/>
  <c r="W51" i="3"/>
  <c r="W231" i="3"/>
  <c r="W147" i="3"/>
  <c r="W143" i="3"/>
  <c r="W95" i="3"/>
  <c r="W47" i="3"/>
  <c r="W3" i="3"/>
  <c r="W229" i="3"/>
  <c r="W227" i="3"/>
  <c r="W171" i="3"/>
  <c r="W145" i="3"/>
  <c r="W119" i="3"/>
  <c r="W75" i="3"/>
  <c r="W195" i="3"/>
  <c r="W193" i="3"/>
  <c r="W191" i="3"/>
  <c r="W189" i="3"/>
  <c r="W165" i="3"/>
  <c r="W121" i="3"/>
  <c r="W99" i="3"/>
  <c r="W97" i="3"/>
  <c r="W71" i="3"/>
  <c r="W49" i="3"/>
  <c r="W27" i="3"/>
  <c r="W25" i="3"/>
  <c r="W73" i="3"/>
  <c r="W23" i="3"/>
  <c r="C9" i="5"/>
  <c r="D9" i="5" s="1"/>
  <c r="C10" i="5"/>
  <c r="D10" i="5" s="1"/>
  <c r="C11" i="5"/>
  <c r="D11" i="5" s="1"/>
  <c r="C60" i="8"/>
  <c r="I8" i="8"/>
  <c r="AH5" i="9"/>
  <c r="C62" i="8" l="1"/>
  <c r="D62" i="8" s="1"/>
  <c r="C356" i="9"/>
  <c r="D356" i="9" s="1"/>
  <c r="G26" i="6"/>
  <c r="F26" i="6"/>
  <c r="G24" i="6"/>
  <c r="F24" i="6"/>
  <c r="F18" i="6"/>
  <c r="G18" i="6"/>
  <c r="F22" i="6"/>
  <c r="G22" i="6"/>
  <c r="G20" i="6"/>
  <c r="F20" i="6"/>
  <c r="G16" i="6"/>
  <c r="F16" i="6"/>
  <c r="G14" i="6"/>
  <c r="F14" i="6"/>
  <c r="F15" i="6"/>
  <c r="F19" i="6"/>
  <c r="F23" i="6"/>
  <c r="F13" i="6"/>
  <c r="F17" i="6"/>
  <c r="F21" i="6"/>
  <c r="F25" i="6"/>
  <c r="E7" i="6"/>
  <c r="E9" i="6"/>
  <c r="F9" i="6"/>
  <c r="F6" i="6"/>
  <c r="E6" i="6"/>
  <c r="E5" i="6"/>
  <c r="E8" i="6"/>
  <c r="C12" i="5"/>
  <c r="D12" i="5" s="1"/>
  <c r="D32" i="5"/>
  <c r="D8" i="5"/>
  <c r="B35"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tc={0BA6C981-64B8-44EA-A864-4E94F4B9E875}</author>
    <author>tc={7F8BBC97-B33D-4A68-AB5E-C419D5D7DB56}</author>
    <author>tc={75593C6E-9269-4D6A-9457-76F2D27F447A}</author>
    <author>tc={E93630EF-33D6-4C34-AC40-2C963EED3902}</author>
    <author>tc={5A91BECA-D08A-4AE7-8D73-AC6ADA4E1429}</author>
    <author>tc={E6A8FD55-D722-4A7B-9BEF-79663EC4E1DF}</author>
    <author>tc={4D49BC3D-32AA-4101-9EFF-6FC8ED9671E5}</author>
    <author>tc={3125904A-BF8C-4EF6-955F-F0E137214329}</author>
    <author>tc={8F0A651E-D52B-448F-9265-B27396A98DA2}</author>
    <author>tc={E3B7CAAB-15C2-46D7-9312-49CEE72ED7D1}</author>
    <author>tc={5124809E-D6FB-4E52-996E-DF07996148B5}</author>
    <author>tc={2CC2FF8F-0D91-4608-B191-FEE5B150E330}</author>
    <author>tc={119B4096-2EDD-43FD-AEA6-189453E62B93}</author>
    <author>tc={6BD96069-2FC9-4FF4-B209-54E4B8E18D9A}</author>
    <author>tc={796A663A-87DF-4E8C-A7DD-A6BAF10F1D60}</author>
    <author>tc={EB41D819-5D4C-4A32-8018-741406CE65ED}</author>
    <author>tc={F17FC4DE-5FE6-4A16-9109-AA447DC95A7D}</author>
    <author>tc={8BF61ED2-706F-40AC-8FA5-37D12EF6F43A}</author>
    <author>tc={B3B2F368-3E2F-41D7-A5BA-49A76527DDB2}</author>
    <author>tc={1B85948D-31FB-4B85-93E6-8D8B433D03EA}</author>
    <author>tc={486B7B81-059B-4B03-86A1-95A5B49E903E}</author>
    <author>tc={4A0752F2-26B6-4966-92F1-144333D0B899}</author>
    <author>tc={E2925F08-6351-4D08-B64A-7B44ADE0FDEE}</author>
    <author>tc={FB11EE83-9B60-43A8-90C2-ACC102F67F81}</author>
    <author>tc={63E5DF44-2D65-4C8B-9A31-32E684F8BED5}</author>
    <author>tc={7CC22B2F-08F0-47A7-9D58-5FDC3679E8F3}</author>
    <author>tc={AC8B5F19-D294-4729-880D-B6E3A82217EA}</author>
    <author>tc={36980E39-885A-4379-B173-BD2CF1107F01}</author>
    <author>tc={87E4F5D5-6CEA-4705-9F12-5220B1A2306B}</author>
    <author>tc={182D15DB-6959-4039-BA5D-C53AC6207FE5}</author>
    <author>tc={A34B85C6-AD47-4044-A6CD-59FF76C35A7C}</author>
    <author>tc={9B0CB34D-4C53-45EE-9691-961FD660AC36}</author>
    <author>tc={17D6ACC2-30CE-499E-9D7A-AEFF2A97E742}</author>
    <author>tc={36D0E451-ED9A-4F34-A5D4-82B8B994623D}</author>
    <author>tc={368E37CC-F9AA-4B95-A421-38BBBF76EC1B}</author>
    <author>tc={D90CC203-F5E1-469D-9AB3-BB6C1B8388B6}</author>
    <author>tc={DD618417-1A32-4007-AF31-B5D704F53D66}</author>
    <author>tc={259856CA-5A7C-4C3B-9DE6-F3F056C54930}</author>
    <author>tc={33FB2F12-38F5-4F3F-9A61-132EF71944CF}</author>
    <author>tc={71280C31-6F75-4FB1-936A-EDBDDC647B34}</author>
    <author>tc={E8DE4D58-E908-44B7-BAC1-9E9B3BD5F09C}</author>
    <author>tc={BCEBF740-5CB8-42EE-93CE-227FD88FCED8}</author>
    <author>tc={57B549A4-B969-4017-A9F3-FF4329CBC17C}</author>
    <author>tc={FACC3B15-0661-46FD-8C9A-2A2F1728358F}</author>
    <author>tc={3050716D-9110-4D46-BB60-6339FC20C16F}</author>
    <author>tc={B4F609CF-5642-4430-8AFC-0B05B88651C6}</author>
  </authors>
  <commentList>
    <comment ref="J8" authorId="0" shapeId="0" xr:uid="{0BA6C981-64B8-44EA-A864-4E94F4B9E875}">
      <text>
        <t>[Threaded comment]
Your version of Excel allows you to read this threaded comment; however, any edits to it will get removed if the file is opened in a newer version of Excel. Learn more: https://go.microsoft.com/fwlink/?linkid=870924
Comment:
    여기서는 반복 패턴이 중요합니다! 톤 때문에요.. 그냥 exact same 말구 same 만 해도 괜찮아서 ai 표현 flagging 했습니다</t>
      </text>
    </comment>
    <comment ref="J9" authorId="1" shapeId="0" xr:uid="{7F8BBC97-B33D-4A68-AB5E-C419D5D7DB56}">
      <text>
        <t>[Threaded comment]
Your version of Excel allows you to read this threaded comment; however, any edits to it will get removed if the file is opened in a newer version of Excel. Learn more: https://go.microsoft.com/fwlink/?linkid=870924
Comment:
    직역 문제이기도 하고 다시보니까 세계관 오류이기도 합니다 (단어선정). Young punk가 비유는 아니여서 이부분은 솔찍히 동의 못합니다</t>
      </text>
    </comment>
    <comment ref="J10" authorId="2" shapeId="0" xr:uid="{75593C6E-9269-4D6A-9457-76F2D27F447A}">
      <text>
        <t>[Threaded comment]
Your version of Excel allows you to read this threaded comment; however, any edits to it will get removed if the file is opened in a newer version of Excel. Learn more: https://go.microsoft.com/fwlink/?linkid=870924
Comment:
    직역으로 인한 문장붕괴라서 동의합니다!</t>
      </text>
    </comment>
    <comment ref="J11" authorId="3" shapeId="0" xr:uid="{E93630EF-33D6-4C34-AC40-2C963EED3902}">
      <text>
        <t>[Threaded comment]
Your version of Excel allows you to read this threaded comment; however, any edits to it will get removed if the file is opened in a newer version of Excel. Learn more: https://go.microsoft.com/fwlink/?linkid=870924
Comment:
    의미왜곡 된 부분은 없구 문장이 부자연스럽고 직역티가납니다. 사실 문장흐름 오류도 있네요 장황함</t>
      </text>
    </comment>
    <comment ref="J12" authorId="4" shapeId="0" xr:uid="{5A91BECA-D08A-4AE7-8D73-AC6ADA4E1429}">
      <text>
        <t>[Threaded comment]
Your version of Excel allows you to read this threaded comment; however, any edits to it will get removed if the file is opened in a newer version of Excel. Learn more: https://go.microsoft.com/fwlink/?linkid=870924
Comment:
    뉘앙스 차이는 잘 모르겠지만 swallowed his temper 가 직역/단어선정문제</t>
      </text>
    </comment>
    <comment ref="J13" authorId="5" shapeId="0" xr:uid="{E6A8FD55-D722-4A7B-9BEF-79663EC4E1DF}">
      <text>
        <t>[Threaded comment]
Your version of Excel allows you to read this threaded comment; however, any edits to it will get removed if the file is opened in a newer version of Excel. Learn more: https://go.microsoft.com/fwlink/?linkid=870924
Comment:
    대명사 사용안해서 12, 의미왜곡이나 화자혼동은 아닌데 the elder 때문에 그렇게 선택한거같습니다</t>
      </text>
    </comment>
    <comment ref="J14" authorId="6" shapeId="0" xr:uid="{4D49BC3D-32AA-4101-9EFF-6FC8ED9671E5}">
      <text>
        <t>[Threaded comment]
Your version of Excel allows you to read this threaded comment; however, any edits to it will get removed if the file is opened in a newer version of Excel. Learn more: https://go.microsoft.com/fwlink/?linkid=870924
Comment:
    핵심플롯 왜곡이라고 선택한 이유가 번약이 "마수가 노릴 가능성"을 누락해서 그런거같은데 위에 이미 언급된 부분이라 직역이라고 봅니다</t>
      </text>
    </comment>
    <comment ref="J15" authorId="7" shapeId="0" xr:uid="{3125904A-BF8C-4EF6-955F-F0E137214329}">
      <text>
        <t>[Threaded comment]
Your version of Excel allows you to read this threaded comment; however, any edits to it will get removed if the file is opened in a newer version of Excel. Learn more: https://go.microsoft.com/fwlink/?linkid=870924
Comment:
    명백한 대사태그 오류입니다</t>
      </text>
    </comment>
    <comment ref="J16" authorId="8" shapeId="0" xr:uid="{8F0A651E-D52B-448F-9265-B27396A98DA2}">
      <text>
        <t>[Threaded comment]
Your version of Excel allows you to read this threaded comment; however, any edits to it will get removed if the file is opened in a newer version of Excel. Learn more: https://go.microsoft.com/fwlink/?linkid=870924
Comment:
    질문인데 앞에 is that 없어서 문법오류입니다</t>
      </text>
    </comment>
    <comment ref="J17" authorId="9" shapeId="0" xr:uid="{E3B7CAAB-15C2-46D7-9312-49CEE72ED7D1}">
      <text>
        <t>[Threaded comment]
Your version of Excel allows you to read this threaded comment; however, any edits to it will get removed if the file is opened in a newer version of Excel. Learn more: https://go.microsoft.com/fwlink/?linkid=870924
Comment:
    가볍게를 말그대로 lightly 로 번역해서 직역입니다</t>
      </text>
    </comment>
    <comment ref="J18" authorId="10" shapeId="0" xr:uid="{5124809E-D6FB-4E52-996E-DF07996148B5}">
      <text>
        <t>[Threaded comment]
Your version of Excel allows you to read this threaded comment; however, any edits to it will get removed if the file is opened in a newer version of Excel. Learn more: https://go.microsoft.com/fwlink/?linkid=870924
Comment:
    미터 그대로 사용해서 직역한거같은데 스타일가이드에 숫자/단위표기 카테고리 있습니다</t>
      </text>
    </comment>
    <comment ref="J19" authorId="11" shapeId="0" xr:uid="{2CC2FF8F-0D91-4608-B191-FEE5B150E330}">
      <text>
        <t>[Threaded comment]
Your version of Excel allows you to read this threaded comment; however, any edits to it will get removed if the file is opened in a newer version of Excel. Learn more: https://go.microsoft.com/fwlink/?linkid=870924
Comment:
    대사태그 오류기도 하고 "선언했다"가 누락됐으니까 오역이기도 합니다 (:</t>
      </text>
    </comment>
    <comment ref="J20" authorId="12" shapeId="0" xr:uid="{119B4096-2EDD-43FD-AEA6-189453E62B93}">
      <text>
        <t>[Threaded comment]
Your version of Excel allows you to read this threaded comment; however, any edits to it will get removed if the file is opened in a newer version of Excel. Learn more: https://go.microsoft.com/fwlink/?linkid=870924
Comment:
    관용적이지 못하고 어색하기도 해서 2가 좋을꺼같습니다</t>
      </text>
    </comment>
    <comment ref="J21" authorId="13" shapeId="0" xr:uid="{6BD96069-2FC9-4FF4-B209-54E4B8E18D9A}">
      <text>
        <t>[Threaded comment]
Your version of Excel allows you to read this threaded comment; however, any edits to it will get removed if the file is opened in a newer version of Excel. Learn more: https://go.microsoft.com/fwlink/?linkid=870924
Comment:
    단순 뉘앙스 문제가 아니고 직역때문에 표현이 부자연스럽고 2번째 문장이 뚝 끊깁니다 (부자연스러운 전개 오류이기도 합니다)</t>
      </text>
    </comment>
    <comment ref="J22" authorId="14" shapeId="0" xr:uid="{796A663A-87DF-4E8C-A7DD-A6BAF10F1D60}">
      <text>
        <t>[Threaded comment]
Your version of Excel allows you to read this threaded comment; however, any edits to it will get removed if the file is opened in a newer version of Excel. Learn more: https://go.microsoft.com/fwlink/?linkid=870924
Comment:
    이전 문장에 이미 마당 나와서 삭제해도 되고 직역때문에 문장이 조금 지저분합니다</t>
      </text>
    </comment>
    <comment ref="J23" authorId="15" shapeId="0" xr:uid="{EB41D819-5D4C-4A32-8018-741406CE65ED}">
      <text>
        <t>[Threaded comment]
Your version of Excel allows you to read this threaded comment; however, any edits to it will get removed if the file is opened in a newer version of Excel. Learn more: https://go.microsoft.com/fwlink/?linkid=870924
Comment:
    옛날말투에 omg 안써서 장르위반입니다. Oh my god에 쉼표 사용한건 문법오류구요</t>
      </text>
    </comment>
    <comment ref="J25" authorId="16" shapeId="0" xr:uid="{F17FC4DE-5FE6-4A16-9109-AA447DC95A7D}">
      <text>
        <t>[Threaded comment]
Your version of Excel allows you to read this threaded comment; however, any edits to it will get removed if the file is opened in a newer version of Excel. Learn more: https://go.microsoft.com/fwlink/?linkid=870924
Comment:
    중복만 선택해도 문제없습니다!</t>
      </text>
    </comment>
    <comment ref="J26" authorId="17" shapeId="0" xr:uid="{8BF61ED2-706F-40AC-8FA5-37D12EF6F43A}">
      <text>
        <t>[Threaded comment]
Your version of Excel allows you to read this threaded comment; however, any edits to it will get removed if the file is opened in a newer version of Excel. Learn more: https://go.microsoft.com/fwlink/?linkid=870924
Comment:
    대문자 오류고 마님이 대감마님 남자 my lord 맞으니까 강도 1입니다</t>
      </text>
    </comment>
    <comment ref="J27" authorId="18" shapeId="0" xr:uid="{B3B2F368-3E2F-41D7-A5BA-49A76527DDB2}">
      <text>
        <t>[Threaded comment]
Your version of Excel allows you to read this threaded comment; however, any edits to it will get removed if the file is opened in a newer version of Excel. Learn more: https://go.microsoft.com/fwlink/?linkid=870924
Comment:
    “살아남은" 이라는 단어가 없고 실제로 계속 집에 있어서 죽다 살아난게 아닌 무사입니다. Surviving 은 오역입니다. 직역은 딱히 없는걸로 보입니다</t>
      </text>
    </comment>
    <comment ref="J28" authorId="19" shapeId="0" xr:uid="{1B85948D-31FB-4B85-93E6-8D8B433D03EA}">
      <text>
        <t>[Threaded comment]
Your version of Excel allows you to read this threaded comment; however, any edits to it will get removed if the file is opened in a newer version of Excel. Learn more: https://go.microsoft.com/fwlink/?linkid=870924
Comment:
    직역으로 인한 문장붕괴!</t>
      </text>
    </comment>
    <comment ref="J29" authorId="20" shapeId="0" xr:uid="{486B7B81-059B-4B03-86A1-95A5B49E903E}">
      <text>
        <t xml:space="preserve">[Threaded comment]
Your version of Excel allows you to read this threaded comment; however, any edits to it will get removed if the file is opened in a newer version of Excel. Learn more: https://go.microsoft.com/fwlink/?linkid=870924
Comment:
    불완전한 문장 + 발끝 reach his toes 표현 관용적이지 않기도 하고 영어화자가 거의 안쓰는 표현도 맞아서 직역강도 동의합니다 </t>
      </text>
    </comment>
    <comment ref="J30" authorId="21" shapeId="0" xr:uid="{4A0752F2-26B6-4966-92F1-144333D0B899}">
      <text>
        <t>[Threaded comment]
Your version of Excel allows you to read this threaded comment; however, any edits to it will get removed if the file is opened in a newer version of Excel. Learn more: https://go.microsoft.com/fwlink/?linkid=870924
Comment:
    명백한 서술규칙 오류입니다. 서술에 호칭 잘못쓴거니까요</t>
      </text>
    </comment>
    <comment ref="J32" authorId="22" shapeId="0" xr:uid="{E2925F08-6351-4D08-B64A-7B44ADE0FDEE}">
      <text>
        <t>[Threaded comment]
Your version of Excel allows you to read this threaded comment; however, any edits to it will get removed if the file is opened in a newer version of Excel. Learn more: https://go.microsoft.com/fwlink/?linkid=870924
Comment:
    말줄임표 스타일가이드 오류입니다</t>
      </text>
    </comment>
    <comment ref="J33" authorId="23" shapeId="0" xr:uid="{FB11EE83-9B60-43A8-90C2-ACC102F67F81}">
      <text>
        <t>[Threaded comment]
Your version of Excel allows you to read this threaded comment; however, any edits to it will get removed if the file is opened in a newer version of Excel. Learn more: https://go.microsoft.com/fwlink/?linkid=870924
Comment:
    뉘앙스 오류가 아니라 직역이랑 장황함 문제입니다 (문법 수동태 문제도 있네요)</t>
      </text>
    </comment>
    <comment ref="J34" authorId="24" shapeId="0" xr:uid="{63E5DF44-2D65-4C8B-9A31-32E684F8BED5}">
      <text>
        <t>[Threaded comment]
Your version of Excel allows you to read this threaded comment; however, any edits to it will get removed if the file is opened in a newer version of Excel. Learn more: https://go.microsoft.com/fwlink/?linkid=870924
Comment:
    What goes through your head 사용은 하는데 더 관용적인 표현이 있어서 2로 선택했지만 3도 괜찮습니다</t>
      </text>
    </comment>
    <comment ref="J35" authorId="25" shapeId="0" xr:uid="{7CC22B2F-08F0-47A7-9D58-5FDC3679E8F3}">
      <text>
        <t>[Threaded comment]
Your version of Excel allows you to read this threaded comment; however, any edits to it will get removed if the file is opened in a newer version of Excel. Learn more: https://go.microsoft.com/fwlink/?linkid=870924
Comment:
    명백한 대사태그 오류랑 불필요한 em-dash 사용한겁니다</t>
      </text>
    </comment>
    <comment ref="J36" authorId="26" shapeId="0" xr:uid="{AC8B5F19-D294-4729-880D-B6E3A82217EA}">
      <text>
        <t>[Threaded comment]
Your version of Excel allows you to read this threaded comment; however, any edits to it will get removed if the file is opened in a newer version of Excel. Learn more: https://go.microsoft.com/fwlink/?linkid=870924
Comment:
    문법 오류는 없고 관용적이지 못한 문장입니다</t>
      </text>
    </comment>
    <comment ref="J38" authorId="27" shapeId="0" xr:uid="{36980E39-885A-4379-B173-BD2CF1107F01}">
      <text>
        <t>[Threaded comment]
Your version of Excel allows you to read this threaded comment; however, any edits to it will get removed if the file is opened in a newer version of Excel. Learn more: https://go.microsoft.com/fwlink/?linkid=870924
Comment:
    Slump 가 관용적이지 못합니다 (콩글리쉬)</t>
      </text>
    </comment>
    <comment ref="J39" authorId="28" shapeId="0" xr:uid="{87E4F5D5-6CEA-4705-9F12-5220B1A2306B}">
      <text>
        <t>[Threaded comment]
Your version of Excel allows you to read this threaded comment; however, any edits to it will get removed if the file is opened in a newer version of Excel. Learn more: https://go.microsoft.com/fwlink/?linkid=870924
Comment:
    드라마 직역해서 drama 사용을 오역으로 볼수도 있어서 동의합니다</t>
      </text>
    </comment>
    <comment ref="J40" authorId="29" shapeId="0" xr:uid="{182D15DB-6959-4039-BA5D-C53AC6207FE5}">
      <text>
        <t>[Threaded comment]
Your version of Excel allows you to read this threaded comment; however, any edits to it will get removed if the file is opened in a newer version of Excel. Learn more: https://go.microsoft.com/fwlink/?linkid=870924
Comment:
    관용적이지 못한 stock 을 영어화자 안쓰는 표현이라고 생각할 수 있어서 동의합니다</t>
      </text>
    </comment>
    <comment ref="J41" authorId="30" shapeId="0" xr:uid="{A34B85C6-AD47-4044-A6CD-59FF76C35A7C}">
      <text>
        <t>[Threaded comment]
Your version of Excel allows you to read this threaded comment; however, any edits to it will get removed if the file is opened in a newer version of Excel. Learn more: https://go.microsoft.com/fwlink/?linkid=870924
Comment:
    서술에서의 시제오류라 서술규칙 입니다</t>
      </text>
    </comment>
    <comment ref="J42" authorId="31" shapeId="0" xr:uid="{9B0CB34D-4C53-45EE-9691-961FD660AC36}">
      <text>
        <t>[Threaded comment]
Your version of Excel allows you to read this threaded comment; however, any edits to it will get removed if the file is opened in a newer version of Excel. Learn more: https://go.microsoft.com/fwlink/?linkid=870924
Comment:
    문장 패턴 (톤) 문제랑 드라마 직역, drama 오역으로 볼수도 있음</t>
      </text>
    </comment>
    <comment ref="J44" authorId="32" shapeId="0" xr:uid="{17D6ACC2-30CE-499E-9D7A-AEFF2A97E742}">
      <text>
        <t>[Threaded comment]
Your version of Excel allows you to read this threaded comment; however, any edits to it will get removed if the file is opened in a newer version of Excel. Learn more: https://go.microsoft.com/fwlink/?linkid=870924
Comment:
    그냥 직역입니다 (서술 규칙문제도 있습니다 (직함사용))</t>
      </text>
    </comment>
    <comment ref="J45" authorId="33" shapeId="0" xr:uid="{36D0E451-ED9A-4F34-A5D4-82B8B994623D}">
      <text>
        <t>[Threaded comment]
Your version of Excel allows you to read this threaded comment; however, any edits to it will get removed if the file is opened in a newer version of Excel. Learn more: https://go.microsoft.com/fwlink/?linkid=870924
Comment:
    관용적이지 못한 표현이랑 이전문장이랑 단어 중복사용 문제 있습니다</t>
      </text>
    </comment>
    <comment ref="J46" authorId="34" shapeId="0" xr:uid="{368E37CC-F9AA-4B95-A421-38BBBF76EC1B}">
      <text>
        <t>[Threaded comment]
Your version of Excel allows you to read this threaded comment; however, any edits to it will get removed if the file is opened in a newer version of Excel. Learn more: https://go.microsoft.com/fwlink/?linkid=870924
Comment:
    옛날말투, laughing eyes 표현 관용적이지 못함</t>
      </text>
    </comment>
    <comment ref="J47" authorId="35" shapeId="0" xr:uid="{D90CC203-F5E1-469D-9AB3-BB6C1B8388B6}">
      <text>
        <t>[Threaded comment]
Your version of Excel allows you to read this threaded comment; however, any edits to it will get removed if the file is opened in a newer version of Excel. Learn more: https://go.microsoft.com/fwlink/?linkid=870924
Comment:
    대사태그가 필요하고 torment 단어 사용이 직역입니다 (혹은 옛날말투)</t>
      </text>
    </comment>
    <comment ref="J48" authorId="36" shapeId="0" xr:uid="{DD618417-1A32-4007-AF31-B5D704F53D66}">
      <text>
        <t>[Threaded comment]
Your version of Excel allows you to read this threaded comment; however, any edits to it will get removed if the file is opened in a newer version of Excel. Learn more: https://go.microsoft.com/fwlink/?linkid=870924
Comment:
    직함사용, 홀따옴표 사용</t>
      </text>
    </comment>
    <comment ref="J49" authorId="37" shapeId="0" xr:uid="{259856CA-5A7C-4C3B-9DE6-F3F056C54930}">
      <text>
        <t>[Threaded comment]
Your version of Excel allows you to read this threaded comment; however, any edits to it will get removed if the file is opened in a newer version of Excel. Learn more: https://go.microsoft.com/fwlink/?linkid=870924
Comment:
    호칭오류, 옛날말투를 직역으로 볼수도 있지만 이거 관련된 카테고리가 있기때문에 잘못선택한거라고 판단됩니다</t>
      </text>
    </comment>
    <comment ref="J50" authorId="38" shapeId="0" xr:uid="{33FB2F12-38F5-4F3F-9A61-132EF71944CF}">
      <text>
        <t>[Threaded comment]
Your version of Excel allows you to read this threaded comment; however, any edits to it will get removed if the file is opened in a newer version of Excel. Learn more: https://go.microsoft.com/fwlink/?linkid=870924
Comment:
    Ai 표현 문제입니다 exact same</t>
      </text>
    </comment>
    <comment ref="J51" authorId="39" shapeId="0" xr:uid="{71280C31-6F75-4FB1-936A-EDBDDC647B34}">
      <text>
        <t>[Threaded comment]
Your version of Excel allows you to read this threaded comment; however, any edits to it will get removed if the file is opened in a newer version of Excel. Learn more: https://go.microsoft.com/fwlink/?linkid=870924
Comment:
    이건 제꺼보다 평가자B님 판단이 옳습니다 (과장)</t>
      </text>
    </comment>
    <comment ref="J52" authorId="40" shapeId="0" xr:uid="{E8DE4D58-E908-44B7-BAC1-9E9B3BD5F09C}">
      <text>
        <t>[Threaded comment]
Your version of Excel allows you to read this threaded comment; however, any edits to it will get removed if the file is opened in a newer version of Excel. Learn more: https://go.microsoft.com/fwlink/?linkid=870924
Comment:
    쉼표 오류, single ounce of ai 표현, 문장 구조</t>
      </text>
    </comment>
    <comment ref="J53" authorId="41" shapeId="0" xr:uid="{BCEBF740-5CB8-42EE-93CE-227FD88FCED8}">
      <text>
        <t>[Threaded comment]
Your version of Excel allows you to read this threaded comment; however, any edits to it will get removed if the file is opened in a newer version of Excel. Learn more: https://go.microsoft.com/fwlink/?linkid=870924
Comment:
    직함사용, 머리싸매는걸 좀 무슨 금지된 행동인 톤으로 표현해서 약간의 톤문제 (직역때문에)</t>
      </text>
    </comment>
    <comment ref="J54" authorId="42" shapeId="0" xr:uid="{57B549A4-B969-4017-A9F3-FF4329CBC17C}">
      <text>
        <t>[Threaded comment]
Your version of Excel allows you to read this threaded comment; however, any edits to it will get removed if the file is opened in a newer version of Excel. Learn more: https://go.microsoft.com/fwlink/?linkid=870924
Comment:
    평가자님이 서술 규칙 부분은 안읽으셨나바요</t>
      </text>
    </comment>
    <comment ref="J55" authorId="43" shapeId="0" xr:uid="{FACC3B15-0661-46FD-8C9A-2A2F1728358F}">
      <text>
        <t>[Threaded comment]
Your version of Excel allows you to read this threaded comment; however, any edits to it will get removed if the file is opened in a newer version of Excel. Learn more: https://go.microsoft.com/fwlink/?linkid=870924
Comment:
    영어 화자가 안쓰는 표현은 없고 useless 단어선정 관용적이지 못해서 강도는 2입니다</t>
      </text>
    </comment>
    <comment ref="J56" authorId="44" shapeId="0" xr:uid="{3050716D-9110-4D46-BB60-6339FC20C16F}">
      <text>
        <t>[Threaded comment]
Your version of Excel allows you to read this threaded comment; however, any edits to it will get removed if the file is opened in a newer version of Excel. Learn more: https://go.microsoft.com/fwlink/?linkid=870924
Comment:
    이전 문장에 low 사용해서 중복이고 finely crushed chocolate 관용적이지 않아요</t>
      </text>
    </comment>
    <comment ref="J57" authorId="45" shapeId="0" xr:uid="{B4F609CF-5642-4430-8AFC-0B05B88651C6}">
      <text>
        <t>[Threaded comment]
Your version of Excel allows you to read this threaded comment; however, any edits to it will get removed if the file is opened in a newer version of Excel. Learn more: https://go.microsoft.com/fwlink/?linkid=870924
Comment:
    딩커스 누락된거에요</t>
      </text>
    </comment>
  </commentList>
</comments>
</file>

<file path=xl/sharedStrings.xml><?xml version="1.0" encoding="utf-8"?>
<sst xmlns="http://schemas.openxmlformats.org/spreadsheetml/2006/main" count="2185" uniqueCount="1193">
  <si>
    <t>#</t>
  </si>
  <si>
    <t>카테고리</t>
  </si>
  <si>
    <t>정의</t>
  </si>
  <si>
    <t>한→영 특화 포인트</t>
  </si>
  <si>
    <t>강도 1 예시</t>
  </si>
  <si>
    <t>강도 2 예시</t>
  </si>
  <si>
    <t>강도 3 예시</t>
  </si>
  <si>
    <t>집계 그룹</t>
  </si>
  <si>
    <t>1</t>
  </si>
  <si>
    <t>오타·표기 오류</t>
  </si>
  <si>
    <t>오탈자, 단어 누락, 잘못된 철자 (accent 누락 포함, 예: naïve에 일반 i 사용), 말더듬 철자</t>
  </si>
  <si>
    <t>미국식 영어 철자, CMOS 기준 표기, accent 처리</t>
  </si>
  <si>
    <t>형식 오류</t>
  </si>
  <si>
    <t>2</t>
  </si>
  <si>
    <t>문법·문장 구조 오류</t>
  </si>
  <si>
    <t>dangling modifier, 병렬 구조 불일치, 시제 일관성, 조동사 오용</t>
  </si>
  <si>
    <t>한국어 SOV 어순 잔존으로 영어 문법이 깨지는 경우</t>
  </si>
  <si>
    <t>문장 구조 붕괴로 의미 파악 불가</t>
  </si>
  <si>
    <t>3</t>
  </si>
  <si>
    <t>오역</t>
  </si>
  <si>
    <t>의미 왜곡, 발화자 혼동, 누락, 한국어 다의어 문맥 미반영</t>
  </si>
  <si>
    <t>한국어 다의어를 문맥과 다르게 옮기는 경우, 화자 착각</t>
  </si>
  <si>
    <t>핵심 플롯 왜곡, 캐릭터 관계 오인</t>
  </si>
  <si>
    <t>의미 오류</t>
  </si>
  <si>
    <t>4</t>
  </si>
  <si>
    <t>톤·감정 왜곡</t>
  </si>
  <si>
    <t>캐릭터 감정 과장/축소, 장면 분위기 불일치 (예: 부드러운 장면에 rage·seized 사용)</t>
  </si>
  <si>
    <t>원문 톤 왜곡, 감정 과장/축소</t>
  </si>
  <si>
    <t>감정 명확히 과장 또는 축소</t>
  </si>
  <si>
    <t>원문과 정반대 감정 전달</t>
  </si>
  <si>
    <t>5</t>
  </si>
  <si>
    <t>호칭·경칭 오류</t>
  </si>
  <si>
    <t>권력 관계 완전히 붕괴되는 호칭 오류</t>
  </si>
  <si>
    <t>6</t>
  </si>
  <si>
    <t>직역체·부자연스러움</t>
  </si>
  <si>
    <t>"처음부터 영어로 쓰인 소설처럼 읽혀야 한다"는 가이드 핵심 원칙 위반</t>
  </si>
  <si>
    <t>영어 화자가 거의 쓰지 않는 문장</t>
  </si>
  <si>
    <t>7</t>
  </si>
  <si>
    <t>AI 특유 과잉 표현</t>
  </si>
  <si>
    <t>predatory smile, a surge of, devoid of 등 반복적 AI 투 표현, 불필요한 수식어 과다</t>
  </si>
  <si>
    <t>가이드에서 명시적으로 삭제·수정 지시한 AI 표현 패턴</t>
  </si>
  <si>
    <t>AI 표현 다수 반복 사용</t>
  </si>
  <si>
    <t>문단 전체가 AI 투로 캐릭터성·톤 훼손</t>
  </si>
  <si>
    <t>8</t>
  </si>
  <si>
    <t>대사 태그·화자 구분</t>
  </si>
  <si>
    <t>화자 불분명, spoke 사용, 대사-행동 분리 부적절, 문단 구조 오류</t>
  </si>
  <si>
    <t>화자 바뀔 때 새 문단 미사용, 행동을 대사 태그로 통합 안 함, 대사 서식 오류</t>
  </si>
  <si>
    <t>화자 구분 안 되는 문단 구조</t>
  </si>
  <si>
    <t>대화 흐름 완전히 깨짐</t>
  </si>
  <si>
    <t>9</t>
  </si>
  <si>
    <t>한국어 비유 직역 + 문화적 감수성 통합 카테고리</t>
  </si>
  <si>
    <t>10</t>
  </si>
  <si>
    <t>설정·세계관 위반</t>
  </si>
  <si>
    <t>용어집 미반영, 시대 부적합 어휘 (시대물에 현대어), 호칭 일관성, 동일 인물·용어·표현 불일치, 대소문자 표기 불통일</t>
  </si>
  <si>
    <t>설정 + 일관성 통합 카테고리</t>
  </si>
  <si>
    <t>세계관 핵심 설정 위반, 독자 혼란</t>
  </si>
  <si>
    <t>11</t>
  </si>
  <si>
    <t>스타일 가이드·표기</t>
  </si>
  <si>
    <t>가독성 심각 저하</t>
  </si>
  <si>
    <t>12</t>
  </si>
  <si>
    <t>문장 흐름·중복</t>
  </si>
  <si>
    <t>불필요한 반복, 장황한 문장, 정보 중복, 대명사 처리</t>
  </si>
  <si>
    <t>한국어 특유의 반복 묘사를 영어에서 정리하지 못함</t>
  </si>
  <si>
    <t>문단 전체가 같은 내용 반복</t>
  </si>
  <si>
    <t>흐름 오류</t>
  </si>
  <si>
    <t>13</t>
  </si>
  <si>
    <t>서술 규칙</t>
  </si>
  <si>
    <t>14</t>
  </si>
  <si>
    <t>기타</t>
  </si>
  <si>
    <t>신규 카테고리 후보 누적용. ⑦ 시트에 사례 기록</t>
  </si>
  <si>
    <t>심각한 기타 문제</t>
  </si>
  <si>
    <t>강도 점수 기준</t>
  </si>
  <si>
    <t>점수</t>
  </si>
  <si>
    <t>의미</t>
  </si>
  <si>
    <t>판정 기준</t>
  </si>
  <si>
    <t>0</t>
  </si>
  <si>
    <t>문제 없음</t>
  </si>
  <si>
    <t>수정 불필요</t>
  </si>
  <si>
    <t>경미</t>
  </si>
  <si>
    <t>다듬으면 좋으나 의미 전달 OK</t>
  </si>
  <si>
    <t>보통</t>
  </si>
  <si>
    <t>검수자가 명확히 수정해야 함</t>
  </si>
  <si>
    <t>치명</t>
  </si>
  <si>
    <t>독자 이해 실패, 캐릭터 붕괴 등</t>
  </si>
  <si>
    <t>한→영 소설 MT 평가표</t>
  </si>
  <si>
    <t>한→영 웹소설 번역 프롬프트 평가를 위한 평가표입니다. 운영 가이드·매뉴얼과 함께 사용하세요.</t>
  </si>
  <si>
    <t>시트 구성</t>
  </si>
  <si>
    <t>① 안내</t>
  </si>
  <si>
    <t>본 시트. 평가 기준·운영 방식 요약</t>
  </si>
  <si>
    <t>② 카테고리 정의</t>
  </si>
  <si>
    <t>14개 카테고리의 정의·예시·강도 점수 기준</t>
  </si>
  <si>
    <t>③ 평가 입력</t>
  </si>
  <si>
    <t>문장 단위 평가 입력 시트 (메인 작업 시트)</t>
  </si>
  <si>
    <t>④ 정성 평가</t>
  </si>
  <si>
    <t>장면 단위 정성 7항목 평가</t>
  </si>
  <si>
    <t>⑤ 결과 대시보드</t>
  </si>
  <si>
    <t>정량·정성 결과 자동 산출</t>
  </si>
  <si>
    <t>⑥ 버전 비교</t>
  </si>
  <si>
    <t>직전 버전 대비 변화량·나빠진 항목 추적</t>
  </si>
  <si>
    <t>⑦ 기타 사례 누적</t>
  </si>
  <si>
    <t>"기타" 분류 사례 모아 신규 카테고리 검토</t>
  </si>
  <si>
    <t>⑧ 평가자 일치율</t>
  </si>
  <si>
    <t>본 평가 전 평가자 기준 맞추기</t>
  </si>
  <si>
    <t>⑨ 본 평가 비교</t>
  </si>
  <si>
    <t>두 평가자 결과 자동 비교·합산</t>
  </si>
  <si>
    <t>정량 기준</t>
  </si>
  <si>
    <t>전체 문장 중 수정한 문장 비율</t>
  </si>
  <si>
    <t>≤ 50% — 카테고리 1~14 전체 (강도 ≥1)</t>
  </si>
  <si>
    <t>의미 오류 수정률</t>
  </si>
  <si>
    <t>≤ 20% — 카테고리 3·4·5·6·7·9·10</t>
  </si>
  <si>
    <t>형식 오류 수정률</t>
  </si>
  <si>
    <t>≤ 15% — 카테고리 1·2·8·11·13</t>
  </si>
  <si>
    <t>흐름 오류 발생률</t>
  </si>
  <si>
    <t>≤ 10% — 카테고리 12</t>
  </si>
  <si>
    <t>수정 없이 넘긴 문장 비율</t>
  </si>
  <si>
    <t>≥ 30% — 카테고리 1~14 모두 강도 0인 문장</t>
  </si>
  <si>
    <t>기타 (14번)</t>
  </si>
  <si>
    <t>총 수정률에만 포함, 의미·형식·흐름 어느 그룹에도 속하지 않음</t>
  </si>
  <si>
    <t>나빠진 항목 표시</t>
  </si>
  <si>
    <t>직전 버전 대비 어떤 카테고리든 +2%p 이상 늘어나면 표시</t>
  </si>
  <si>
    <t>결과 흔들림 검사</t>
  </si>
  <si>
    <t>동일 프롬프트 2~3회 반복 시 차이 ≤ 5%p</t>
  </si>
  <si>
    <t>작품·문장 번호</t>
  </si>
  <si>
    <t>원문 (한국어)</t>
  </si>
  <si>
    <t>MT본 (영어)</t>
  </si>
  <si>
    <t>검수본 (수정 결과)</t>
  </si>
  <si>
    <t>카테고리별 강도 (0~3)</t>
  </si>
  <si>
    <t>문장 단위 집계</t>
  </si>
  <si>
    <t>비고</t>
  </si>
  <si>
    <t>1.오타</t>
  </si>
  <si>
    <t>2.문법</t>
  </si>
  <si>
    <t>3.오역</t>
  </si>
  <si>
    <t>4.톤감정</t>
  </si>
  <si>
    <t>5.호칭</t>
  </si>
  <si>
    <t>6.직역</t>
  </si>
  <si>
    <t>7.AI표현</t>
  </si>
  <si>
    <t>8.대사태그</t>
  </si>
  <si>
    <t>9.비유관용</t>
  </si>
  <si>
    <t>10.설정</t>
  </si>
  <si>
    <t>11.스타일</t>
  </si>
  <si>
    <t>12.흐름중복</t>
  </si>
  <si>
    <t>13.서술규칙</t>
  </si>
  <si>
    <t>14.기타</t>
  </si>
  <si>
    <t>수정여부</t>
  </si>
  <si>
    <t>의미오류</t>
  </si>
  <si>
    <t>형식오류</t>
  </si>
  <si>
    <t>흐름오류</t>
  </si>
  <si>
    <t>미수정</t>
  </si>
  <si>
    <t>강도합</t>
  </si>
  <si>
    <t>장면 단위 정성 평가 (각 항목 0~2점)</t>
  </si>
  <si>
    <t>장면 ID</t>
  </si>
  <si>
    <t>장면 설명</t>
  </si>
  <si>
    <t>대사 흐름</t>
  </si>
  <si>
    <t>속마음·이탤릭</t>
  </si>
  <si>
    <t>설정 반영</t>
  </si>
  <si>
    <t>의역 품질</t>
  </si>
  <si>
    <t>문장 구성</t>
  </si>
  <si>
    <t>검수자 만족도(0~5)</t>
  </si>
  <si>
    <t>검수 시간(분)</t>
  </si>
  <si>
    <t>% 점수로 변환</t>
  </si>
  <si>
    <t>평균/합계</t>
  </si>
  <si>
    <t>결과 대시보드</t>
  </si>
  <si>
    <t>프롬프트 버전</t>
  </si>
  <si>
    <t>평가 일자</t>
  </si>
  <si>
    <t>정량 지표</t>
  </si>
  <si>
    <t>지표</t>
  </si>
  <si>
    <t>기준</t>
  </si>
  <si>
    <t>실제 값</t>
  </si>
  <si>
    <t>판정</t>
  </si>
  <si>
    <t>전체 수정률 (%)</t>
  </si>
  <si>
    <t>≤ 50</t>
  </si>
  <si>
    <t>의미 오류 수정률 (%)</t>
  </si>
  <si>
    <t>≤ 20</t>
  </si>
  <si>
    <t>형식 오류 수정률 (%)</t>
  </si>
  <si>
    <t>≤ 15</t>
  </si>
  <si>
    <t>흐름 오류 발생률 (%)</t>
  </si>
  <si>
    <t>≤ 10</t>
  </si>
  <si>
    <t>수정 없이 넘긴 비율 (%)</t>
  </si>
  <si>
    <t>≥ 30</t>
  </si>
  <si>
    <t>카테고리별 발생률 (강도≥1 문장 비율)</t>
  </si>
  <si>
    <t>발생 건수</t>
  </si>
  <si>
    <t>발생률 (%)</t>
  </si>
  <si>
    <t>오타·표기</t>
  </si>
  <si>
    <t>문법·구조</t>
  </si>
  <si>
    <t>톤·감정</t>
  </si>
  <si>
    <t>호칭·경칭</t>
  </si>
  <si>
    <t>직역체</t>
  </si>
  <si>
    <t>AI 과잉표현</t>
  </si>
  <si>
    <t>대사 태그</t>
  </si>
  <si>
    <t>비유·관용어</t>
  </si>
  <si>
    <t>설정·세계관</t>
  </si>
  <si>
    <t>스타일·표기</t>
  </si>
  <si>
    <t>흐름·중복</t>
  </si>
  <si>
    <t>정성 평가 가산점</t>
  </si>
  <si>
    <t>평균 % 점수 (가산점)</t>
  </si>
  <si>
    <t>실질 수정률 (%)</t>
  </si>
  <si>
    <t>최종 판정</t>
  </si>
  <si>
    <t>버전 비교 (v1 기준값 vs v1.x 개선안)</t>
  </si>
  <si>
    <t>각 버전의 ⑤ 결과 대시보드 수치를 수동으로 옮겨 적습니다. 변화량(현재−v1)이 2%p 이상 나빠지면 "나빠짐" 표시가 자동으로 나타납니다.</t>
  </si>
  <si>
    <t>v1 (기준값)</t>
  </si>
  <si>
    <t>v1.x (현재)</t>
  </si>
  <si>
    <t>변화량 (현재−v1)</t>
  </si>
  <si>
    <t>방향</t>
  </si>
  <si>
    <t>나빠짐 표시</t>
  </si>
  <si>
    <t>v2 기준</t>
  </si>
  <si>
    <t>총 수정률 (%)</t>
  </si>
  <si>
    <t>카테고리별 발생률 비교 (%)</t>
  </si>
  <si>
    <t>v1</t>
  </si>
  <si>
    <t>v1.x</t>
  </si>
  <si>
    <t>변화량</t>
  </si>
  <si>
    <t>나빠짐</t>
  </si>
  <si>
    <t>"기타" 분류 사례 누적 (신규 카테고리 후보 발굴용)</t>
  </si>
  <si>
    <t>일자</t>
  </si>
  <si>
    <t>버전</t>
  </si>
  <si>
    <t>원문</t>
  </si>
  <si>
    <t>MT본</t>
  </si>
  <si>
    <t>문제 패턴 요약</t>
  </si>
  <si>
    <t>분류 후보</t>
  </si>
  <si>
    <t>평가자 일치율 측정 (본 평가 진입 전 필수)</t>
  </si>
  <si>
    <t>평가자 2명이 동일한 30문장을 따로 평가한 결과를 입력하면 일치율이 자동 계산됩니다. 카테고리 일치율 70% 이상이 본 평가 진입 조건입니다.</t>
  </si>
  <si>
    <t>평가자 A 이름</t>
  </si>
  <si>
    <t>평가자 B 이름</t>
  </si>
  <si>
    <t>측정 일자</t>
  </si>
  <si>
    <t>문장 #</t>
  </si>
  <si>
    <t>평가자 A</t>
  </si>
  <si>
    <t>평가자 B</t>
  </si>
  <si>
    <t>카테고리 일치</t>
  </si>
  <si>
    <t>강도 일치</t>
  </si>
  <si>
    <t>어긋난 사유</t>
  </si>
  <si>
    <t>강도</t>
  </si>
  <si>
    <t>일치율 결과</t>
  </si>
  <si>
    <t>평가 완료 문장 수</t>
  </si>
  <si>
    <t>30개 권장</t>
  </si>
  <si>
    <t>참고</t>
  </si>
  <si>
    <t>카테고리 일치율 (%)</t>
  </si>
  <si>
    <t>≥ 70%</t>
  </si>
  <si>
    <t>강도 일치율 (%)</t>
  </si>
  <si>
    <t>≥ 60%</t>
  </si>
  <si>
    <t>본 평가 결과 비교 (평가자 A · B 결과 자동 비교 및 합산)</t>
  </si>
  <si>
    <t>검수본</t>
  </si>
  <si>
    <t>평가자 A — 카테고리별 강도 (0~3)</t>
  </si>
  <si>
    <t>평가자 B — 카테고리별 강도 (0~3)</t>
  </si>
  <si>
    <t>합의 권장 강도</t>
  </si>
  <si>
    <t>본 평가 일치율 결과</t>
  </si>
  <si>
    <t>600 권장</t>
  </si>
  <si>
    <t>합의 필요 문장 수</t>
  </si>
  <si>
    <t>회의 대상</t>
  </si>
  <si>
    <t>프롤로그</t>
  </si>
  <si>
    <t>히사릴 언덕에는 언제나 산들바람이 불었다.</t>
  </si>
  <si>
    <t>저 서쪽의 한없이 높은 산맥에서부터 시작해, 짧고 뻣뻣한 잡초들을 휩쓸며 아래로 내려가는 바람이.</t>
  </si>
  <si>
    <t>양치기 투란은 볕 드는 들판에 누워 그 산들바람을 맞으며 양 떼를 감시하는 일을 제일 좋아했다.</t>
  </si>
  <si>
    <t>아니, 가장 덜 싫어하는 일이라 표현하는 것이 옳을 터다.</t>
  </si>
  <si>
    <t>양털을 깎거나 축사를 청소하는 것보다 편한 일이라서 그럴 뿐, 이를 즐거워한 적은 없으니까.</t>
  </si>
  <si>
    <t>사실 그를 괴롭히는 가장 큰 적은 고된 노동 따위가 아닌 지루함이었다.</t>
  </si>
  <si>
    <t>늘 눈을 뜰 때마다 똑같은 풍경, 똑같은 건물에서 똑같은 일을 하며 똑같은 시간에 잠드는 나날.</t>
  </si>
  <si>
    <t>가끔은 그러다 말하는 법마저 잊을까 싶어 혼자 말을 걸며 대답하는 것을 놀이 삼기도 했다.</t>
  </si>
  <si>
    <t>이러한 고독을 이기지 못해, 혹은 생활에 꼭 필요한 물건 몇 개를 교환하기 위해 언덕 아래의 작은 마을로 내려가기도 했으나 이 역시 썩 즐겁지는 않았다.</t>
  </si>
  <si>
    <t>왜냐면 마을의 주민들 모두가 투란을 싫어했기 때문이다.</t>
  </si>
  <si>
    <t>물론 투란 역시 그들을 싫어하기는 매한가지였다.</t>
  </si>
  <si>
    <t>“해도 채 기울지 않았는데, 젊은 놈이 벌써 농땡이나 피우고 있는 게냐?”</t>
  </si>
  <si>
    <t>느지막한 오후, 평소처럼 볕 드는 들판에 누워 양 떼를 감시하던 투란의 머리 위로 그림자가 드리웠다.</t>
  </si>
  <si>
    <t>그의 이름은 라부스.</t>
  </si>
  <si>
    <t>언덕 아랫마을의 장로 중 한 명이었다.</t>
  </si>
  <si>
    <t>투란은 자리에서 일어나 그를 맞이하는 대신 얼굴을 찌푸리며 퉁명스럽게 말했다.</t>
  </si>
  <si>
    <t>“비키쇼, 영감. 햇빛 가리니까.”</t>
  </si>
  <si>
    <t>투란은 마을 사람들을 모두 싫어했지만, 그중에서도 특히 더 싫어하는 게 바로 저 늙은이였다.</t>
  </si>
  <si>
    <t>오 년 전, 투란의 어머니가 죽자 재산을 관리해 주겠다면서 은근슬쩍 언덕의 양들을 모두 마을의 공동 소유로 돌리려 했기 때문이었다.</t>
  </si>
  <si>
    <t>그 덕분에 투란은 마을 사람들과 거의 전쟁에 가까운 다툼을 치러 가며 양을 돌려받아야만 했다.</t>
  </si>
  <si>
    <t>퉁명스러운 태도에 라부스의 얼굴이 굳었으나, 그는 이내 이를 악물며 마음을 가라앉혔다.</t>
  </si>
  <si>
    <t>하기야 화를 내 봐야 무엇 하겠는가?</t>
  </si>
  <si>
    <t>여기서 주먹 싸움이라도 한다면 코가 깨져 내려가야 하는 쪽은 그일 게 뻔한데.</t>
  </si>
  <si>
    <t>“지난밤에 롭이 마을 어귀에서 마수를 발견했다. 온몸이 새카만 그림자로 뒤덮이고 덩치가 집채만 한 표범이라더구나.”</t>
  </si>
  <si>
    <t>마수란 마법의 힘을 깨우친 짐승을 이르는 말로, 평범한 동물보다 체격이 크고 머리가 좋으며 온갖 신비한 힘을 다뤘다.</t>
  </si>
  <si>
    <t>동종 내에서도 개체 차이는 있으나 보통은 강한 짐승이 변이할수록 위험한 마수가 되며, 표범 마수쯤 되면 평범한 사람들이 감히 당해내기 어려웠다.</t>
  </si>
  <si>
    <t>“저런.”</t>
  </si>
  <si>
    <t>“겁먹지 않는 게냐? 이 근방에서 마수가 노릴 가능성이 큰 게 너일 텐데도?”</t>
  </si>
  <si>
    <t>“무서워하고 있는데? 그것도 엄청.”</t>
  </si>
  <si>
    <t>말과 달리, 투란의 얼굴에 동요한 기색은 없었다.</t>
  </si>
  <si>
    <t>라부스가 보기에는 참으로 이해하기 어려운 태도였다.</t>
  </si>
  <si>
    <t>대체 간덩이가 어떻게 되어 먹었기에 위험한 마수의 출현을 저런 태도로 받아들일 수 있단 말인가?</t>
  </si>
  <si>
    <t>심지어 그들처럼 울타리 안에 사는 것도 아니면서.</t>
  </si>
  <si>
    <t>“아무튼, 촌장이 마수를 토벌할 마법사를 청하러 도시로 갔으니 몸조심하거라. 웬만하면 양도 멀리 끌고 가지 말고.”</t>
  </si>
  <si>
    <t>물론 그가 투란을 걱정하는 마음에 이런 사실을 알려주러 온 것은 아니었다.</t>
  </si>
  <si>
    <t>마음 같아선 이 양치기 놈 따위 확 물려가 버렸으면 좋겠다만, 투란의 양들은 마을의 중요한 영양 공급원이자 보온재, 수출품이었기 때문이다.</t>
  </si>
  <si>
    <t>투란이 죽는다는 건 그 모두를 잃게 된다는 의미였다.</t>
  </si>
  <si>
    <t>설마 마수가 사람의 사정을 봐가면서 양치기만 물어 죽이고 양 떼를 내버려 두진 않을 테니까.</t>
  </si>
  <si>
    <t>그러한 속내를 짐작하고 있기에, 투란 역시 조금의 감사함도 느끼지 않고 한껏 비꼬았다.</t>
  </si>
  <si>
    <t>“걱정해 주셔서 정말 몸 둘 바를 모르겠네. 말 다 했으면 빨리 꺼져. 당신 입 냄새 때문에 코가 썩을 것 같으니까.”</t>
  </si>
  <si>
    <t>라부스가 투덜대며 언덕을 내려가는 동안, 투란은 그가 조금 전 했던 말을 떠올리며 생각에 잠겼다.</t>
  </si>
  <si>
    <t>‘마법사라···.’</t>
  </si>
  <si>
    <t>신비한 힘을 다루는 짐승을 마수라 하듯, 신비한 힘을 다루는 인간은 마법사라 불렀다.</t>
  </si>
  <si>
    <t>다르게는 귀족이나 기사라고도 했는데, 마수가 같은 종의 짐승들을 이끄는 우두머리가 되듯 마법사는 인간 사회의 최상위층에 군림했다.</t>
  </si>
  <si>
    <t>‘얼마나 강하려나.’</t>
  </si>
  <si>
    <t>이런 시골 촌장이 불러서 올 정도면 아마 마법사 중에서도 별 볼 일 없는 작자일 터.</t>
  </si>
  <si>
    <t>하지만 그런 이라도 한번 만나보고 싶기는 했다.</t>
  </si>
  <si>
    <t>가까이 갔다가는 위험할 수도 있으니, 멀찍이 떨어진 곳에서 몰래 훔쳐보는 식으로라도.</t>
  </si>
  <si>
    <t>한참 생각에 잠겨 있던 도중, 투란의 코에 미묘한 냄새가 걸려들었다.</t>
  </si>
  <si>
    <t>‘피 냄새?’</t>
  </si>
  <si>
    <t>그것도 얼마 지나지 않은 듯 신선한 피 냄새였다.</t>
  </si>
  <si>
    <t>옆에 세워둔 지팡이를 쥐고 후각의 인도를 따라 걷자, 얼마 지나지 않아 냄새가 시작된 곳에 도달할 수 있었다.</t>
  </si>
  <si>
    <t>투란은 쯧 하고 가볍게 혀를 찼다.</t>
  </si>
  <si>
    <t>‘나한테 조심하라더니 정작 자기가 먼저 갔구만.’</t>
  </si>
  <si>
    <t>갈기갈기 찢겨 흩뿌려진 탓에 마치 흐드러지게 핀 빨간 꽃처럼 보이는 라부스의 시체.</t>
  </si>
  <si>
    <t>전신에 새겨진 선명한 발톱 자국으로 보건대, 그를 공격한 것은 인간이 아닌 존재가 분명했다.</t>
  </si>
  <si>
    <t>“너냐?”</t>
  </si>
  <si>
    <t>[그르릉-]</t>
  </si>
  <si>
    <t>투란이 뒤돌아보며 묻자 나무 아래의 그늘에서 솟구친 그림자가 모여들어 짐승의 형상을 취했다.</t>
  </si>
  <si>
    <t>어깨높이만 못해도 이 미터는 될, 곰도 뚝딱 잡아먹을 크기의 거대한 표범······.</t>
  </si>
  <si>
    <t>투란은 그를 똑바로 마주 보며 선언했다.</t>
  </si>
  <si>
    <t>“죽어.”</t>
  </si>
  <si>
    <t>그 순간, 표범의 머리 위로 번갯불이 튀었다.</t>
  </si>
  <si>
    <t>움찔 놀라며 뒤로 펄쩍 뛰었던 놈은 이내 자극을 받아 화가 났는지 포효하며 투란을 향해 도약했다.</t>
  </si>
  <si>
    <t>“안 되나······멈춰.”</t>
  </si>
  <si>
    <t>두 번째 명령에 표범의 몸이 움찔하며 멈추는가 싶었으나, 이번에도 채 일 초도 되지 않아 번갯불이 튀며 몸이 자유로워졌다.</t>
  </si>
  <si>
    <t>눈앞의 나약한 먹잇감이 무언가 이상한 수작을 부린다는 것을 깨달았을까, 표범은 더 지체하지 않고 곧장 앞발을 휙 휘둘렀다.</t>
  </si>
  <si>
    <t>평범한 사람이라면 반응하지도 못한 채 일격에 즉사해도 이상하지 않을 힘과 속도로.</t>
  </si>
  <si>
    <t>하지만 순식간에 먹잇감을 찢으리라던 예상과 달리 날카로운 발톱은 무력하게 허공을 갈랐다.</t>
  </si>
  <si>
    <t>그것이 아주 잠깐 움찔한 순간 투란 역시 비상식적으로 빠르게 움직여 뒤로 물러났기 때문이었다.</t>
  </si>
  <si>
    <t>“죽이는 게 안 될 줄은 알았지만, 멈추는 정도도 안 되는 거구나······.”</t>
  </si>
  <si>
    <t>투란은 새로운 사실을 알았다는 듯 고개를 끄덕이며 투석구와 둥글게 깎아낸 돌 하나를 주머니에서 꺼내 매겼다.</t>
  </si>
  <si>
    <t>그런 뒤 이를 두어 바퀴 돌리며 주문을 외웠다.</t>
  </si>
  <si>
    <t>“단단해져라, 빨라져라, 꿰뚫어라-목표는 머리.”</t>
  </si>
  <si>
    <t>정말로 직관적이고 단순하기 그지없는, 다소 우스꽝스럽게마저 느껴지는 주문.</t>
  </si>
  <si>
    <t>그와 함께 한쪽 끈을 놓은 순간, 해방된 돌멩이는 바람을 찢는 굉음을 내며 마수를 향해 날아들었다.</t>
  </si>
  <si>
    <t>마수의 직감이 외쳤다.</t>
  </si>
  <si>
    <t>저 공격 앞에서 그의 튼튼한 가죽 따윈 소용없을 것이라고.</t>
  </si>
  <si>
    <t>[캬악!]</t>
  </si>
  <si>
    <t>경악하여 비명을 지르며 몸을 뒤틀자 본래 명중했어야 할 돌멩이가 아슬아슬하게 귀를 스치고 지나갔다.</t>
  </si>
  <si>
    <t>하지만 채 안심할 새도 없이, 저 멀리 날아가야 할 돌멩이는 마치 누군가 직접 조종하는 것처럼 크게 휘며 돌아와 마수의 뒤통수에 꽂혀 미간을 뚫고 나왔다.</t>
  </si>
  <si>
    <t>두개골과 뇌가 으깨진 표범 마수는 비명조차 내지르지 못하고 그 자리에서 숨이 끊어지고 말았다.</t>
  </si>
  <si>
    <t>“쯧.”</t>
  </si>
  <si>
    <t>마을 놈들 좋은 일만 했다는 생각에 혀를 차며, 투란은 죽은 마수의 꼬리를 잡아끌었다.</t>
  </si>
  <si>
    <t>평범한 남자라면 몇 명이 힘을 합쳐 들어야 할 거구건만, 마치 죽은 개라도 끌고 가는 것처럼 가볍게.</t>
  </si>
  <si>
    <t>‘어디 골짜기에나 던져둘까.’</t>
  </si>
  <si>
    <t>그러면 남은 잔해는 벌레와 짐승들이 적당히 처리해줄 터였다.</t>
  </si>
  <si>
    <t>썩 깔끔한 뒤처리라 하기는 어렵지만 상관없었다.</t>
  </si>
  <si>
    <t>어차피 마을의 겁쟁이들은 마수의 흔적을 따라올 용기가 없을 것이고, 며칠 뒤 촌장이 고용한 마법사가 왔을 때쯤엔 아무것도 남지 않을 테니까.</t>
  </si>
  <si>
    <t>세상의 서쪽 끝, 히사릴 언덕에 사는 양치기 따위가 마법사라는 사실은 들통나지 않을 것이다.</t>
  </si>
  <si>
    <t>* * *</t>
  </si>
  <si>
    <t>六章. 삭</t>
  </si>
  <si>
    <t xml:space="preserve">아침나절, 마당을 쓸러 나온 하인의 비명이 병판의 잠을 깨웠다. </t>
  </si>
  <si>
    <t>귀신이라도 본 듯 거품을 물고 쓰러져 버린 하인의 곁으로 놀란 이들이 몰려든다.</t>
  </si>
  <si>
    <t xml:space="preserve">마당에는 피칠을 한 무사들이 반사 상태로 쓰러져 겹겹이 쌓여 있었다. </t>
  </si>
  <si>
    <t>모두 혀가 뽑히고 눈알이 파여 보기에도 끔찍한 상태였다.</t>
  </si>
  <si>
    <t>“어이고야, 어이구.”</t>
  </si>
  <si>
    <t>“이게 무슨 일이래.”</t>
  </si>
  <si>
    <t>하인들이 발만 동동 구르는 사이, 사랑채에서 나온 병판은 마당에 널브러진 이들을 보며 소리 없이 이를 갈았다.</t>
  </si>
  <si>
    <t xml:space="preserve">저들은 얼마 전 은하란 계집을 납치하란 지시를 받은 이들이었다. </t>
  </si>
  <si>
    <t>유난히 일 처리가 깔끔하여 제가 직접 수족처럼 부리던 놈도 있었다.</t>
  </si>
  <si>
    <t>“눈이…. 보이시는가 보군.”</t>
  </si>
  <si>
    <t>그것도 부러 드러내셨다. 일부러….</t>
  </si>
  <si>
    <t xml:space="preserve">병판은 주먹을 말아 쥔 채 모욕감에 몸을 떨었다. </t>
  </si>
  <si>
    <t xml:space="preserve">일종의 경고였다. </t>
  </si>
  <si>
    <t xml:space="preserve">하나, 확실하지 않은 것은 대군의 의중이다. </t>
  </si>
  <si>
    <t>이들을 이렇게 만든 이유가 계집을 납치하여 겁박했기 때문인지, 그 품에 비상을 숨겨 대군을 해하려 했기 때문인지 알 수 없었다.</t>
  </si>
  <si>
    <t>“마님, 어찌할까요.”</t>
  </si>
  <si>
    <t xml:space="preserve">병판의 곁으로 동료들을 잃어 낯빛이 죽어 버린 무사가 다가와 고개를 조아린다. </t>
  </si>
  <si>
    <t>그는 목숨이 붙어 손끝을 꿈쩍이는 이들을 무심히 내려다보며 잔인하게 말했다.</t>
  </si>
  <si>
    <t>“시체들을 내 마당에 쌓아 둔 이를 찾아내라. 저놈들의 시신은 불에 태우고, 그 가족들에겐 금화 100냥씩을 전하면 되겠구나.”</t>
  </si>
  <si>
    <t>“마님, 하지만 아직 목숨이…!”</t>
  </si>
  <si>
    <t>“이놈! 어딜 봐서 산자가 있단 말이더냐. 네 눈에는 놈 중 살아 있는 이가 보인단 말이냐?”</t>
  </si>
  <si>
    <t xml:space="preserve">병판의 고함에 눈치를 보던 하인들이 너도나도 멍석을 가져와 목숨이 붙은 이들을 둘둘 말기 시작했다. </t>
  </si>
  <si>
    <t>산송장 취급을 하지 않으면 자신들의 목이 날아갈까 두려운 탓이었다.</t>
  </si>
  <si>
    <t xml:space="preserve">허둥지둥 수습하는 이들을 내려다보며 치를 떨던 때였다. </t>
  </si>
  <si>
    <t>하인 중 한 명이 무사의 가슴팍에 칼로 새겨진 한자를 발견하곤 병판을 불렀다.</t>
  </si>
  <si>
    <t>“대감마님, 소인 무식자라…. 이, 이 글자가 무엇인지 모르겠습니다요.”</t>
  </si>
  <si>
    <t>杯水救車(배수구거)</t>
  </si>
  <si>
    <t>상처가 부어오르고 피가 번져 있음에도, 병판은 단번에 그것을 알아보았다.</t>
  </si>
  <si>
    <t xml:space="preserve">명백한 조롱이며 모욕이었다. </t>
  </si>
  <si>
    <t>이따위 짓을 아무리 해 보았자, 제 발끝에도 미치지 못할 거라는 우월함과 오만함이 가득 담긴 경고였다.</t>
  </si>
  <si>
    <t>버선발로 마당에 내려선 병판은 곁에 있는 자의 검을 뽑아 직접 글귀가 새겨진 무사의 가슴을 찍었다.</t>
  </si>
  <si>
    <t xml:space="preserve">푹, 소리와 함께 전해진 뼈와 살이 갈리는 느낌이 선득하다. </t>
  </si>
  <si>
    <t>간신히 목숨을 부지하고 있던 이의 눈이 뒤집히며 숨이 끊어졌다.</t>
  </si>
  <si>
    <t xml:space="preserve">지켜보던 모두가 경악하여 차마 눈을 뜨지 못하였다. </t>
  </si>
  <si>
    <t>주인께서 별채가 있는 하례로 내려오신다 하였을 때, 엄하기는 하나 명망 높은 대감마님을 모시게 되어 한마음으로 기뻐하였다.</t>
  </si>
  <si>
    <t>하지만 대감이 하례에 내려온 뒤, 하인들은 단 하루도 발 뻗고 잠들어 본 적이 없었다.</t>
  </si>
  <si>
    <t>“시, 시훈 도련님!”</t>
  </si>
  <si>
    <t>그때였다. 하인 한 명이 대문간에 선 시훈을 발견하곤 고개를 푹 숙인다.</t>
  </si>
  <si>
    <t>못 볼 꼴을 보였다는 생각에 다들 허둥지둥하며 정신없이 시신들을 멍석으로 가렸다.</t>
  </si>
  <si>
    <t>시훈은 피바다가 되어 버린 마당과, 시신으로 보이는 사내의 가슴팍에 검을 꽂아 넣은 아버지를 멍하니 응시하였다.</t>
  </si>
  <si>
    <t>피가 튄 옷자락을 털어 낸 병판이 금방 낯을 바꾸곤 뽑은 검을 바닥으로 툭 던졌다.</t>
  </si>
  <si>
    <t>“늦지 않고 왔구나. 들어오거라.”</t>
  </si>
  <si>
    <t>병판의 말에 시훈은 굳은 표정으로 수습되는 시신들을 지나 마루에 올라섰다.</t>
  </si>
  <si>
    <t>“어찌 된 일입니까.”</t>
  </si>
  <si>
    <t>“아, 저거 말이냐?”</t>
  </si>
  <si>
    <t>병판이 고개를 틀어 멍석 밖으로 축 늘어진 팔을 보며 말했다.</t>
  </si>
  <si>
    <t>“똑똑히 기억하거라. 저것이 바로 대군의 본성이다. 네 누이는 저런 대군을 대신하여 목숨을 잃었지…. 하례에 내려와 있는 괴물은 제 아내에게 독차의 기미를 맡긴 광인이다.”</t>
  </si>
  <si>
    <t>“대감, 저들이 어찌 목숨을 잃었는지를 묻는 겁니다. 소문이 퍼지기라도 한다면…!”</t>
  </si>
  <si>
    <t>“어림없는 소리. 소문? 저들은 광인이 보낸 살수들과 싸우다 자랑스럽게 목숨을 잃은 의인들이지. 그런 귀한 죽음을 어느 누가 손가락질한단 말이냐.”</t>
  </si>
  <si>
    <t xml:space="preserve">아니다. 시훈은 본능적으로 알 수 있었다. </t>
  </si>
  <si>
    <t xml:space="preserve">이들의 죽음은 의도된 것이 아닌, 개죽음이라는 것을. </t>
  </si>
  <si>
    <t xml:space="preserve">하지만 이들을 이리 만든 것이 대군이라면, 대군과 함께 지내는 은하의 안전 또한 경각에 달려 있을 터. </t>
  </si>
  <si>
    <t>폭군이나 다름없는 광인의 곁에 은하가 있단 생각에 속에서 열불이 치솟았다.</t>
  </si>
  <si>
    <t>“네 처가 될 소현이가 찾아왔었다.”</t>
  </si>
  <si>
    <t xml:space="preserve">사랑채에 들어선 시훈은 대감의 앞에 정좌하였다. </t>
  </si>
  <si>
    <t>다들 아침나절 벌어진 일을 수습하느라 혼란한 와중에도, 대감의 방은 밀실처럼 고요하고 정갈하였다.</t>
  </si>
  <si>
    <t xml:space="preserve">시훈은 저도 모르게 모친 심덕의 처소를 떠올렸다. </t>
  </si>
  <si>
    <t>정결한듯하면서도, 값을 매길 수조차 없는 고가품들로 가득한.</t>
  </si>
  <si>
    <t xml:space="preserve">대감은 연초에 아편을 조금 섞어 불을 붙였다. </t>
  </si>
  <si>
    <t>두 번의 크고 작은 전쟁을 치르며 고질병을 얻은 병판은 어느 순간부터 아편을 가까이하기 시작하였다.</t>
  </si>
  <si>
    <t>“그 아이가 영이란 년을 몸종으로 달라고 하더구나.”</t>
  </si>
  <si>
    <t>뜻밖의 말에 놀란 시훈이 내리깔았던 시선을 들었다.</t>
  </si>
  <si>
    <t>“그것이 무슨 뜻인지…. 네놈은 알아들었을 거라 믿는다.”</t>
  </si>
  <si>
    <t>“대감마님.”</t>
  </si>
  <si>
    <t>“시훈아. 계집은 이따금 사내의 머리 꼭대기에서 놀 때가 있단다. 하니 조심하거라. 맹랑한 게 보통 계집이 아니더구나.”</t>
  </si>
  <si>
    <t>“허락하셨습니까?”</t>
  </si>
  <si>
    <t>“그래, 허락하였다. 나도 기생질하던 계집을 첩으로 들일 생각 없었는데, 아주 잘 되었지.”</t>
  </si>
  <si>
    <t xml:space="preserve">병판이 마음의 짐을 던 사람처럼 끌끌 웃었다. </t>
  </si>
  <si>
    <t>하나, 시훈은 아니었다.</t>
  </si>
  <si>
    <t>영이 소현의 몸종이 된다면. 그리고 소현이 영과 자신의 사이를 알고 일을 꾸민 거라면, 이는 웃어넘길 사안이 아니었다.</t>
  </si>
  <si>
    <t xml:space="preserve">고개를 숙인 채 묵묵히 생각에 잠긴 시훈의 눈앞으로 대감의 곰방대 끄트머리가 훅 다가온다. </t>
  </si>
  <si>
    <t>고개를 든 시훈은 자신을 노려보는 아버지의 형형한 눈빛을 마주하였다.</t>
  </si>
  <si>
    <t>“9월에 초시가 열리니, 봄이 되면 식을 올려라. 이후엔 학문에 매진하다 7월쯤 수도로 떠나면 될 것이야. 내, 이 혼례에 심히 공을 들였다. 나를… 실망시키지 말거라, 시훈아.”</t>
  </si>
  <si>
    <t>시훈은 머릿속이 하얘진 채로 대감의 말에 고개를 조아렸다.</t>
  </si>
  <si>
    <t xml:space="preserve">영이 소현의 몸종이 된다…. </t>
  </si>
  <si>
    <t xml:space="preserve">그렇다는 것은 두 가지의 선택지가 제 앞에 주어졌다는 뜻이었다. </t>
  </si>
  <si>
    <t xml:space="preserve">소현을 설득해 영을 자유롭게 만들어 주는 것. </t>
  </si>
  <si>
    <t>혹은 제 처의 몸종으로 만들어서라도 곁에 두는 것.</t>
  </si>
  <si>
    <t xml:space="preserve">시훈은 주먹을 말아 쥐었다. </t>
  </si>
  <si>
    <t xml:space="preserve">움켜쥔 도포 자락이 배어 나온 땀에 젖어 얼룩진다. </t>
  </si>
  <si>
    <t>은하의 소원이었던 영의 자유를 제 손으로 이루어 줄 것인지, 지금 제 머릿속을 가득 채운 영이란 여인을 평생 곁에 둘 것인지.</t>
  </si>
  <si>
    <t>그가 밖으로 나왔을 땐, 이미 마당에 핏자국만 남은 채였다.</t>
  </si>
  <si>
    <t>을씨년스러운 하늘을 올려다보며 시훈은 은하를 생각하였다.</t>
  </si>
  <si>
    <t>“정신이 있는 거야? 없는 거야? 대체 무슨 생각을 하고 사는 거냐고!”</t>
  </si>
  <si>
    <t xml:space="preserve">김학승 대표가 테이블에 오늘 자 스포츠 신문을 집어 던지며 소리쳤다. </t>
  </si>
  <si>
    <t xml:space="preserve">진한 청색 와이셔츠에 담갈색 양복을 입고 앞주머니에 행커치프를 꽂은 남자는 돌체 앤 가바나의 돈 많은 모델 같은 모습이었다. </t>
  </si>
  <si>
    <t xml:space="preserve">마흔이 훌쩍 넘었지만 관리를 잘 받은 피부와 고급 슈트 밖으로 드러나는 근육질 몸 덕분에 그 나이로는 보이지 않았다. </t>
  </si>
  <si>
    <t>회원이 아니면 예약을 해도 한 달을 기다려야 한다는 청담동 헤어살롱에서 오늘 아침 손질을 한 머리를 쥐어뜯으며, 그가 사납게 소리 질렀다.</t>
  </si>
  <si>
    <t>“이게 몇 번째야. 어? 저번에 너 걸릴 뻔한 거, 차 실장이 간신히 기자 따돌렸잖아. 그때 네가 뭐라고 했냐고.”</t>
  </si>
  <si>
    <t>“다시는 이런 일 없을 겁니다.”</t>
  </si>
  <si>
    <t xml:space="preserve">짙은 갈색 소파에 몸을 깊숙이 기대어 앉아 있던 남자가 미소를 띠며 대답했다. </t>
  </si>
  <si>
    <t>신선한 오렌지의 껍질을 막 벗겨 냈을 때 공중에 흩어지는 향처럼 상쾌한 미소였다.</t>
  </si>
  <si>
    <t>“그리고 걸리는 일도 없을 겁니다.”</t>
  </si>
  <si>
    <t>자신만만한 말투였다. 세상의 모든 일이 자신의 손바닥 안에 놓여 있기라도 한 듯이.</t>
  </si>
  <si>
    <t>“걸리는 일이 없긴? 네 눈에는 이게 안 보이냐?”</t>
  </si>
  <si>
    <t>김학승 대표가 연예 16면 귀퉁이에 난 이니셜 기사를 가리키며 말했다.</t>
  </si>
  <si>
    <t>톱스타 S 군이 신인 여배우와 차 안에서 은밀한 데이트를 즐긴다는 내용이었다.</t>
  </si>
  <si>
    <t>“16면에 난 이니셜 기사를 누가 읽겠어요.”</t>
  </si>
  <si>
    <t>“내가 읽는다, 내가.”</t>
  </si>
  <si>
    <t>“대표님이야 그게 업이니까 읽으시는 거잖아요. 아무도 안 읽어요, 아무도.”</t>
  </si>
  <si>
    <t xml:space="preserve">틀린 말은 아니었지만, 김학승 대표는 주먹으로 가슴을 내리쳤다. </t>
  </si>
  <si>
    <t>주먹으로 내리치고 싶은 것은 사실 눈앞에 앉아 있는 남자였지만, 차마 때릴 수 없는 금쪽같은 몸이었기에 그는 애꿎은 제 가슴만 연거푸 쳤다.</t>
  </si>
  <si>
    <t xml:space="preserve">소파에 앉은 남자는 마치 다른 사람의 스캔들이라도 읽는 것처럼 흥미로운 얼굴로 신문을 내려다보고 있었다. </t>
  </si>
  <si>
    <t>김학승 대표는 혀를 쯧쯧 찼다.</t>
  </si>
  <si>
    <t>“저런 인간이 어떻게 안티 없는 연예인 1위냐고. 나 참.”</t>
  </si>
  <si>
    <t>마치 그러한 사실이 마음에 들지 않는다는 듯한 말투였다.</t>
  </si>
  <si>
    <t>“그럼 대표님이 안티 1호 하세요.”</t>
  </si>
  <si>
    <t>남자의 말에 김학승 대표의 주먹이 부르르 떨렸다.</t>
  </si>
  <si>
    <t xml:space="preserve">사람들은 본능적으로 타인에 대한 판단을 내릴 때 자신을 기준으로 바라본다. </t>
  </si>
  <si>
    <t xml:space="preserve">객관적인 시각이니 뭐니 하는 말은 모두 개똥이라고 김학승 대표는 누누이 말했다. 그는 머리를 거치고 입을 통해 나오는 순간, 말은 주관성을 띨 수밖에 없다고 믿었다. </t>
  </si>
  <si>
    <t>그러므로 제각기 다른 기준을 가진 다수의 사람에게 호감을 느끼게 하는 것은 불가능한 일이었다.</t>
  </si>
  <si>
    <t xml:space="preserve">그러나 그걸 가능하게 만든 사람이 있었다. </t>
  </si>
  <si>
    <t>바로 김학승 대표의 눈앞에 앉아 있는 이우연이었다.</t>
  </si>
  <si>
    <t xml:space="preserve">몇 년 전 독립 영화로 연예계 활동을 시작한 이우연은 단 한 번의 슬럼프도 없이 성공 가도를 걷고 있는 배우였다. </t>
  </si>
  <si>
    <t xml:space="preserve">처음으로 조연을 맡은 드라마에서 주연보다 더 스포트라이트를 받게 된 그는, 바로 박성한 감독 영화에 주연급으로 캐스팅되어 세간의 이목을 집중시켰다. </t>
  </si>
  <si>
    <t>뛰어난 연기력과 국적, 나이를 가늠하기 힘든 묘한 매력의 마스크 덕분에 영화가 개봉된 이후에 그의 주가는 내려갈 줄 몰랐다.</t>
  </si>
  <si>
    <t xml:space="preserve">그해 신인상과 최우수 남우 주연상까지 거머쥔 그는 연예계에 발을 들인 지 1년 만에 최정상에 올라섰다. </t>
  </si>
  <si>
    <t>올라서면 내려가는 것이 연예계의 법칙이었지만 이우연에게는 해당하지 않았다.</t>
  </si>
  <si>
    <t>그가 찍는 드라마마다 시청률이 40%를 넘어섰고, 그가 선택하는 시나리오마다 대박을 쳤으며, 그가 찍은 광고의 소비 효과는 광고주들을 춤추게 하였다.</t>
  </si>
  <si>
    <t>그가 광고하는 물건은 소비자, 특히 여성 소비자들의 절대적인 지지를 얻어 이우연 자체가 브랜드와 다름없다는 논설이 경제 전문지에 실리기도 했다.</t>
  </si>
  <si>
    <t>사람들은 이우연을 좋아했다.</t>
  </si>
  <si>
    <t>흔히 볼 수 없는 귀티 나는 외모, 가지런한 치아가 드러나는 아름다운 미소, 뛰어난 연기력과 천재성. 한 번이라도 그와 같이 일해 본 사람은 입에 침이 마르도록 그를 칭찬했다.</t>
  </si>
  <si>
    <t xml:space="preserve">특히 여자들은 그의 눈을 사랑했다. </t>
  </si>
  <si>
    <t>모든 인생사를 알아 버린 노인의 깊은 허무와 그 나이에 걸맞지 않은 순수함이 동시에 깃든, 그의 눈은 몹시도 사랑받았다.</t>
  </si>
  <si>
    <t>그의 팬들 사이에서는 이우연의 눈을 국보로 지정해 그가 죽으면 수단과 방법을 가리지 않고 영구 보존을 해야 한다는, 다소 소름 끼치는 말들까지 오갔을 정도다.</t>
  </si>
  <si>
    <t xml:space="preserve">그러나 이우연의 출신에 대한 의견은 늘 분분했다. </t>
  </si>
  <si>
    <t xml:space="preserve">프린스턴 대학을 중퇴한 인재다, 모 유명 외국계 기업의 손자다, 유명 여배우의 사생아다, 등등 흥미로운 가설들이 떠돌았지만, 그 무엇도 확인되지 않았다. </t>
  </si>
  <si>
    <t>그런 미스터리한 부분까지 그의 매력으로 작용한다는 것이 김학승 대표는 놀라울 따름이었다.</t>
  </si>
  <si>
    <t xml:space="preserve">그렇다고 이우연에게 단점이 없는 것은 아니었다. 그는 여자를 좋아했다. </t>
  </si>
  <si>
    <t>오는 여자 안 막고 가는 여자 안 잡는다는 말을 누가 처음 사용했는지 모르겠지만, 이우연은 그 사람에게 로열티를 지급해야 한다는 것이 김 대표의 주장이었다.</t>
  </si>
  <si>
    <t xml:space="preserve">이번 스캔들도 아슬아슬하게 피해 갈 수 있었지만, 이런 식이라면 언제든 스포츠 신문 1면을 차지하는 것은 시간문제일 것이라고 김 대표는 염려했다. </t>
  </si>
  <si>
    <t xml:space="preserve">이우연은 그러거나 말거나 늘 자기 좋을 대로 행동했다. </t>
  </si>
  <si>
    <t>김 대표는 그런 그를 보고 하루만 살고 죽을 놈처럼 산다고 투덜거렸다.</t>
  </si>
  <si>
    <t>“제발 좀 조심하고 살자. 너 그러다 연예인 생명 끝나면 뭐 하고 살려고 그렇게 막 나가냐?”</t>
  </si>
  <si>
    <t>“글쎄요. 다음에는 뭘 할지 아직 고민 중이긴 한데.”</t>
  </si>
  <si>
    <t>“저런 놈을 대체 뭘 믿고 내가 키운 건지.”</t>
  </si>
  <si>
    <t>JN의 대표 이사 김학승은 이우연이 회사로 찾아와 자신을 배우로 데뷔시켜 달라는 당돌하기 짝이 없는 청을 했던 날을 종종 떠올렸다.</t>
  </si>
  <si>
    <t>뭐 이런 미친놈이 다 있나 싶어 쫓아내려다 미친놈으로 치부하기엔 너무나 완벽한 이우연의 얼굴 때문에, 그는 불렀던 경비를 다시 나가게 했다.</t>
  </si>
  <si>
    <t>“별문제 없을 거예요.”</t>
  </si>
  <si>
    <t xml:space="preserve">이우연이 신문 끄트머리에 난 기사를 훑어보며 말했다. </t>
  </si>
  <si>
    <t xml:space="preserve">웃음 섞인 눈빛에는 추호의 의심도 섞여 있지 않았다. </t>
  </si>
  <si>
    <t xml:space="preserve">이우연은 항상 그랬다. </t>
  </si>
  <si>
    <t>그의 눈에서는 근거를 알 수 없는 단호함이 엿보였다.</t>
  </si>
  <si>
    <t>“당연히 없겠지. 지금 이런 기사가 1면인데.”</t>
  </si>
  <si>
    <t>김학승 대표가 스포츠 신문의 1면을 다시 테이블에 펼치며 말했다.</t>
  </si>
  <si>
    <t>“넌 이거 아니었으면 1면에 실렸을지도 모른다고.”</t>
  </si>
  <si>
    <t xml:space="preserve">거기에는 다소 충격적인 내용이 헤드라인을 장식하고 있었다. </t>
  </si>
  <si>
    <t>여태 조용하게 이우연 맞은편에 앉아 있던 차 실장이, 신문을 읽고 파리해져서는 중얼거렸다.</t>
  </si>
  <si>
    <t>“‘걸그룹 아이돌. 소속사 건물에서 투신’. 또 자살이래요?”</t>
  </si>
  <si>
    <t xml:space="preserve">여성 아이돌 한 명이 건물 옥상에서 오늘 새벽 투신해 사망했다는 기사가 온갖 자극적인 문구로 장식되어 있었다. </t>
  </si>
  <si>
    <t>이우연은 관심 없다는 얼굴로 앉아 있을 뿐이었다.</t>
  </si>
  <si>
    <t>“그리고 어제부로 김 실장 그만뒀다.”</t>
  </si>
  <si>
    <t>김학승 대표가 우울한 낯으로 불쑥 중얼거렸다.</t>
  </si>
  <si>
    <t>“또요?”</t>
  </si>
  <si>
    <t>차 실장이 놀라 물었다.</t>
  </si>
  <si>
    <t>“그래. 또, 또, 또.”</t>
  </si>
  <si>
    <t>김학승 대표는 이를 갈며 덧붙였다. 올해 들어 벌써 여덟 번째였다.</t>
  </si>
  <si>
    <t xml:space="preserve">본디 생활이 불규칙하고 수입도 일정하지 못한 매니저 생활은 수명이 그리 길지 못하다. </t>
  </si>
  <si>
    <t>그래도 대형 기획사에 소속되어 일하는 경우에는 4대 보험은 물론이고 상여금까지 꼬박꼬박 나오기 때문에, 같은 매니저 업계에서도 신의 직장이라고 불린다.</t>
  </si>
  <si>
    <t xml:space="preserve">그중에서도 JN은 업계 최고의 연봉과 대우를 해 주고 있어, 이곳은 매니저로 입사하고 싶어 하는 사람들로 문전성시를 이루었다. </t>
  </si>
  <si>
    <t>좋은 회사에서 일하다 보면 자연히 인맥도 넓어지고 노하우도 제대로 배울 수 있었기 때문에 매니저로 일하는 사람 중에는 나중에 자기 회사를 차리겠다는 꿈을 가진 사람도 많았다.</t>
  </si>
  <si>
    <t xml:space="preserve">특히 자신이 맡은 연예인의 인기가 좋을수록, 그것은 곧 매니저의 권력과도 맞닿았다. </t>
  </si>
  <si>
    <t>자신이 맡은 연예인이 잘나갈수록 거기에 긍지를 느끼고 열심히 일하는 사람이 이 바닥에서는 태반이었다.</t>
  </si>
  <si>
    <t>그럼에도 국내 최고 배우라는 이우연의 매니저가 계속 바뀌는 것은 결국 이우연이 문제라는 뜻이었다.</t>
  </si>
  <si>
    <t>그러나 이우연은 성격이 좋기로 유명한 연예인이었다.</t>
  </si>
  <si>
    <t xml:space="preserve">커피 광고에 가장 잘 어울리는 연예인으로 몇 년째 부동의 1위 자리를 지키고 있는 만큼 주변 사람들에게도 평이 좋았다. </t>
  </si>
  <si>
    <t>지각하는 법이 없었고 스태프들에게도 늘 예의 바른 태도를 보였다.</t>
  </si>
  <si>
    <t xml:space="preserve">신인 때는 겸손했다가도 인기가 많아질수록 콧대가 높아지는 것이 흔한 경우였다. </t>
  </si>
  <si>
    <t>반면 이우연은 한결같이 예의 바르고 공손한 태도로 같이 일을 하는 사람들 사이에서도 인기가 좋았다.</t>
  </si>
  <si>
    <t>“이게 다 네 더러운 성격 때문이잖아!”</t>
  </si>
  <si>
    <t>“설마요.”</t>
  </si>
  <si>
    <t xml:space="preserve">이우연이 웃으며 대답했다. </t>
  </si>
  <si>
    <t xml:space="preserve">더없이 온화하고 사람 좋아 보이는 얼굴이었다. </t>
  </si>
  <si>
    <t>하지만 그 천사 같은 가면 속에 숨겨진 시궁창 같은 본모습을 김 대표는 알고 있었다.</t>
  </si>
  <si>
    <t>“네가 또 뭘 어떻게 괴롭힌 건데?”</t>
  </si>
  <si>
    <t>“제가요? 전 그런 적 없는데. 김 실장이 나가면서 그러던가요? 제가 괴롭혀서 나간다고?”</t>
  </si>
  <si>
    <t>“…….”</t>
  </si>
  <si>
    <t xml:space="preserve">김 실장은 그만두면서 이우연을 탓하는 말은 한마디도 하지 않았다. </t>
  </si>
  <si>
    <t>그저 자신이 무능하고 부족해서 더는 매니저 일을 할 수 없을 것 같다는 말을 남기고 사라졌을 뿐이다.</t>
  </si>
  <si>
    <t>“그것 보세요.”</t>
  </si>
  <si>
    <t xml:space="preserve">이우연이 길고 우아한 손가락으로 자신의 휴대폰을 꺼내며 말했다. </t>
  </si>
  <si>
    <t>그럴 줄 알았다는 얼굴을 하는 이우연을 보는 순간 김 대표는 속에서 천불이 났다.</t>
  </si>
  <si>
    <t xml:space="preserve">이우연을 맡았던 매니저들은 한결같은 이유를 대고 사표를 냈다. </t>
  </si>
  <si>
    <t>자신이 우리나라 최고 스타인 이우연을 맡기에는 역부족인 것 같다며, 죄송하다는 그 말.</t>
  </si>
  <si>
    <t>그것도 한두 번이지 올해 들어서만 여덟 번이나 거듭되니 김 대표는 이우연을 의심하지 않을 수 없었다.</t>
  </si>
  <si>
    <t>저 악마 같은 인간이 뒤에서 무슨 짓을 벌여 애꿎은 매니저들을 그만두게 했나.</t>
  </si>
  <si>
    <t>의구심이 잭의 콩 나무처럼 무럭무럭 자라났다.</t>
  </si>
  <si>
    <t>“제가 괴롭혀서 매니저가 그만둔다는 둥, 그런 소리는 이제 하지 마세요. 대표님.”</t>
  </si>
  <si>
    <t xml:space="preserve">대체 어떻게 교묘하게 사람 속을 달달 태운 것일까. </t>
  </si>
  <si>
    <t>“그럼 그 사람들이 왜 다 같은 이유를 대고 사표를 내냐.”</t>
  </si>
  <si>
    <t>“글쎄요. 그건 저도 모르죠.”</t>
  </si>
  <si>
    <t xml:space="preserve">사실 이우연은 성격이 좋지 않았다. </t>
  </si>
  <si>
    <t xml:space="preserve">선한 인상과 부드러운 말투로 사람들을 속이고 있지만, 그는 단순히 성격이 좋지 않다는 말로는 표현이 부족한 인간이었다. </t>
  </si>
  <si>
    <t>그리고 그는 굳이 김 대표 앞에서는 사람 좋은 척하지도 않았다.</t>
  </si>
  <si>
    <t xml:space="preserve">지금도 그랬다. </t>
  </si>
  <si>
    <t>안면이 없다 하더라도 같은 연예계 종사자가 투신자살을 했다는데, 그런 기사를 보고도 이우연은 일말의 감정도 내비치지 않았다.</t>
  </si>
  <si>
    <t>“그나저나 얘는 무슨 일이 있어서 건물에서 뛰어내린 거래요. 참, 나.”</t>
  </si>
  <si>
    <t xml:space="preserve">차 실장이 혀를 차며 기사를 읽었다. </t>
  </si>
  <si>
    <t xml:space="preserve">그는 연신 안타까운 듯 고개를 흔들었다. </t>
  </si>
  <si>
    <t>이우연은 그때까지도 여전히 무심한 얼굴로 휴대폰으로 문자를 보내고 있었다.</t>
  </si>
  <si>
    <t>“모르지. 그쪽 사정이야. 여하튼 안타깝지. 어린 나이에.”</t>
  </si>
  <si>
    <t xml:space="preserve">그런 말을 하며 김 대표는 이우연을 흘깃 쳐다보았다. </t>
  </si>
  <si>
    <t>눈이 마주치자 이우연이 예의 그 커피 향 나는 미소를 지으며 말했다.</t>
  </si>
  <si>
    <t>“원래 올 때는 순서 있어도 갈 때는 순서 없잖아요.”</t>
  </si>
  <si>
    <t>“안타까워도 이미 죽었는데요. 어쩌겠습니까.”</t>
  </si>
  <si>
    <t xml:space="preserve">할 수만 있다면 김학승 대표는 지금 당장 머리를 싸매고 눕고 싶었다. </t>
  </si>
  <si>
    <t>뚫린 입이라도 저걸 말이라고 한단 말인가.</t>
  </si>
  <si>
    <t>“넌, 사람의 마음이 없는 놈이냐.”</t>
  </si>
  <si>
    <t>“설마요. 두 분 다 너무 상심치 마시라고 드리는 말씀이었습니다.”</t>
  </si>
  <si>
    <t xml:space="preserve">이우연에 대해 모른다면 껌뻑 속아 넘어갈 만한 음성이었다. </t>
  </si>
  <si>
    <t>하지만 김학승 대표는 저 번드르르한 가면 속에 숨겨진 시궁창을 알고 있었다.</t>
  </si>
  <si>
    <t>“얼마나 힘들었으면 꽃다운 나이에 그런 선택을 했을까 생각하면 가슴이 아프네요.”</t>
  </si>
  <si>
    <t xml:space="preserve">이우연이 손바닥으로 가슴 부근을 누르며 중얼거린다. </t>
  </si>
  <si>
    <t>조금 전까지 올 때 갈 때 순서를 논하던 사람과 동일인물이라고는 믿기 힘든 처연한 어조다.</t>
  </si>
  <si>
    <t>김 대표와 차 실장은 유일하게 이우연의 본모습을 아는 사람이었다.</t>
  </si>
  <si>
    <t>방금 가슴을 울리는 이우연의 목소리가 모두 꾸며낸 것이라는 사실 또한, 둘은 알고 있었다.</t>
  </si>
  <si>
    <t xml:space="preserve">진심으로 이우연은 죽은 여자에 대해 손톱만큼의 동정심도 느끼지 않았다. </t>
  </si>
  <si>
    <t>이우연은 그런 인간이었다.</t>
  </si>
  <si>
    <t>“검은 양복 준비해 뒀다. 갔다 와라.”</t>
  </si>
  <si>
    <t>김 대표의 말이 끝나기 무섭게 이우연이 의아한 눈빛을 하고 고개를 돌렸다.</t>
  </si>
  <si>
    <t>“이런 자리에 가서 조의를 표해야 네 평판도 좋아지고 하는 거지.”</t>
  </si>
  <si>
    <t>“더 좋아질 평판이 있나요?”</t>
  </si>
  <si>
    <t>“귀찮아도 가야 해. 우리 소속사 얼굴도 있고.”</t>
  </si>
  <si>
    <t>“누가 귀찮다고 했나요. 당연히 가야죠.”</t>
  </si>
  <si>
    <t>귀찮아 죽겠다는 듯이 말하며 이우연이 자리에서 일어섰다.</t>
  </si>
  <si>
    <t>“차 실장이 데려다줄 거다. 검은색 양복이랑 와이셔츠, 구두, 도수 없는 안경 다 준비해 뒀어. 그리고 집에다 데려다줄 때 내일부터 일하게 될 매니저 불러서 운전시키고 인사할 거니까, 괴롭히지 마.”</t>
  </si>
  <si>
    <t>“안 괴롭혔다니까요.”</t>
  </si>
  <si>
    <t>이우연이 그렇게 말하건 말건 분명 매니저가 줄줄이 사표를 낸 것은 그가 뒤에서 수작을 부렸기 때문이라고 김 대표는 확신했다.</t>
  </si>
  <si>
    <t>“기자들도 몰릴 테니까 알아서 잘해. 괜히 쓸데없는 짓 하지 말고.”</t>
  </si>
  <si>
    <t>“쓸데없는 짓?”</t>
  </si>
  <si>
    <t>이우연이 고개를 돌려 정말 그게 뭐냐는 얼굴로 묻는다.</t>
  </si>
  <si>
    <t>“여자.”</t>
  </si>
  <si>
    <t>“아아, 여자.”</t>
  </si>
  <si>
    <t xml:space="preserve">고개를 살짝 아래로 내리며 그가 웃었다. </t>
  </si>
  <si>
    <t xml:space="preserve">나직하고 듣기 좋은, 귓가를 스치는 그 음성에 여자들은 녹아내리곤 했다. </t>
  </si>
  <si>
    <t>연예계에서 이우연보다 잘생기거나 몸이 좋은 남자들을 찾는 것은 어렵지 않았다.</t>
  </si>
  <si>
    <t>하지만 화려한 미남이 아님에도 그가 정상에 올라서는 데 큰 몫을 한 것이, 그의 목소리였다.</t>
  </si>
  <si>
    <t xml:space="preserve">이우연과 함께 같은 작품에 출연한 여배우들은 하나같이 입을 모아 그의 목소리를 찬양했다. </t>
  </si>
  <si>
    <t>그가 귓가에 대고 사랑을 고백하면 어떤 여자도 넘어갈 수밖에 없다는 것이 그녀들의 허풍 섞인 주장이었다.</t>
  </si>
  <si>
    <t xml:space="preserve">이우연은 자신의 목소리가 상대방에게 어떤 식으로 들리는지 누구보다 잘 알고 있었다. </t>
  </si>
  <si>
    <t>잘게 부순 초콜릿 같은 나직한 웃음소리를 내던 그가 물었다.</t>
  </si>
  <si>
    <t>“설마, 상갓집에 가서 여자 문제를 일으킬 개새끼로 보입니까, 제가?”</t>
  </si>
  <si>
    <t>보인다. 이 개새끼야.</t>
  </si>
  <si>
    <t xml:space="preserve">김 대표는 하고 싶은 말을 꿀꺽 삼키며 그만 나가 보라고 손짓을 했다. </t>
  </si>
  <si>
    <t xml:space="preserve">이우연이 웃으며 인사를 하고 사라졌다. </t>
  </si>
  <si>
    <t>밀려오는 두통에 김 대표는 약을 꺼내어 입에 물고 컵에 물을 따랐다.</t>
  </si>
  <si>
    <t>차 실장이 잠시 멈칫하다가 조심스럽게 물었다.</t>
  </si>
  <si>
    <t>“새 매니저는 어떤 사람이에요, 대표님?”</t>
  </si>
  <si>
    <t>물을 한 모금, 목 안쪽으로 삼킨 김학승 대표가 대답했다.</t>
  </si>
  <si>
    <t>“절대 안 그만둘 놈.”</t>
  </si>
  <si>
    <t>Prologue</t>
  </si>
  <si>
    <t xml:space="preserve">A gentle breeze always blew across Hisaril Hill. </t>
  </si>
  <si>
    <t xml:space="preserve">Sweeping down from the towering western mountain range, it rustled through the short, stiff weeds. </t>
  </si>
  <si>
    <t>Turan, the local shepherd, liked nothing more than lying in the sun-drenched fields, letting the wind wash over him as he watched his flock.</t>
  </si>
  <si>
    <t xml:space="preserve">Or rather, it was the task he hated the least. </t>
  </si>
  <si>
    <t>He didn't actually enjoy it; it was simply easier than shearing wool or mucking out the barn.</t>
  </si>
  <si>
    <t>In truth, his greatest enemy wasn't hard labor, but sheer boredom.</t>
  </si>
  <si>
    <t>Sometimes, fearing he might forget how to speak, he amused himself by holding conversations with himself.</t>
  </si>
  <si>
    <t xml:space="preserve">Unable to bear the isolation—or perhaps just to barter for a few necessities—he occasionally headed down to the small village at the foot of the hill. </t>
  </si>
  <si>
    <t>Those trips weren't particularly enjoyable, either. Every single villager hated him.</t>
  </si>
  <si>
    <t>Of course, the feeling was entirely mutual.</t>
  </si>
  <si>
    <t>"The sun hasn't even set yet, and a young punk like you is already slacking off?"</t>
  </si>
  <si>
    <t xml:space="preserve">In the late afternoon, a shadow fell over Turan's face as he lay in the sun, watching the sheep as usual. </t>
  </si>
  <si>
    <t>The intruder was Lavus,</t>
  </si>
  <si>
    <t xml:space="preserve"> one of the elders from the village below.</t>
  </si>
  <si>
    <t>Instead of getting up to greet him, Turan scowled.</t>
  </si>
  <si>
    <t>"Move it, old man. You're blocking the sun."</t>
  </si>
  <si>
    <t>Turan hated all the villagers, but he despised this old man in particular.</t>
  </si>
  <si>
    <t xml:space="preserve">Five years ago, when Turan's mother died, Lavus had offered to manage their assets, slyly attempting to turn all the sheep on the hill into communal property. </t>
  </si>
  <si>
    <t>Turan had been forced to wage a near-war against the village just to get his flock back.</t>
  </si>
  <si>
    <t xml:space="preserve">Lavus's face hardened at the blatant disrespect, but he gritted his teeth and swallowed his temper. </t>
  </si>
  <si>
    <t xml:space="preserve">What good would getting angry do? </t>
  </si>
  <si>
    <t>If they got into a brawl here, the elder would undoubtedly be the one trudging down the hill with a broken nose.</t>
  </si>
  <si>
    <t>"Last night, Rob spotted a monster at the village entrance," Lavus said. "He said it was a panther as big as a house, covered entirely in pitch-black shadows."</t>
  </si>
  <si>
    <t xml:space="preserve">Monsters were beasts that had awakened to magical power. Larger and smarter than ordinary animals, they wielded all sorts of mysterious abilities. </t>
  </si>
  <si>
    <t xml:space="preserve"> Although individual differences existed within the same species, generally, the stronger the beast was before mutating, the more dangerous the monster became. An ordinary person could hardly hope to survive against a mutated panther.</t>
  </si>
  <si>
    <t>"Oh, my," Turan replied flatly.</t>
  </si>
  <si>
    <t>"Aren't you scared? You're the most likely target in this area."</t>
  </si>
  <si>
    <t>"I am scared. Terrified, even."</t>
  </si>
  <si>
    <t xml:space="preserve">Contrary to his words, there wasn't a trace of agitation on Turan's face. </t>
  </si>
  <si>
    <t xml:space="preserve">To Lavus, it was a truly incomprehensible attitude. </t>
  </si>
  <si>
    <t>Just how much nerve did this boy have to react to a dangerous monster with such indifference?</t>
  </si>
  <si>
    <t>He didn't even live behind a fence like the rest of them.</t>
  </si>
  <si>
    <t>"Anyway, the village chief went to the city to request a mage to hunt it down, so be careful. Try not to take the sheep too far, either."</t>
  </si>
  <si>
    <t>Lavus hadn't come to share this information out of concern.</t>
  </si>
  <si>
    <t xml:space="preserve">If he had his way, he would have loved for this shepherd brat to get eaten, but Turan's sheep were a crucial source of meat, wool, and trade for the village. </t>
  </si>
  <si>
    <t>Turan's death would mean losing all of that.</t>
  </si>
  <si>
    <t>A monster wouldn't be considerate enough to kill only the shepherd while leaving the flock untouched.</t>
  </si>
  <si>
    <t xml:space="preserve">Guessing the elder's true intentions, Turan replied with biting sarcasm. </t>
  </si>
  <si>
    <t>"I'm so touched by your concern I don't know what to do. If you're done talking, get lost. My nose feels like it's going to rot from your bad breath."</t>
  </si>
  <si>
    <t>As Lavus grumbled his way down the hill, Turan fell into thought.</t>
  </si>
  <si>
    <t>A mage…</t>
  </si>
  <si>
    <t xml:space="preserve">Just as beasts that wielded mysterious power were called monsters, humans who wielded mysterious power were called mages. </t>
  </si>
  <si>
    <t>They were also known as nobles or knights. Much like how a monster became the alpha leading its own kind, a mage reigned at the very apex of human society.</t>
  </si>
  <si>
    <t>I wonder how strong they are.</t>
  </si>
  <si>
    <t xml:space="preserve">If a mage was willing to come at the request of a rural village chief, they were probably a nobody. </t>
  </si>
  <si>
    <t>Since getting too close might be dangerous, he figured he could secretly watch them from a distance.</t>
  </si>
  <si>
    <t xml:space="preserve">Still, Turan wanted to see one at least once. </t>
  </si>
  <si>
    <t>While he was lost in thought, a faint scent caught his nose.</t>
  </si>
  <si>
    <t>The smell of blood?</t>
  </si>
  <si>
    <t xml:space="preserve">It smelled fresh. </t>
  </si>
  <si>
    <t xml:space="preserve">Grabbing his staff, Turan followed the scent until he reached its source. </t>
  </si>
  <si>
    <t>He clicked his tongue lightly.</t>
  </si>
  <si>
    <t>He told me to be careful, but he ended up dying first.</t>
  </si>
  <si>
    <t xml:space="preserve">Lavus's corpse was torn to shreds and scattered about, resembling a blooming red flower. </t>
  </si>
  <si>
    <t>Judging by the distinct claw marks carved all over the body, the attacker was clearly not human.</t>
  </si>
  <si>
    <t>"Was it you?" Turan asked.</t>
  </si>
  <si>
    <t>A low growl echoed.</t>
  </si>
  <si>
    <t xml:space="preserve">Shadows surged from beneath a nearby tree and coalesced into the shape of a beast. </t>
  </si>
  <si>
    <t>It was a massive panther with a shoulder height of at least two meters—large enough to easily devour a bear.</t>
  </si>
  <si>
    <t xml:space="preserve">Turan looked straight at it. </t>
  </si>
  <si>
    <t>"Die."</t>
  </si>
  <si>
    <t xml:space="preserve">A spark of lightning flashed above the panther's head. </t>
  </si>
  <si>
    <t>Startled, the beast leaped backward. Then, seemingly enraged by the provocation, it roared and lunged at Turan.</t>
  </si>
  <si>
    <t>"That didn't work... Stop."</t>
  </si>
  <si>
    <t>At the second command, the panther flinched and halted. Less than a second later, another spark flashed, freeing its body once again.</t>
  </si>
  <si>
    <t>Realizing that the weak prey before it was trying some strange trick, the panther swiftly swung its massive front paw.</t>
  </si>
  <si>
    <t>It struck with enough power and speed to instantly kill an ordinary person.</t>
  </si>
  <si>
    <t>However, instead of tearing its prey to shreds, the sharp claws helplessly sliced through empty air.</t>
  </si>
  <si>
    <t>During the brief moment the beast had flinched, Turan had stepped back with unnatural speed.</t>
  </si>
  <si>
    <t xml:space="preserve">"I knew killing it wouldn't work, but I can't even stop it..." </t>
  </si>
  <si>
    <t>Turan murmured, nodding as if he had just learned a new fact. He pulled a sling and a smoothly carved stone from his pocket.</t>
  </si>
  <si>
    <t>Loading the weapon, he spun it a couple of times and chanted a spell.</t>
  </si>
  <si>
    <t>"Be tough, be fast, and pierce. Aim for the head."</t>
  </si>
  <si>
    <t xml:space="preserve">It was an incredibly intuitive and simple spell, almost comical in its straightforwardness. </t>
  </si>
  <si>
    <t>As he released one of the cords, the stone flew toward the monster with a deafening roar that tore through the wind.</t>
  </si>
  <si>
    <t xml:space="preserve">The monster's intuition screamed at it. </t>
  </si>
  <si>
    <t xml:space="preserve">Its tough hide would be useless against that attack. </t>
  </si>
  <si>
    <t>Shrieking in terror, it twisted its body, and the stone narrowly grazed its ear.</t>
  </si>
  <si>
    <t>But before the beast could even feel relieved, the projectile curved sharply back, as if someone were directly controlling it. It struck the back of the monster's head and pierced straight through its forehead.</t>
  </si>
  <si>
    <t>With its skull and brain crushed, the panther died on the spot without another sound.</t>
  </si>
  <si>
    <t>"Tsk."</t>
  </si>
  <si>
    <t>Turan clicked his tongue, annoyed that he had just done a favor for the village fools. He grabbed the dead monster's tail and dragged it.</t>
  </si>
  <si>
    <t>It was a massive carcass that would normally require several men to lift, but he pulled it as effortlessly as if he were dragging a dead dog.</t>
  </si>
  <si>
    <t>Should I just throw it in some valley?</t>
  </si>
  <si>
    <t xml:space="preserve">The bugs and scavengers would take care of the rest well enough. </t>
  </si>
  <si>
    <t xml:space="preserve"> It wasn't exactly a clean disposal, but it didn't matter. </t>
  </si>
  <si>
    <t>The cowards in the village wouldn't have the courage to follow the monster's tracks anyway. By the time the mage hired by the chief arrived in a few days, there would be nothing left.</t>
  </si>
  <si>
    <t>The fact that a mere shepherd living on Hisaril Hill at the western edge of the world was a mage would remain a secret.</t>
  </si>
  <si>
    <t>Chapter 6. New Moon</t>
  </si>
  <si>
    <t xml:space="preserve">In the morning, the scream of a servant sweeping the courtyard woke the Minister of Military from his sleep. </t>
  </si>
  <si>
    <t xml:space="preserve"> Startled people gathered around the servant, who had collapsed and was foaming at the mouth as if he had seen a ghost.</t>
  </si>
  <si>
    <t xml:space="preserve">In the courtyard, blood-soaked warriors lay piled on top of each other, half-dead. </t>
  </si>
  <si>
    <t>All of them had their tongues pulled out and their eyes gouged out—a gruesome sight to behold.</t>
  </si>
  <si>
    <t>"Oh, my god. Oh, my."</t>
  </si>
  <si>
    <t>"What in the world happened here?"</t>
  </si>
  <si>
    <t xml:space="preserve">While the servants stomped their feet in panic, the Minister stepped out of the guest quarters. He silently ground his teeth as he looked at the men scattered across the yard. </t>
  </si>
  <si>
    <t xml:space="preserve">These were the very men he had ordered to kidnap the girl named Eunha not long ago. </t>
  </si>
  <si>
    <t>Among them were those he had personally used as his own hands and feet because they handled matters exceptionally cleanly.</t>
  </si>
  <si>
    <t>"It seems... he can see."</t>
  </si>
  <si>
    <t>And the prince had deliberately revealed it. On purpose.</t>
  </si>
  <si>
    <t xml:space="preserve">The Minister clenched his fists, trembling with humiliation. </t>
  </si>
  <si>
    <t xml:space="preserve">This was a warning. </t>
  </si>
  <si>
    <t xml:space="preserve">However, what remained uncertain was the prince's true intention. </t>
  </si>
  <si>
    <t>It was impossible to tell whether he had done this because they had kidnapped and threatened the girl, or because they had hidden arsenic on her to harm him.</t>
  </si>
  <si>
    <t>"My Lord, what should we do?"</t>
  </si>
  <si>
    <t>A surviving warrior approached the Minister and bowed his head, his face pale from losing his comrades.</t>
  </si>
  <si>
    <t xml:space="preserve">The Minister stared down callously at the men who were still clinging to life, their fingertips twitching. </t>
  </si>
  <si>
    <t>"Find the one who piled these corpses in my courtyard," he ordered cruelly. "Burn their bodies, and deliver one hundred gold coins to each of their families."</t>
  </si>
  <si>
    <t>"My Lord, but they are still alive...!"</t>
  </si>
  <si>
    <t>"You fool! Where do you see anyone alive here? Are you saying you see a living person among them?"</t>
  </si>
  <si>
    <t xml:space="preserve">At the Minister's roar, the frightened servants scrambled to bring straw mats and began rolling up the men who were still breathing. </t>
  </si>
  <si>
    <t>They feared that if they didn't treat them as corpses, their own heads would roll.</t>
  </si>
  <si>
    <t xml:space="preserve">As the Minister trembled with rage watching them hastily clean up the mess, </t>
  </si>
  <si>
    <t>one of the servants discovered Chinese characters carved into a warrior's chest with a blade.</t>
  </si>
  <si>
    <t>"My Lord, I am an ignorant man... I do not know what these characters mean," the servant called out.</t>
  </si>
  <si>
    <t>Bae-su-gu-geo (杯水救車)—A cup of water to save a burning cart.</t>
  </si>
  <si>
    <t xml:space="preserve">Even though the wounds were swollen and smeared with blood, the Minister recognized the phrase immediately. </t>
  </si>
  <si>
    <t>It was a blatant mockery.</t>
  </si>
  <si>
    <t>A warning filled with superiority and arrogance, declaring that no matter what tricks the Minister tried, he would never even reach the prince's toes.</t>
  </si>
  <si>
    <t xml:space="preserve">Stepping down into the courtyard in his socks, the Minister drew a nearby guard's sword and personally plunged it into the chest of the warrior bearing the carved phrase. </t>
  </si>
  <si>
    <t xml:space="preserve">The sensation of bone and flesh tearing apart with a sickening thud was chilling. </t>
  </si>
  <si>
    <t>The eyes of the man who had been barely clinging to life rolled back as he took his final breath.</t>
  </si>
  <si>
    <t xml:space="preserve">Everyone watching was so horrified they couldn't bear to keep their eyes open. </t>
  </si>
  <si>
    <t xml:space="preserve">When their master had announced he was coming down to the annex in Harye, they had all rejoiced at the prospect of serving the strict but highly respected Lord. </t>
  </si>
  <si>
    <t>However, since the Minister's arrival, the servants hadn't been able to sleep peacefully for even a single night.</t>
  </si>
  <si>
    <t>"Y-Young Master Sihoon!"</t>
  </si>
  <si>
    <t xml:space="preserve">One of the servants spotted Sihoon standing at the gate and bowed deeply. </t>
  </si>
  <si>
    <t>Thinking they had shown him something he shouldn't see, everyone frantically rushed to cover the bodies with straw mats.</t>
  </si>
  <si>
    <t>Sihoon stared blankly at the blood-drenched courtyard and his father, who had just plunged a sword into a man's chest.</t>
  </si>
  <si>
    <t xml:space="preserve">Brushing off his blood-spattered robes, the Minister quickly smoothed his expression and tossed the sword onto the ground. </t>
  </si>
  <si>
    <t>"You arrived just in time. Come in."</t>
  </si>
  <si>
    <t xml:space="preserve">At his father's words, Sihoon stepped up onto the wooden porch with a stiff expression, walking past the bodies. </t>
  </si>
  <si>
    <t>"What happened here?"</t>
  </si>
  <si>
    <t xml:space="preserve">"Ah, you mean that?" </t>
  </si>
  <si>
    <t xml:space="preserve">The Minister turned his head, looking at a limp arm hanging out from under a straw mat. </t>
  </si>
  <si>
    <t>"Remember this clearly. That is the prince's true nature. Your sister lost her life in place of such a man. The monster residing here in Harye is a madman who forced his own wife to taste-test his poisoned tea."</t>
  </si>
  <si>
    <t>"Father, I am asking how those men lost their lives. If rumors were to spread...!"</t>
  </si>
  <si>
    <t>"Nonsense. Rumors? They are righteous men who proudly lost their lives fighting assassins sent by a madman. Who would dare point fingers at such a noble death?"</t>
  </si>
  <si>
    <t xml:space="preserve">No. </t>
  </si>
  <si>
    <t xml:space="preserve">Sihoon instinctively knew the truth. </t>
  </si>
  <si>
    <t xml:space="preserve">Their deaths were not noble sacrifices, but a meaningless slaughter.  However, if the prince had done this to them, then the safety of Eunha, who was staying with the royal, was in grave danger. </t>
  </si>
  <si>
    <t>The thought of Eunha being near a madman who was no different from a tyrant made his blood boil.</t>
  </si>
  <si>
    <t>"Sohyeon, the girl who will become your wife, came to visit," the Minister said.</t>
  </si>
  <si>
    <t xml:space="preserve">Entering the guest quarters, Sihoon sat formally in front of his father. </t>
  </si>
  <si>
    <t xml:space="preserve">Even amidst the chaos of the morning's incident, the room was as quiet and immaculate as a secret chamber. </t>
  </si>
  <si>
    <t>Unconsciously, Sihoon thought of his mother Simdeok's quarters.</t>
  </si>
  <si>
    <t xml:space="preserve"> It appeared pure and modest, yet was filled with priceless antiques.</t>
  </si>
  <si>
    <t xml:space="preserve">The Minister mixed a little opium into his tobacco and lit it. </t>
  </si>
  <si>
    <t>Having developed a chronic illness after fighting in two wars, he had started keeping opium close at hand.</t>
  </si>
  <si>
    <t>"She asked for that wench Yeong to be her personal maid."</t>
  </si>
  <si>
    <t>Startled by the unexpected words, Sihoon raised his gaze.</t>
  </si>
  <si>
    <t>"I trust you understand... what that means," the Minister continued.</t>
  </si>
  <si>
    <t>"Father."</t>
  </si>
  <si>
    <t>"Sihoon. Women sometimes play right on top of a man's head. So be careful. That cheeky girl is no ordinary woman."</t>
  </si>
  <si>
    <t>"Did you grant her request?"</t>
  </si>
  <si>
    <t>"Yes, I permitted it. I had no intention of taking in a girl who acted like a gisaeng as a concubine anyway, so it worked out perfectly."</t>
  </si>
  <si>
    <t xml:space="preserve">The Minister chuckled like a man who had cast off a heavy burden. </t>
  </si>
  <si>
    <t xml:space="preserve">Sihoon did not feel the same. </t>
  </si>
  <si>
    <t>If Yeong became Sohyeon's maid... and if Sohyeon had orchestrated this knowing about the relationship between him and Yeong, it was not a matter to just laugh off.</t>
  </si>
  <si>
    <t xml:space="preserve">As Sihoon sat silently lost in thought, the tip of the Minister's long smoking pipe suddenly thrust into his view. </t>
  </si>
  <si>
    <t>Raising his head, Sihoon met his father's piercing glare.</t>
  </si>
  <si>
    <t>"The preliminary examination will be held in September, so hold the wedding in the spring. After that, you can devote yourself to your studies and leave for the capital around July. I have put a great deal of effort into this marriage. Do not... disappoint me, Sihoon."</t>
  </si>
  <si>
    <t>His mind going completely blank, Sihoon bowed his head.</t>
  </si>
  <si>
    <t xml:space="preserve">Yeong becoming Sohyeon's maid </t>
  </si>
  <si>
    <t xml:space="preserve">meant two choices lay before him. </t>
  </si>
  <si>
    <t xml:space="preserve">He could persuade Sohyeon to set Yeong free, </t>
  </si>
  <si>
    <t>or keep Yeong by his side even if it meant making her his wife's servant.</t>
  </si>
  <si>
    <t xml:space="preserve">Sihoon clenched his fists, </t>
  </si>
  <si>
    <t xml:space="preserve">his sweat staining the hem of his robe. </t>
  </si>
  <si>
    <t>Would he personally grant Yeong the freedom that Eunha had wished for, or would he selfishly keep the woman who currently filled his mind by his side for the rest of his life?</t>
  </si>
  <si>
    <t xml:space="preserve">By the time he stepped outside, only bloodstains remained in the courtyard. </t>
  </si>
  <si>
    <t>Looking up at the dreary sky, Sihoon thought of Eunha.</t>
  </si>
  <si>
    <t>"Are you out of your mind? Just what goes through your head?"</t>
  </si>
  <si>
    <t xml:space="preserve">CEO Hakseung Kim shouted, throwing today's sports newspaper onto the table. </t>
  </si>
  <si>
    <t xml:space="preserve">Wearing a dark blue dress shirt with a light brown suit and a pocket square, the man looked like a wealthy model for Dolce &amp; Gabbana. </t>
  </si>
  <si>
    <t xml:space="preserve">Although he was well past forty, his well-maintained skin and the muscular physique evident beneath his high-end suit made him look much younger. </t>
  </si>
  <si>
    <t>"How many times is this? Huh? The last time you almost got caught, Manager Cha barely managed to shake off the reporters. What did you say back then?"</t>
  </si>
  <si>
    <t>"I said it wouldn't happen again,"</t>
  </si>
  <si>
    <t xml:space="preserve"> the man reclining on the dark brown sofa replied with a smile.</t>
  </si>
  <si>
    <t>It was a refreshing smile, like the sweet scent of a freshly peeled orange.</t>
  </si>
  <si>
    <t>"And I won't get caught, either."</t>
  </si>
  <si>
    <t>His tone was confident, as if everything in the world rested in the palm of his hand.</t>
  </si>
  <si>
    <t>"Won't get caught? Are you blind?"</t>
  </si>
  <si>
    <t xml:space="preserve">CEO Kim pointed to a blind item in the corner of page sixteen of the entertainment section. </t>
  </si>
  <si>
    <t>It claimed that top star 'S' was enjoying secret car dates with a rookie actress.</t>
  </si>
  <si>
    <t>"Who reads blind items on page sixteen?"</t>
  </si>
  <si>
    <t>"I do! I read them!"</t>
  </si>
  <si>
    <t>"You only read them because it's your job, CEO. Nobody else reads them. Nobody."</t>
  </si>
  <si>
    <t xml:space="preserve">He wasn't wrong, but CEO Kim pounded his own chest in frustration. </t>
  </si>
  <si>
    <t>The person he actually wanted to pound was the man sitting in front of him, but since that actor's body was far too precious to bruise, he had no choice but to strike his own innocent chest.</t>
  </si>
  <si>
    <t xml:space="preserve">The man on the sofa looked down at the newspaper with an amused expression, as if reading about someone else's scandal. </t>
  </si>
  <si>
    <t>CEO Kim clicked his tongue.</t>
  </si>
  <si>
    <t xml:space="preserve">"How is a guy like you the number one celebrity with zero haters? Good grief." </t>
  </si>
  <si>
    <t>He spoke as if the very fact offended him.</t>
  </si>
  <si>
    <t>"Then you can be my first hater, CEO."</t>
  </si>
  <si>
    <t>At Wooyeon's words, CEO Kim's fist trembled.</t>
  </si>
  <si>
    <t xml:space="preserve">When judging others, people instinctively viewed them through their own standards. </t>
  </si>
  <si>
    <t xml:space="preserve">CEO Kim had repeatedly stated that objective perspectives were pure bullshit. He believed that the moment words passed through the brain and out the mouth, they inevitably became subjective. </t>
  </si>
  <si>
    <t>Therefore, it was impossible to be universally liked by a multitude of people who all possessed different standards.</t>
  </si>
  <si>
    <t>However, Wooyeon Lee made the impossible possible.</t>
  </si>
  <si>
    <t xml:space="preserve">Starting his career in an independent film a few years ago, Wooyeon was an actor walking the path of success without a single slump. </t>
  </si>
  <si>
    <t xml:space="preserve">After receiving more spotlight than the lead actor in his first supporting role in a drama, he was immediately cast as the lead in Director Sunghan Park's film. </t>
  </si>
  <si>
    <t>Thanks to his outstanding acting skills and a face with a peculiar charm that made it hard to guess his nationality or age, his stock skyrocketed after the movie's release.</t>
  </si>
  <si>
    <t>Sweeping both the Rookie of the Year and Best Actor awards, he reached the very top just a year after setting foot in the industry.</t>
  </si>
  <si>
    <t xml:space="preserve">The rule of the entertainment world was that what goes up must come down, but that didn't apply to Wooyeon. </t>
  </si>
  <si>
    <t xml:space="preserve">Every drama he filmed surpassed a forty percent viewership rating, every script he chose became a massive hit, and his commercials made advertisers dance with joy. </t>
  </si>
  <si>
    <t>The products he endorsed gained absolute support from consumers, to the point where economic journals published editorials stating that Wooyeon himself was a brand.</t>
  </si>
  <si>
    <t>People loved Wooyeon.</t>
  </si>
  <si>
    <t>His rare, aristocratic appearance, his beautiful smile, his outstanding acting skills, and his genius captivated everyone. Anyone who had worked with him even once would sing his praises until their mouths went dry.</t>
  </si>
  <si>
    <t xml:space="preserve">Women, in particular, loved his eyes. </t>
  </si>
  <si>
    <t xml:space="preserve">Filled simultaneously with the deep emptiness of an old man and an innocence unbefitting his age, his gaze was immensely adored. </t>
  </si>
  <si>
    <t>Among his fans, there was even creepy chatter about designating Wooyeon's eyes as a national treasure and preserving them after his death.</t>
  </si>
  <si>
    <t>Opinions regarding Wooyeon's background were always divided. Intriguing hypotheses circulated—</t>
  </si>
  <si>
    <t>that he was a brilliant Princeton dropout, the grandson of a foreign corporate founder, or the illegitimate child of a famous actress—but nothing was ever confirmed.</t>
  </si>
  <si>
    <t>CEO Kim found it astonishing that even his mysterious background only amplified his charm.</t>
  </si>
  <si>
    <t xml:space="preserve">That didn't mean Wooyeon had no flaws. He loved women. </t>
  </si>
  <si>
    <t>CEO Kim argued that whoever first coined the phrase "never reject a woman who approaches, and never stop a woman who leaves" deserved royalties from Wooyeon.</t>
  </si>
  <si>
    <t xml:space="preserve">They had barely dodged this recent scandal, but CEO Kim worried it was only a matter of time before Wooyeon took over the front page of the tabloids. </t>
  </si>
  <si>
    <t xml:space="preserve">Regardless, Wooyeon always did exactly as he pleased. </t>
  </si>
  <si>
    <t>Watching him, CEO Kim grumbled that he lived like a man who only had one day left to live.</t>
  </si>
  <si>
    <t>"Please, let's live a little more carefully," CEO Kim pleaded. "What are you going to do if your career ends because you're acting so recklessly?"</t>
  </si>
  <si>
    <t>"Well, I'm still thinking about what to do next."</t>
  </si>
  <si>
    <t>"What was I thinking, raising a guy like this?"</t>
  </si>
  <si>
    <t xml:space="preserve">Hakseung Kim often recalled the day Wooyeon had walked into JN Entertainment with the audacious request to debut as an actor. </t>
  </si>
  <si>
    <t>Thinking the man was crazy, the CEO had been about to kick him out, but Wooyeon's face was far too perfect to dismiss. Hakseung had sent away the security guards he had just called.</t>
  </si>
  <si>
    <t xml:space="preserve">"It won't be a problem," </t>
  </si>
  <si>
    <t xml:space="preserve">Wooyeon said, skimming the article in the corner of the newspaper. </t>
  </si>
  <si>
    <t>There was not a shred of doubt in his laughing eyes.</t>
  </si>
  <si>
    <t>He was always like this,</t>
  </si>
  <si>
    <t>possessing an inexplicable, groundless certainty.</t>
  </si>
  <si>
    <t xml:space="preserve">"Of course it won't. Not when an article like this is on the front page," </t>
  </si>
  <si>
    <t>CEO Kim retorted, spreading the front page of the newspaper back onto the table.</t>
  </si>
  <si>
    <t>"If it weren't for this, you might have been the headline."</t>
  </si>
  <si>
    <t>A shocking story decorated the front page.</t>
  </si>
  <si>
    <t xml:space="preserve">Manager Cha, who had been sitting quietly across from Wooyeon all this time, grew pale as he read it. </t>
  </si>
  <si>
    <t>"'Girl group idol jumps from agency building.' Another suicide?"</t>
  </si>
  <si>
    <t xml:space="preserve">The article reporting that a female idol had jumped to her death early that morning was plastered with provocative phrases. </t>
  </si>
  <si>
    <t>Wooyeon simply sat there with a disinterested expression.</t>
  </si>
  <si>
    <t>"And as of yesterday, Manager Kim quit,"</t>
  </si>
  <si>
    <t>CEO Kim muttered gloomily.</t>
  </si>
  <si>
    <t xml:space="preserve">"Again?" </t>
  </si>
  <si>
    <t>Manager Cha asked in surprise.</t>
  </si>
  <si>
    <t xml:space="preserve">"Yes. Again, again, and again," </t>
  </si>
  <si>
    <t>CEO Kim added, grinding his teeth. It was already the eighth time this year.</t>
  </si>
  <si>
    <t xml:space="preserve">By nature, a manager's career—with its irregular schedule and inconsistent income—didn't have a long lifespan. </t>
  </si>
  <si>
    <t xml:space="preserve">Still, working for a large agency meant receiving full benefits and regular bonuses, making it a highly coveted position. </t>
  </si>
  <si>
    <t xml:space="preserve">JN Entertainment offered the best salary in the industry, so people were always lining up at the door. </t>
  </si>
  <si>
    <t>Working at a top company naturally expanded one's network and provided invaluable experience, leading many to dream of eventually starting their own agencies.</t>
  </si>
  <si>
    <t>The more popular the celebrity, the more power their manager wielded.</t>
  </si>
  <si>
    <t xml:space="preserve">Most managers felt immense pride watching their assigned stars succeed. </t>
  </si>
  <si>
    <t>Yet, the fact that the manager for the top actor in the country kept changing meant the problem ultimately lay with Wooyeon.</t>
  </si>
  <si>
    <t xml:space="preserve">Ironically, Wooyeon was famous for his stellar personality. </t>
  </si>
  <si>
    <t xml:space="preserve">Voted the number one celebrity best suited for coffee commercials several years running, he was highly regarded by his peers. </t>
  </si>
  <si>
    <t xml:space="preserve">He was never late and always treated the staff with respect. </t>
  </si>
  <si>
    <t>While many rookies became arrogant as they gained popularity,</t>
  </si>
  <si>
    <t>Wooyeon remained consistently polite and courteous.</t>
  </si>
  <si>
    <t>"This is all because of your filthy personality!" CEO Kim accused.</t>
  </si>
  <si>
    <t xml:space="preserve">"No way," </t>
  </si>
  <si>
    <t xml:space="preserve">Wooyeon replied with a smile. </t>
  </si>
  <si>
    <t xml:space="preserve">It was an incredibly gentle and amiable expression. </t>
  </si>
  <si>
    <t>However, CEO Kim knew the gutter-like true nature hidden beneath that angelic mask.</t>
  </si>
  <si>
    <t>"How did you torment him this time?"</t>
  </si>
  <si>
    <t>"Me? I never did such a thing. Did Manager Kim say that when he left? That he was quitting because I tormented him?"</t>
  </si>
  <si>
    <t>"..."</t>
  </si>
  <si>
    <t xml:space="preserve">Manager Kim hadn't said a single word blaming Wooyeon. </t>
  </si>
  <si>
    <t>He had simply disappeared after leaving a message saying he felt too incompetent to continue working as a manager.</t>
  </si>
  <si>
    <t xml:space="preserve">"See?" </t>
  </si>
  <si>
    <t xml:space="preserve">Wooyeon said, pulling out his phone with long, elegant fingers. </t>
  </si>
  <si>
    <t>The moment CEO Kim saw that smug 'I knew it' expression, fiery rage burned inside him.</t>
  </si>
  <si>
    <t xml:space="preserve">Every single manager who had been assigned to Wooyeon had submitted their resignation for the exact same reason. </t>
  </si>
  <si>
    <t>They all apologized, claiming they felt inadequate to manage the country's top star.</t>
  </si>
  <si>
    <t>Once or twice was a coincidence, but eight times in a single year? CEO Kim couldn't help but suspect foul play.</t>
  </si>
  <si>
    <t xml:space="preserve">What had that devilish human done behind the scenes to make those innocent managers quit? </t>
  </si>
  <si>
    <t xml:space="preserve">How had he so cleverly tormented them? </t>
  </si>
  <si>
    <t>His suspicions grew rapidly, like Jack's beanstalk.</t>
  </si>
  <si>
    <t>"Please stop saying my managers quit because I torment them, CEO."</t>
  </si>
  <si>
    <t>"Then why do they all give the exact same reason when they resign?"</t>
  </si>
  <si>
    <t>"Well, I wouldn't know."</t>
  </si>
  <si>
    <t xml:space="preserve">In truth, Wooyeon's personality was downright rotten. </t>
  </si>
  <si>
    <t xml:space="preserve">He fooled people with his kind impression and soft tone, but saying he simply had a 'bad personality' was the understatement of the century. </t>
  </si>
  <si>
    <t>And he didn't even bother pretending to be a good person in front of CEO Kim.</t>
  </si>
  <si>
    <t xml:space="preserve">It was the same right now. </t>
  </si>
  <si>
    <t>Even if they didn't know each other personally, a fellow entertainer had just jumped to her death. Yet, upon seeing the article, Wooyeon didn't show a single ounce of emotion.</t>
  </si>
  <si>
    <t xml:space="preserve">"Anyway, I wonder what happened to make her jump off a building. Goodness." </t>
  </si>
  <si>
    <t xml:space="preserve">Manager Cha clicked his tongue as he read the article, </t>
  </si>
  <si>
    <t>continuously shaking his head in pity.</t>
  </si>
  <si>
    <t>Wooyeon continued texting on his phone with an indifferent face.</t>
  </si>
  <si>
    <t xml:space="preserve">"Who knows? That's her business. Still, it's a pity. At such a young age," </t>
  </si>
  <si>
    <t>CEO Kim said, glancing at Wooyeon.</t>
  </si>
  <si>
    <t xml:space="preserve">When their eyes met, Wooyeon flashed his signature gentle smile. </t>
  </si>
  <si>
    <t>"There's an order to coming into this world, but no order to leaving it."</t>
  </si>
  <si>
    <t>"It's a pity, but she's already dead. What can you do?"</t>
  </si>
  <si>
    <t xml:space="preserve">If he could, CEO Kim would have loved to grab his own head and lie down right then and there. </t>
  </si>
  <si>
    <t xml:space="preserve"> How could anyone be so callous?</t>
  </si>
  <si>
    <t>"Do you have no heart at all?" CEO Kim demanded.</t>
  </si>
  <si>
    <t>"Of course I do. I was just saying that so you two wouldn't be too heartbroken."</t>
  </si>
  <si>
    <t xml:space="preserve">It was a tone that would have completely fooled anyone who didn't know him. </t>
  </si>
  <si>
    <t>But CEO Kim knew the darkness lurking beneath that slick mask.</t>
  </si>
  <si>
    <t xml:space="preserve">"It breaks my heart to think about how hard it must have been for her to make such a choice in the prime of her life," </t>
  </si>
  <si>
    <t xml:space="preserve">Wooyeon murmured, pressing a palm against his chest. </t>
  </si>
  <si>
    <t>It was a sorrowful tone, hard to believe it came from the same person who had just so casually dismissed her death.</t>
  </si>
  <si>
    <t xml:space="preserve">CEO Kim and Manager Cha were the only people who knew Wooyeon's true nature. </t>
  </si>
  <si>
    <t xml:space="preserve">They knew that the heart-wrenching voice he had just used was entirely fabricated. </t>
  </si>
  <si>
    <t xml:space="preserve">Wooyeon genuinely didn't feel a shred of sympathy for the dead woman. </t>
  </si>
  <si>
    <t>That was just the kind of person he was.</t>
  </si>
  <si>
    <t>"I have a black suit prepared. Go pay your respects," CEO Kim instructed.</t>
  </si>
  <si>
    <t>Wooyeon turned his head with a questioning look.</t>
  </si>
  <si>
    <t>"Going to places like this to pay your respects will improve your reputation."</t>
  </si>
  <si>
    <t>"Is there any room left for my reputation to improve?"</t>
  </si>
  <si>
    <t>"You have to go even if it's a bother. We have to save face for the agency, too."</t>
  </si>
  <si>
    <t xml:space="preserve">"Who said it was a bother? Of course I should go," </t>
  </si>
  <si>
    <t>Wooyeon said, standing up with an expression that clearly showed he was annoyed to death.</t>
  </si>
  <si>
    <t>"Manager Cha will take you. A black suit, a dress shirt, shoes, and non-prescription glasses are all prepared. And when he takes you home, he's going to call the new manager who starts tomorrow to drive and introduce himself. Don't torment him."</t>
  </si>
  <si>
    <t>"I told you, I didn't torment anyone."</t>
  </si>
  <si>
    <t>Regardless of Wooyeon's denials, CEO Kim was certain that the mass exodus of managers was due to him pulling tricks behind their backs.</t>
  </si>
  <si>
    <t>"Reporters will be swarming the place, so handle yourself well. Don't do anything useless."</t>
  </si>
  <si>
    <t xml:space="preserve">"Anything useless?" </t>
  </si>
  <si>
    <t>Wooyeon asked, genuinely wondering what that meant.</t>
  </si>
  <si>
    <t>"Women."</t>
  </si>
  <si>
    <t xml:space="preserve">"Ah, women." </t>
  </si>
  <si>
    <t xml:space="preserve">He laughed, slightly lowering his head. </t>
  </si>
  <si>
    <t xml:space="preserve">Women would melt at that low, pleasant voice brushing against their ears. </t>
  </si>
  <si>
    <t xml:space="preserve">It wasn't hard to find men in the industry who were more handsome or had better bodies than Wooyeon, </t>
  </si>
  <si>
    <t>but his voice played a massive role in his rise to the top.</t>
  </si>
  <si>
    <t xml:space="preserve">Actresses who had starred alongside him unanimously praised his voice, </t>
  </si>
  <si>
    <t>often making the slightly exaggerated claim that no woman could resist if he whispered a love confession into her ear.</t>
  </si>
  <si>
    <t>Wooyeon knew better than anyone how his voice affected others.</t>
  </si>
  <si>
    <t xml:space="preserve">Letting out a low laugh that sounded like finely crushed chocolate, he asked, </t>
  </si>
  <si>
    <t>"Do I really look like the kind of son of a bitch who would go to a funeral and cause trouble with women?"</t>
  </si>
  <si>
    <t>You do, you son of a bitch.</t>
  </si>
  <si>
    <t xml:space="preserve">CEO Kim swallowed his retort and waved him off. </t>
  </si>
  <si>
    <t>Wooyeon smiled, said his goodbyes, and disappeared out the door.</t>
  </si>
  <si>
    <t>As a headache washed over him, CEO Kim popped a pill into his mouth and poured water into a cup.</t>
  </si>
  <si>
    <t xml:space="preserve">Manager Cha hesitated for a moment before asking cautiously, </t>
  </si>
  <si>
    <t>"What kind of person is the new manager, CEO?"</t>
  </si>
  <si>
    <t xml:space="preserve">Swallowing a mouthful of water, Hakseung Kim replied, </t>
  </si>
  <si>
    <t>"A guy who will never quit."</t>
  </si>
  <si>
    <t xml:space="preserve">Every day brought the exact same scenery, the exact same chores, and the exact same bedtime. </t>
  </si>
  <si>
    <t>대명사 중복</t>
  </si>
  <si>
    <t>대명사</t>
  </si>
  <si>
    <t>현대어</t>
  </si>
  <si>
    <t>어순</t>
  </si>
  <si>
    <t>wash over</t>
  </si>
  <si>
    <t>sheer</t>
  </si>
  <si>
    <t>exact same</t>
  </si>
  <si>
    <t>amused 단어선정</t>
  </si>
  <si>
    <t>perhaps 오역</t>
  </si>
  <si>
    <t>어순 (of course 맨 끝에)</t>
  </si>
  <si>
    <t>어순, 논리적 전개</t>
  </si>
  <si>
    <t>방금 태도치고 said 너무 평범함</t>
  </si>
  <si>
    <t>That monster is most likely to target you 등</t>
  </si>
  <si>
    <t>agitation 단어선정</t>
  </si>
  <si>
    <t>라부스 대사</t>
  </si>
  <si>
    <t>위에 대사태그 추가하면 여기서 대명사 사용</t>
  </si>
  <si>
    <t>if the boy died, they would lose all of that 등</t>
  </si>
  <si>
    <t>"... I don't know what to do," Turan replied with biting sarcasm, guessing the elder's true intentions. "If you're done…"</t>
  </si>
  <si>
    <t>I don't know what to do 표현 선정</t>
  </si>
  <si>
    <t>kind 단어선정</t>
  </si>
  <si>
    <t>Is that 추가 (질문형)</t>
  </si>
  <si>
    <t>lightly 직역</t>
  </si>
  <si>
    <t>라부스의 몸 possessive "the old man's body"</t>
  </si>
  <si>
    <t>여기 surged는 소굿친 있어서 괜찮아요</t>
  </si>
  <si>
    <t>and said, 추가</t>
  </si>
  <si>
    <t>At the second command 부분을 위 대사 태그로 변경</t>
  </si>
  <si>
    <t>massive 중복</t>
  </si>
  <si>
    <t>helplessly 단어선정/위치</t>
  </si>
  <si>
    <t>불필요한 …</t>
  </si>
  <si>
    <t>the stone tore through the air with a piercing whistle 등</t>
  </si>
  <si>
    <t>아래 문장이랑 합쳐야함</t>
  </si>
  <si>
    <t>good</t>
  </si>
  <si>
    <t>directly 삭제</t>
  </si>
  <si>
    <t>불필요한 의성어/의태어</t>
  </si>
  <si>
    <t>the village fools 표현 선정 / dragged it 논리적전개</t>
  </si>
  <si>
    <t>massive, dragging 중복</t>
  </si>
  <si>
    <t>it &gt; this</t>
  </si>
  <si>
    <t>명확성부족</t>
  </si>
  <si>
    <t>a &gt; the</t>
  </si>
  <si>
    <t>어순, 불필요한 comma</t>
  </si>
  <si>
    <t>어순, 불필요한 commas</t>
  </si>
  <si>
    <t>어순, 불필요한 em-dash</t>
  </si>
  <si>
    <t>stomped their feet 표현선정</t>
  </si>
  <si>
    <t>the very</t>
  </si>
  <si>
    <t>hands and feet 표현선정</t>
  </si>
  <si>
    <t>deliberately = on purpose</t>
  </si>
  <si>
    <t>불필요한 … / 화자불분명</t>
  </si>
  <si>
    <t>명확성부족 (다음이 However로 시작하기때문)</t>
  </si>
  <si>
    <t>they &gt; the minister</t>
  </si>
  <si>
    <t>my lord 불필요한 대문자</t>
  </si>
  <si>
    <t>surviving X</t>
  </si>
  <si>
    <t>to life &gt; to their lives</t>
  </si>
  <si>
    <t>the one / their bodies 혼동 가능 (명확성부족) &gt; these bodies</t>
  </si>
  <si>
    <t>불필요한 대문자</t>
  </si>
  <si>
    <t>where 삭제 / you see 반복</t>
  </si>
  <si>
    <t>roll 중복</t>
  </si>
  <si>
    <t>불필요한 대문자, 불필요한 …</t>
  </si>
  <si>
    <t>⑦ 기타 사례 누적 확인</t>
  </si>
  <si>
    <t>a nearby guard's &gt; his guard's (아까 나온 캐릭터)</t>
  </si>
  <si>
    <t>의성어/의태어 오류, 논리적 정리필요</t>
  </si>
  <si>
    <t>clinging to life 반복</t>
  </si>
  <si>
    <t>논리적 정리필요</t>
  </si>
  <si>
    <t>annex 단어선정
서술에 lord 사용금지</t>
  </si>
  <si>
    <t>위에 대사랑 합침</t>
  </si>
  <si>
    <t>at his father's words 를 위에 대사 태그로 만들고 삭제</t>
  </si>
  <si>
    <t>화자 불분명</t>
  </si>
  <si>
    <t>ah &gt; oh</t>
  </si>
  <si>
    <t>remember this clearly 표현선정</t>
  </si>
  <si>
    <t>…! &gt; em-dash 번경</t>
  </si>
  <si>
    <t>madman 중복, a &gt; that, dare &gt; dare to</t>
  </si>
  <si>
    <t>clunky/convoluted
문장 정리필요</t>
  </si>
  <si>
    <t>Eunha 대명사
madman 중복</t>
  </si>
  <si>
    <t>단순화 필요</t>
  </si>
  <si>
    <t>guest quarters 오역</t>
  </si>
  <si>
    <t>unconsciously 단어선정</t>
  </si>
  <si>
    <t>opium 반복</t>
  </si>
  <si>
    <t>words 단어선정</t>
  </si>
  <si>
    <t>말끊기니까 em-dash</t>
  </si>
  <si>
    <t>불완전한 문장 (위에꺼랑 합치면 됨), 발끝에도 미치치 못할</t>
  </si>
  <si>
    <t>위 질문에 대한 논리적 대답 부족, 기생질 오역</t>
  </si>
  <si>
    <t>Sihoon, women
머리꼭대기</t>
  </si>
  <si>
    <t>like a man / a man who</t>
  </si>
  <si>
    <t>불필요한 …
just 단어선정 / it wasn't a matter he could simply laugh off 등</t>
  </si>
  <si>
    <t>시훈 대명사 he, 수동태 사용</t>
  </si>
  <si>
    <t>불필요한 comma</t>
  </si>
  <si>
    <t>what the hell were you thinking 등</t>
  </si>
  <si>
    <t>today's &gt; the day's</t>
  </si>
  <si>
    <t>the man &gt; he</t>
  </si>
  <si>
    <t>the muscular &gt; his muscular</t>
  </si>
  <si>
    <t>Tearing at his hair—which had just been styled that morning at an exclusive Cheongdam-dong salon—he yelled fiercely.</t>
  </si>
  <si>
    <t>아래 대사와 합침
불필요한 em-dash</t>
  </si>
  <si>
    <t>say back then &gt; say to me back then</t>
  </si>
  <si>
    <t>위 대사 태그와 합침</t>
  </si>
  <si>
    <t>rested &gt; was</t>
  </si>
  <si>
    <t>You 추가</t>
  </si>
  <si>
    <t>Hakseung 이름 사용</t>
  </si>
  <si>
    <t>Mr. Kim</t>
  </si>
  <si>
    <t>own 삭제</t>
  </si>
  <si>
    <t>sofa &gt; couch</t>
  </si>
  <si>
    <t>good grief &gt; Jesus Christ 등</t>
  </si>
  <si>
    <t>대사 태그로 바꿈</t>
  </si>
  <si>
    <t>At Wooyeon's words 대사 태그로 바꿈</t>
  </si>
  <si>
    <t>어순, viewed &gt; measured</t>
  </si>
  <si>
    <t>옛날 말투</t>
  </si>
  <si>
    <t>슬럼프
Wooyeon was an actor 불필요한 중복 정보</t>
  </si>
  <si>
    <t>드라마</t>
  </si>
  <si>
    <t>주식</t>
  </si>
  <si>
    <t>best new actor</t>
  </si>
  <si>
    <t>현재시제
In the entertainment industry, rising to the top usually meant an inevitable fall 등</t>
  </si>
  <si>
    <t>드라마 /  every 패턴 마지막까지 유지</t>
  </si>
  <si>
    <t>문장 정리 필요</t>
  </si>
  <si>
    <t>rare, aristocratic
입에 침이 마르도록</t>
  </si>
  <si>
    <t>deep emptiness / innocence</t>
  </si>
  <si>
    <t>명확성 부족
he loved women 자체는 단점이 아니기때문에 too much 추가 등</t>
  </si>
  <si>
    <t>어순, 표현 살짝 어색</t>
  </si>
  <si>
    <t>좀 더 현대어 표현 필요</t>
  </si>
  <si>
    <t>항상 투덜거린다는 뉘앙스 부족</t>
  </si>
  <si>
    <t>조심하고 살자 / 막나가니</t>
  </si>
  <si>
    <t>thinking 반복 / 뭘믿고 키운건지</t>
  </si>
  <si>
    <t>이름 성</t>
  </si>
  <si>
    <t>옛날 말투, laughing eyes</t>
  </si>
  <si>
    <t>decorated 단어선정</t>
  </si>
  <si>
    <t>걸그룹 아이돌</t>
  </si>
  <si>
    <t>여자 아이돌</t>
  </si>
  <si>
    <t>disinterested 단어선정</t>
  </si>
  <si>
    <t>again, and again, and again</t>
  </si>
  <si>
    <t>어순, lifespan 단어선정, 불필요한 em-dash</t>
  </si>
  <si>
    <t>top company 단어선정</t>
  </si>
  <si>
    <t>assigned 삭제</t>
  </si>
  <si>
    <t>명확성 부족
커피광고가 무슨 상관인지 설명 추가</t>
  </si>
  <si>
    <t>스태프들에게도 뉘앙스 부족</t>
  </si>
  <si>
    <t>filthy 단어선정</t>
  </si>
  <si>
    <t>표현선정</t>
  </si>
  <si>
    <t>gutter-like 단어선정</t>
  </si>
  <si>
    <t>화자 불분명, torment 단어선정</t>
  </si>
  <si>
    <t>torment 단어선정</t>
  </si>
  <si>
    <t>말없으면 문장으로 대체</t>
  </si>
  <si>
    <t>"Well, then," 등</t>
  </si>
  <si>
    <t>직함, 홀따옴표</t>
  </si>
  <si>
    <t>최고 스타</t>
  </si>
  <si>
    <t>devilish human &gt; devil wearing human skin 등</t>
  </si>
  <si>
    <t>살짝 어색함</t>
  </si>
  <si>
    <t>캐릭터 말투, exact same</t>
  </si>
  <si>
    <t>너무 강한 표현 (밑에 문장이랑 논리적으로 안맞음)</t>
  </si>
  <si>
    <t>홀따옴표, 선한 인상</t>
  </si>
  <si>
    <t>yet 다음에 comma
a single ounce of</t>
  </si>
  <si>
    <t>indifferent face &gt; adverb 로 변경</t>
  </si>
  <si>
    <t>pity 반복, 불완전한 문장</t>
  </si>
  <si>
    <t>pity 반복</t>
  </si>
  <si>
    <t>own 삭제, 문장이 좀 과함</t>
  </si>
  <si>
    <t>뚫린입 뉘앙스 부족</t>
  </si>
  <si>
    <t>옛날말투, 대명사</t>
  </si>
  <si>
    <t>시제</t>
  </si>
  <si>
    <t>번드르르한</t>
  </si>
  <si>
    <t>명확성 부족으로 인한 오역</t>
  </si>
  <si>
    <t>어순, 명확성 부족, 문장 정리 필요</t>
  </si>
  <si>
    <t>woman &gt; girl</t>
  </si>
  <si>
    <t>수동태</t>
  </si>
  <si>
    <t>캐릭터 말투, bother</t>
  </si>
  <si>
    <t>틀린건 아닌데 더 재밋는 표현 필요</t>
  </si>
  <si>
    <t>수동태, torment</t>
  </si>
  <si>
    <t>mass exodus 표현</t>
  </si>
  <si>
    <t>쓸데없는 짓</t>
  </si>
  <si>
    <t>시제, low 중복</t>
  </si>
  <si>
    <t>massive</t>
  </si>
  <si>
    <t>love confession</t>
  </si>
  <si>
    <t>low, finely crushed chocolate</t>
  </si>
  <si>
    <t>washed over</t>
  </si>
  <si>
    <t>태그 위치</t>
  </si>
  <si>
    <t>딩커스 누락</t>
  </si>
  <si>
    <t>V1</t>
  </si>
  <si>
    <t>불필요한 em-dash, meters &gt; feet</t>
  </si>
  <si>
    <t>한국어 어순(SOV) 잔존, 비관용적 영어, 어색한 표현, 논리적 전개 부족, 단어/표현 선정 문제</t>
  </si>
  <si>
    <t>약간 어색한 표현, 단어/표현 선정 문제</t>
  </si>
  <si>
    <t>명확한 서술 규칙 위반: 시제, 2인칭 you 사용, 잘못된 축약형</t>
  </si>
  <si>
    <t>서술 구조 심각한 훼손:
거의 다 적용됨</t>
  </si>
  <si>
    <t>Your Grace/my lord/miss 등 부적절 사용, 대소문자 일관성</t>
  </si>
  <si>
    <t>서술에 2인칭 "you" 사용, 현재시제, 직함/호칭+이름 사용 (예: Marquis Dimus / the lord), 의미없는 불완전한 문장 사용, 잘못된 축약형 사용 (예: it'd), 홀따옴표</t>
  </si>
  <si>
    <t>4, 6</t>
  </si>
  <si>
    <t>1, 2</t>
  </si>
  <si>
    <t>6, 12</t>
  </si>
  <si>
    <t>2, 1</t>
  </si>
  <si>
    <t>6, 10</t>
  </si>
  <si>
    <t>1, 1</t>
  </si>
  <si>
    <t>6, 8</t>
  </si>
  <si>
    <t>5, 10</t>
  </si>
  <si>
    <t>7, 10</t>
  </si>
  <si>
    <t>2, 7</t>
  </si>
  <si>
    <t>4, 6, 13</t>
  </si>
  <si>
    <t>1, 1, 1</t>
  </si>
  <si>
    <t>6, 13</t>
  </si>
  <si>
    <t>2, 6</t>
  </si>
  <si>
    <t>2, 11</t>
  </si>
  <si>
    <t>8, 11</t>
  </si>
  <si>
    <t>ai 표현 vs 흐름반복</t>
  </si>
  <si>
    <t>직역 vs 비유</t>
  </si>
  <si>
    <t>직역 vs 문장구조 붕괴</t>
  </si>
  <si>
    <t>직역 vs 오역</t>
  </si>
  <si>
    <t>문장흐름 대명사 vs 오역</t>
  </si>
  <si>
    <t>대사태그 vs 오역</t>
  </si>
  <si>
    <t>문법오류 vs 톤.감정 왜곡</t>
  </si>
  <si>
    <t>직역 vs 문제없음</t>
  </si>
  <si>
    <t>스타일가이드 vs 직역</t>
  </si>
  <si>
    <t>직역 강도 차이</t>
  </si>
  <si>
    <t>직역+중복 vs 문제없음</t>
  </si>
  <si>
    <t>세계관 위반 vs 표기오류</t>
  </si>
  <si>
    <t>일치!</t>
  </si>
  <si>
    <t>직역+중복 vs 중복 only</t>
  </si>
  <si>
    <t>호칭 강도 차이 (1=대소문자, 2=신분에 안맞는 호칭)</t>
  </si>
  <si>
    <t>오역 vs 직역</t>
  </si>
  <si>
    <t>문법+직역 vs 직역
직역 강도 차이</t>
  </si>
  <si>
    <t>직역+서술규칙 vs 호칭</t>
  </si>
  <si>
    <t>직역+문장흐름 vs 오역</t>
  </si>
  <si>
    <t>문법+스타일가이드 vs 문법</t>
  </si>
  <si>
    <t>대사태그+스타일가이드 vs 오역</t>
  </si>
  <si>
    <t>직역 vs 문법</t>
  </si>
  <si>
    <t>서술규칙 vs 직역</t>
  </si>
  <si>
    <t>톤왜곡+직역 vs 오역</t>
  </si>
  <si>
    <t>직역+중복 vs 오역</t>
  </si>
  <si>
    <t>직역+세계관위반 vs 직역</t>
  </si>
  <si>
    <t>직역+화자구분 vs 문제없음</t>
  </si>
  <si>
    <t>호칭+세계관위반 vs 직역</t>
  </si>
  <si>
    <t>ai 표현 vs 직역</t>
  </si>
  <si>
    <t>톤왜곡 강도 차이</t>
  </si>
  <si>
    <t>문법, ai 표현 vs 직역</t>
  </si>
  <si>
    <t>톤, 직역, 서술규칙 vs 문제없음</t>
  </si>
  <si>
    <t>스타일가이드 vs 평가X</t>
  </si>
  <si>
    <t>이해함</t>
  </si>
  <si>
    <t>동의함</t>
  </si>
  <si>
    <r>
      <t xml:space="preserve">문법+직역 vs 직역
</t>
    </r>
    <r>
      <rPr>
        <b/>
        <sz val="11"/>
        <color theme="1"/>
        <rFont val="Calibri"/>
        <family val="2"/>
      </rPr>
      <t>직역 일치!</t>
    </r>
  </si>
  <si>
    <r>
      <t xml:space="preserve">직역+서술규칙 vs 직역
</t>
    </r>
    <r>
      <rPr>
        <b/>
        <sz val="11"/>
        <color theme="1"/>
        <rFont val="Calibri"/>
        <family val="2"/>
      </rPr>
      <t>직역 일치!</t>
    </r>
  </si>
  <si>
    <t>동의하지만 톤문제도 있음</t>
  </si>
  <si>
    <r>
      <t xml:space="preserve">복수 단어 철자 오류
예: I </t>
    </r>
    <r>
      <rPr>
        <u/>
        <sz val="10"/>
        <color rgb="FF000000"/>
        <rFont val="Noto Sans CJK SC"/>
      </rPr>
      <t>realised</t>
    </r>
    <r>
      <rPr>
        <sz val="10"/>
        <color rgb="FF000000"/>
        <rFont val="Noto Sans CJK SC"/>
        <family val="2"/>
        <charset val="1"/>
      </rPr>
      <t xml:space="preserve"> she was at the </t>
    </r>
    <r>
      <rPr>
        <u/>
        <sz val="10"/>
        <color rgb="FF000000"/>
        <rFont val="Noto Sans CJK SC"/>
      </rPr>
      <t>theatre</t>
    </r>
    <r>
      <rPr>
        <sz val="10"/>
        <color rgb="FF000000"/>
        <rFont val="Noto Sans CJK SC"/>
        <family val="2"/>
        <charset val="1"/>
      </rPr>
      <t>.</t>
    </r>
  </si>
  <si>
    <t>현수 수식어·병렬 구조 명확한 오류, 수동태</t>
  </si>
  <si>
    <t>인명·지명 오기로 독자 혼란,
철자가 매번 다름</t>
  </si>
  <si>
    <t>없는 내용 추가 또는 화자 혼동으로 의미 왜곡</t>
  </si>
  <si>
    <t>약간의 톤, 뉘앙스 차이
예: Excuse me vs. Move aside</t>
  </si>
  <si>
    <t>내용 누락 또는 어순으로 인한 의미 일부 왜곡, 혹은 문장 일부 의미 왜곡</t>
  </si>
  <si>
    <t>쉼표.콜론 위치 부적절/누락, 관사.접속어 부적절/누락, 경미한 시제 오류 (was vs. had been)</t>
  </si>
  <si>
    <t xml:space="preserve">AI 표현 1~2개 잔존
</t>
  </si>
  <si>
    <t>대사 태그 누락 혹은 있으면 좋을법한 상황, 행동먼저고 대사가 다음
예: She spoke. "Hello."</t>
  </si>
  <si>
    <t>비유 현지화·문화적 감수성 부족·금기어</t>
  </si>
  <si>
    <r>
      <rPr>
        <u/>
        <sz val="10"/>
        <color rgb="FF000000"/>
        <rFont val="Noto Sans CJK SC"/>
      </rPr>
      <t>한국어 비유 한해서</t>
    </r>
    <r>
      <rPr>
        <sz val="10"/>
        <color rgb="FF000000"/>
        <rFont val="Noto Sans CJK SC"/>
        <family val="2"/>
        <charset val="1"/>
      </rPr>
      <t xml:space="preserve"> 어색, 의성어/의태어 그대로 번역
예: 검은머리 짐승 직역</t>
    </r>
  </si>
  <si>
    <t>한국어 비유·속담·사자성어의 직역, 영어권에서 안 통하는 비유, 의성어·의태어 처리, 차별적·무감한 표현 (vegetable · homeless 등), 사회적 민감도 미고려</t>
  </si>
  <si>
    <t>민감한 표현, 현지화 부족으로 인한 의미전달 실패</t>
  </si>
  <si>
    <t>한국어 비유 직역·감수성 위반으로 장면 붕괴, 금기어 사용</t>
  </si>
  <si>
    <t>용어집 명확히 누락 또는 일관성 깨짐, 캐릭터 말투/성격 오류</t>
  </si>
  <si>
    <t>구두점 (CMOS 기준), 엠대시·말줄임표, 숫자·단위 표기, 이탤릭체, 딩커스</t>
  </si>
  <si>
    <t>Oxford comma, em-dash, 야드파운드법, 시간·날짜 표기, 물결표 금지, "…" 금지</t>
  </si>
  <si>
    <t>경미한 구두점 오류, 불필요한 em-dash, 불필요한 말줄임표</t>
  </si>
  <si>
    <t>가이드 명백 위반: 숫자·단위 표기, 딩커스(***) 누락</t>
  </si>
  <si>
    <t>경미한 반복: 이름반복, 대명사 미사용, 같은 단어 3번 이상 반복</t>
  </si>
  <si>
    <t>명확한 정보 중복 또는 문장이 장황함 (쉼표 4개 이상)</t>
  </si>
  <si>
    <t>영문 3인칭 소설은 항상 과거형. 최초 캐릭터를 소개할때가 아닌이상 성 (last name)/직함 사용 X (이름없을때제외). 2인칭을 사용하면 자연스럽게 현재시제 사용해서 보편적 진리, 일반적 사실 등 이어도 you 안쓰고 과거형이어야함. 불완전한 문장도 극적 연출을 위한게 아니면 사용 X. 축약형을 사용하더라도 가능한것과 안대는것도 있음 (가이드참고). 서술에 홀따옴표 사용 X.</t>
  </si>
  <si>
    <t>위 항목에 포함되지 않으나 번역 품질에 영향, 혹은 딱히 문제는 없는데 수정하고싶음</t>
  </si>
  <si>
    <t>명확한 기타 문제
번역 품질에 확실히 영향을 줌</t>
  </si>
  <si>
    <t>경미한 기타 문제
딱히 문제는 없는데 수정하고싶음 (흐름을 위해서) 혹은 설명 추가하면 좋을꺼같음</t>
  </si>
  <si>
    <t>경미한 오탈자 1곳, 악센트 누락
예: Fiancee</t>
  </si>
  <si>
    <t>작품 내 사회적 지위·계급에 맞는 호칭 선택</t>
  </si>
  <si>
    <t>신분에 안 맞는 호칭 사용, 경칭 오용
예: 기사 있는 소설에 일반인한테 "sir"</t>
  </si>
  <si>
    <t xml:space="preserve">직역 티가 명확, 관용적이지 않음, 논리적 전개부족
예: 눈에 불을 켜고 - He turned on the fire in his eyes
</t>
  </si>
  <si>
    <t>용어집 미세 불일치, 시대 부적합 어휘</t>
  </si>
  <si>
    <t>호칭 대소문자 경미한 흔들림, 애매한 호칭사용</t>
  </si>
  <si>
    <t>경미한 서술 규칙 위반: 서술내 성/직함+이름, 애매한 직함 사용 금지, 홀따옴표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</si>
</sst>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
    <numFmt numFmtId="166" formatCode="m&quot;월&quot;\ d&quot;일&quot;;@"/>
  </numFmts>
  <fonts count="25">
    <font>
      <sz val="11"/>
      <color theme="1"/>
      <name val="Calibri"/>
      <family val="2"/>
      <charset val="1"/>
    </font>
    <font>
      <b/>
      <sz val="18"/>
      <color rgb="FF1F4E78"/>
      <name val="Noto Sans CJK SC"/>
      <family val="2"/>
      <charset val="1"/>
    </font>
    <font>
      <i/>
      <sz val="9"/>
      <color rgb="FF666666"/>
      <name val="Noto Sans CJK SC"/>
      <family val="2"/>
      <charset val="1"/>
    </font>
    <font>
      <b/>
      <sz val="13"/>
      <color rgb="FFFFFFFF"/>
      <name val="Noto Sans CJK SC"/>
      <family val="2"/>
      <charset val="1"/>
    </font>
    <font>
      <b/>
      <sz val="10"/>
      <color rgb="FF000000"/>
      <name val="Noto Sans CJK SC"/>
      <family val="2"/>
      <charset val="1"/>
    </font>
    <font>
      <sz val="10"/>
      <color rgb="FF000000"/>
      <name val="Noto Sans CJK SC"/>
      <family val="2"/>
      <charset val="1"/>
    </font>
    <font>
      <sz val="10"/>
      <color rgb="FF000000"/>
      <name val="Arial"/>
      <family val="2"/>
    </font>
    <font>
      <b/>
      <sz val="11"/>
      <color rgb="FFFFFFFF"/>
      <name val="Arial"/>
      <family val="2"/>
    </font>
    <font>
      <b/>
      <sz val="11"/>
      <color rgb="FFFFFFFF"/>
      <name val="Noto Sans CJK SC"/>
      <family val="2"/>
      <charset val="1"/>
    </font>
    <font>
      <b/>
      <sz val="12"/>
      <color rgb="FFFFFFFF"/>
      <name val="Noto Sans CJK SC"/>
      <family val="2"/>
      <charset val="1"/>
    </font>
    <font>
      <b/>
      <sz val="10"/>
      <color rgb="FF000000"/>
      <name val="Arial"/>
      <family val="2"/>
    </font>
    <font>
      <b/>
      <sz val="16"/>
      <color rgb="FF1F4E78"/>
      <name val="Noto Sans CJK SC"/>
      <family val="2"/>
      <charset val="1"/>
    </font>
    <font>
      <b/>
      <sz val="14"/>
      <name val="Noto Sans CJK SC"/>
      <family val="2"/>
      <charset val="1"/>
    </font>
    <font>
      <b/>
      <sz val="14"/>
      <color rgb="FF1F4E78"/>
      <name val="Noto Sans CJK SC"/>
      <family val="2"/>
      <charset val="1"/>
    </font>
    <font>
      <b/>
      <sz val="14"/>
      <color rgb="FF1F4E78"/>
      <name val="Arial"/>
      <family val="2"/>
    </font>
    <font>
      <sz val="11"/>
      <color theme="1"/>
      <name val="Noto Sans CJK SC"/>
      <family val="2"/>
      <charset val="1"/>
    </font>
    <font>
      <b/>
      <sz val="10"/>
      <name val="Arial"/>
      <family val="2"/>
    </font>
    <font>
      <sz val="10"/>
      <color rgb="FF000000"/>
      <name val="Arial"/>
      <family val="2"/>
    </font>
    <font>
      <i/>
      <sz val="10"/>
      <color rgb="FF000000"/>
      <name val="Arial"/>
      <family val="2"/>
    </font>
    <font>
      <b/>
      <sz val="10"/>
      <color rgb="FF000000"/>
      <name val="Arial"/>
      <family val="2"/>
    </font>
    <font>
      <sz val="11"/>
      <color theme="1"/>
      <name val="Calibri"/>
      <family val="2"/>
      <charset val="129"/>
    </font>
    <font>
      <sz val="8"/>
      <name val="나눔명조"/>
      <family val="3"/>
      <charset val="129"/>
    </font>
    <font>
      <b/>
      <sz val="11"/>
      <color theme="1"/>
      <name val="Calibri"/>
      <family val="2"/>
    </font>
    <font>
      <u/>
      <sz val="10"/>
      <color rgb="FF000000"/>
      <name val="Noto Sans CJK SC"/>
    </font>
    <font>
      <sz val="10"/>
      <color rgb="FF000000"/>
      <name val="Noto Sans CJK SC"/>
    </font>
  </fonts>
  <fills count="14">
    <fill>
      <patternFill patternType="none"/>
    </fill>
    <fill>
      <patternFill patternType="gray125"/>
    </fill>
    <fill>
      <patternFill patternType="solid">
        <fgColor rgb="FF1F4E78"/>
        <bgColor rgb="FF003366"/>
      </patternFill>
    </fill>
    <fill>
      <patternFill patternType="solid">
        <fgColor rgb="FFD9E1F2"/>
        <bgColor rgb="FFDEEBF7"/>
      </patternFill>
    </fill>
    <fill>
      <patternFill patternType="solid">
        <fgColor rgb="FF2E75B6"/>
        <bgColor rgb="FF0066CC"/>
      </patternFill>
    </fill>
    <fill>
      <patternFill patternType="solid">
        <fgColor rgb="FF548235"/>
        <bgColor rgb="FF666666"/>
      </patternFill>
    </fill>
    <fill>
      <patternFill patternType="solid">
        <fgColor rgb="FFFFF2CC"/>
        <bgColor rgb="FFFCE4D6"/>
      </patternFill>
    </fill>
    <fill>
      <patternFill patternType="solid">
        <fgColor rgb="FFF2F2F2"/>
        <bgColor rgb="FFE2EFDA"/>
      </patternFill>
    </fill>
    <fill>
      <patternFill patternType="solid">
        <fgColor rgb="FF7030A0"/>
        <bgColor rgb="FF993366"/>
      </patternFill>
    </fill>
    <fill>
      <patternFill patternType="solid">
        <fgColor rgb="FFC65911"/>
        <bgColor rgb="FF993300"/>
      </patternFill>
    </fill>
    <fill>
      <patternFill patternType="solid">
        <fgColor rgb="FFDEEBF7"/>
        <bgColor rgb="FFD9E1F2"/>
      </patternFill>
    </fill>
    <fill>
      <patternFill patternType="solid">
        <fgColor rgb="FFFCE4D6"/>
        <bgColor rgb="FFFFF2CC"/>
      </patternFill>
    </fill>
    <fill>
      <patternFill patternType="solid">
        <fgColor rgb="FFE2EFDA"/>
        <bgColor rgb="FFDEEBF7"/>
      </patternFill>
    </fill>
    <fill>
      <patternFill patternType="solid">
        <fgColor theme="3" tint="0.79998168889431442"/>
        <bgColor rgb="FFFCE4D6"/>
      </patternFill>
    </fill>
  </fills>
  <borders count="8">
    <border>
      <left/>
      <right/>
      <top/>
      <bottom/>
      <diagonal/>
    </border>
    <border>
      <left style="thin">
        <color rgb="FFAAAAAA"/>
      </left>
      <right style="thin">
        <color rgb="FFAAAAAA"/>
      </right>
      <top style="thin">
        <color rgb="FFAAAAAA"/>
      </top>
      <bottom style="thin">
        <color rgb="FFAAAAAA"/>
      </bottom>
      <diagonal/>
    </border>
    <border>
      <left style="thin">
        <color rgb="FFAAAAAA"/>
      </left>
      <right style="thin">
        <color rgb="FFAAAAAA"/>
      </right>
      <top style="thin">
        <color rgb="FFAAAAAA"/>
      </top>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style="thin">
        <color rgb="FFAAAAAA"/>
      </left>
      <right style="thin">
        <color rgb="FFAAAAAA"/>
      </right>
      <top/>
      <bottom/>
      <diagonal/>
    </border>
    <border>
      <left style="thin">
        <color rgb="FFAAAAAA"/>
      </left>
      <right style="thin">
        <color rgb="FFAAAAAA"/>
      </right>
      <top/>
      <bottom style="thin">
        <color rgb="FFAAAAAA"/>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93">
    <xf numFmtId="0" fontId="0" fillId="0" borderId="0" xfId="0"/>
    <xf numFmtId="0" fontId="8" fillId="4" borderId="1" xfId="0" applyFont="1" applyFill="1" applyBorder="1" applyAlignment="1">
      <alignment horizontal="center" vertical="center" wrapText="1"/>
    </xf>
    <xf numFmtId="0" fontId="6" fillId="0" borderId="1" xfId="0" applyFont="1" applyBorder="1" applyAlignment="1">
      <alignment horizontal="left" vertical="top" wrapText="1"/>
    </xf>
    <xf numFmtId="0" fontId="5" fillId="0" borderId="1" xfId="0" applyFont="1" applyBorder="1" applyAlignment="1">
      <alignment horizontal="left" vertical="top" wrapText="1"/>
    </xf>
    <xf numFmtId="0" fontId="4" fillId="3" borderId="1" xfId="0" applyFont="1" applyFill="1" applyBorder="1" applyAlignment="1">
      <alignment horizontal="left" vertical="center" wrapText="1"/>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10"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0" fillId="6" borderId="1" xfId="0" applyFill="1" applyBorder="1"/>
    <xf numFmtId="0" fontId="6" fillId="6" borderId="1" xfId="0" applyFont="1" applyFill="1" applyBorder="1" applyAlignment="1">
      <alignment horizontal="left" vertical="top" wrapText="1"/>
    </xf>
    <xf numFmtId="0" fontId="6" fillId="6" borderId="1" xfId="0" applyFont="1" applyFill="1" applyBorder="1" applyAlignment="1">
      <alignment horizontal="center" vertical="center" wrapText="1"/>
    </xf>
    <xf numFmtId="1" fontId="6" fillId="7" borderId="1" xfId="0" applyNumberFormat="1" applyFont="1" applyFill="1" applyBorder="1" applyAlignment="1">
      <alignment horizontal="center" vertical="center" wrapText="1"/>
    </xf>
    <xf numFmtId="2" fontId="6" fillId="7" borderId="1" xfId="0" applyNumberFormat="1" applyFont="1" applyFill="1" applyBorder="1" applyAlignment="1">
      <alignment horizontal="center" vertical="center" wrapText="1"/>
    </xf>
    <xf numFmtId="0" fontId="0" fillId="6" borderId="1" xfId="0" applyFill="1" applyBorder="1" applyAlignment="1">
      <alignment horizontal="left" vertical="top" wrapText="1"/>
    </xf>
    <xf numFmtId="0" fontId="8" fillId="8"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0" fillId="6" borderId="1" xfId="0" applyFill="1" applyBorder="1" applyAlignment="1">
      <alignment horizontal="center" vertical="center" wrapText="1"/>
    </xf>
    <xf numFmtId="164" fontId="0" fillId="7" borderId="1" xfId="0" applyNumberFormat="1" applyFill="1" applyBorder="1" applyAlignment="1">
      <alignment horizontal="center" vertical="center" wrapText="1"/>
    </xf>
    <xf numFmtId="0" fontId="4" fillId="3" borderId="1" xfId="0" applyFont="1" applyFill="1" applyBorder="1"/>
    <xf numFmtId="0" fontId="0" fillId="0" borderId="1" xfId="0" applyBorder="1"/>
    <xf numFmtId="2" fontId="10" fillId="7" borderId="1" xfId="0" applyNumberFormat="1" applyFont="1" applyFill="1" applyBorder="1" applyAlignment="1">
      <alignment horizontal="center" vertical="center" wrapText="1"/>
    </xf>
    <xf numFmtId="0" fontId="0" fillId="0" borderId="1" xfId="0" applyBorder="1" applyAlignment="1">
      <alignment horizontal="center" vertical="center" wrapText="1"/>
    </xf>
    <xf numFmtId="164" fontId="0" fillId="0" borderId="1" xfId="0" applyNumberFormat="1" applyBorder="1" applyAlignment="1">
      <alignment horizontal="center" vertical="center" wrapText="1"/>
    </xf>
    <xf numFmtId="0" fontId="4"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4" fillId="0" borderId="1" xfId="0" applyFont="1" applyBorder="1" applyAlignment="1">
      <alignment horizontal="left" vertical="center" wrapText="1"/>
    </xf>
    <xf numFmtId="164" fontId="6" fillId="0" borderId="1" xfId="0" applyNumberFormat="1" applyFont="1" applyBorder="1" applyAlignment="1">
      <alignment horizontal="center" vertical="center" wrapText="1"/>
    </xf>
    <xf numFmtId="0" fontId="10" fillId="0" borderId="1" xfId="0" applyFont="1" applyBorder="1" applyAlignment="1">
      <alignment horizontal="left" vertical="center" wrapText="1"/>
    </xf>
    <xf numFmtId="2" fontId="0" fillId="7" borderId="1" xfId="0" applyNumberFormat="1" applyFill="1" applyBorder="1" applyAlignment="1">
      <alignment horizontal="center" vertical="center" wrapText="1"/>
    </xf>
    <xf numFmtId="0" fontId="13" fillId="0" borderId="0" xfId="0" applyFont="1"/>
    <xf numFmtId="0" fontId="5" fillId="3" borderId="1" xfId="0" applyFont="1" applyFill="1" applyBorder="1" applyAlignment="1">
      <alignment horizontal="left" vertical="center" wrapText="1"/>
    </xf>
    <xf numFmtId="165" fontId="6" fillId="7" borderId="1" xfId="0" applyNumberFormat="1" applyFont="1" applyFill="1" applyBorder="1" applyAlignment="1">
      <alignment horizontal="center" vertical="center" wrapText="1"/>
    </xf>
    <xf numFmtId="0" fontId="5" fillId="7"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11" borderId="1" xfId="0" applyFill="1" applyBorder="1" applyAlignment="1">
      <alignment horizontal="center" vertical="center" wrapText="1"/>
    </xf>
    <xf numFmtId="0" fontId="15" fillId="0" borderId="1" xfId="0" applyFont="1" applyBorder="1" applyAlignment="1">
      <alignment horizontal="center" vertical="center" wrapText="1"/>
    </xf>
    <xf numFmtId="0" fontId="10" fillId="10"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164" fontId="0" fillId="12" borderId="1" xfId="0" applyNumberFormat="1" applyFill="1" applyBorder="1" applyAlignment="1">
      <alignment horizontal="center" vertical="center" wrapText="1"/>
    </xf>
    <xf numFmtId="0" fontId="16" fillId="0" borderId="7" xfId="0" applyFont="1" applyBorder="1" applyAlignment="1">
      <alignment horizontal="center" vertical="center" wrapText="1"/>
    </xf>
    <xf numFmtId="0" fontId="0" fillId="0" borderId="0" xfId="0" applyAlignment="1">
      <alignment vertical="center"/>
    </xf>
    <xf numFmtId="0" fontId="6" fillId="6"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0" fillId="0" borderId="0" xfId="0" applyAlignment="1">
      <alignment horizontal="left" vertical="center"/>
    </xf>
    <xf numFmtId="0" fontId="18" fillId="6" borderId="1" xfId="0" applyFont="1" applyFill="1" applyBorder="1" applyAlignment="1">
      <alignment horizontal="left" vertical="center" wrapText="1"/>
    </xf>
    <xf numFmtId="166" fontId="0" fillId="6" borderId="1" xfId="0" applyNumberFormat="1" applyFill="1" applyBorder="1" applyAlignment="1">
      <alignment horizontal="center" vertical="center" wrapText="1"/>
    </xf>
    <xf numFmtId="166" fontId="6" fillId="6" borderId="1" xfId="0" applyNumberFormat="1" applyFont="1" applyFill="1" applyBorder="1" applyAlignment="1">
      <alignment horizontal="left" vertical="center" wrapText="1"/>
    </xf>
    <xf numFmtId="0" fontId="19" fillId="6" borderId="1" xfId="0" applyFont="1" applyFill="1" applyBorder="1" applyAlignment="1">
      <alignment horizontal="left" vertical="center" wrapText="1"/>
    </xf>
    <xf numFmtId="0" fontId="0" fillId="6" borderId="7" xfId="0" applyFill="1" applyBorder="1" applyAlignment="1">
      <alignment horizontal="left" vertical="top" wrapText="1"/>
    </xf>
    <xf numFmtId="0" fontId="0" fillId="11" borderId="7" xfId="0" applyFill="1" applyBorder="1" applyAlignment="1">
      <alignment horizontal="center" vertical="center" wrapText="1"/>
    </xf>
    <xf numFmtId="0" fontId="0" fillId="6" borderId="7" xfId="0" applyFill="1" applyBorder="1"/>
    <xf numFmtId="0" fontId="6" fillId="13" borderId="1" xfId="0" applyFont="1" applyFill="1" applyBorder="1" applyAlignment="1">
      <alignment horizontal="center" vertical="center" wrapText="1"/>
    </xf>
    <xf numFmtId="0" fontId="0" fillId="7" borderId="7" xfId="0" applyFill="1" applyBorder="1" applyAlignment="1">
      <alignment horizontal="center" vertical="center" wrapText="1"/>
    </xf>
    <xf numFmtId="0" fontId="0" fillId="10" borderId="7" xfId="0" applyFill="1" applyBorder="1" applyAlignment="1">
      <alignment horizontal="center" vertical="center" wrapText="1"/>
    </xf>
    <xf numFmtId="0" fontId="20" fillId="6" borderId="1" xfId="0" applyFont="1" applyFill="1" applyBorder="1" applyAlignment="1">
      <alignment horizontal="left" vertical="top" wrapText="1"/>
    </xf>
    <xf numFmtId="0" fontId="0" fillId="0" borderId="0" xfId="0" applyAlignment="1">
      <alignment horizontal="center" vertical="center" wrapText="1"/>
    </xf>
    <xf numFmtId="0" fontId="0" fillId="6" borderId="7" xfId="0" applyFill="1" applyBorder="1" applyAlignment="1">
      <alignment horizontal="center" vertical="center" wrapText="1"/>
    </xf>
    <xf numFmtId="0" fontId="22" fillId="0" borderId="0" xfId="0" applyFont="1"/>
    <xf numFmtId="0" fontId="22" fillId="6" borderId="1" xfId="0" applyFont="1" applyFill="1" applyBorder="1" applyAlignment="1">
      <alignment horizontal="center" vertical="center" wrapText="1"/>
    </xf>
    <xf numFmtId="0" fontId="22" fillId="6" borderId="7" xfId="0" applyFont="1" applyFill="1" applyBorder="1" applyAlignment="1">
      <alignment horizontal="center" vertical="center" wrapText="1"/>
    </xf>
    <xf numFmtId="0" fontId="24" fillId="0" borderId="1" xfId="0" applyFont="1" applyBorder="1" applyAlignment="1">
      <alignment horizontal="left" vertical="top" wrapText="1"/>
    </xf>
    <xf numFmtId="0" fontId="9" fillId="2" borderId="0" xfId="0" applyFont="1" applyFill="1"/>
    <xf numFmtId="0" fontId="0" fillId="0" borderId="0" xfId="0"/>
    <xf numFmtId="0" fontId="5" fillId="0" borderId="1" xfId="0" applyFont="1" applyBorder="1" applyAlignment="1">
      <alignment horizontal="left" vertical="top" wrapText="1"/>
    </xf>
    <xf numFmtId="0" fontId="0" fillId="0" borderId="3" xfId="0" applyBorder="1"/>
    <xf numFmtId="0" fontId="0" fillId="0" borderId="4" xfId="0" applyBorder="1"/>
    <xf numFmtId="0" fontId="3" fillId="2" borderId="0" xfId="0" applyFont="1" applyFill="1" applyAlignment="1">
      <alignment horizontal="left" vertical="center" wrapText="1"/>
    </xf>
    <xf numFmtId="0" fontId="6" fillId="0" borderId="1" xfId="0" applyFont="1" applyBorder="1" applyAlignment="1">
      <alignment horizontal="left" vertical="top" wrapText="1"/>
    </xf>
    <xf numFmtId="0" fontId="1" fillId="0" borderId="0" xfId="0" applyFont="1"/>
    <xf numFmtId="0" fontId="2" fillId="0" borderId="0" xfId="0" applyFont="1"/>
    <xf numFmtId="0" fontId="8" fillId="2" borderId="2" xfId="0" applyFont="1" applyFill="1" applyBorder="1" applyAlignment="1">
      <alignment horizontal="center" vertical="center" wrapText="1"/>
    </xf>
    <xf numFmtId="0" fontId="0" fillId="0" borderId="5" xfId="0" applyBorder="1"/>
    <xf numFmtId="0" fontId="8" fillId="4"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0" fillId="0" borderId="5" xfId="0" applyBorder="1" applyAlignment="1">
      <alignment horizontal="center" vertical="center"/>
    </xf>
    <xf numFmtId="0" fontId="9" fillId="8" borderId="0" xfId="0" applyFont="1" applyFill="1"/>
    <xf numFmtId="0" fontId="9" fillId="9" borderId="0" xfId="0" applyFont="1" applyFill="1"/>
    <xf numFmtId="0" fontId="12" fillId="7" borderId="1" xfId="0" applyFont="1" applyFill="1" applyBorder="1" applyAlignment="1">
      <alignment horizontal="center" vertical="center" wrapText="1"/>
    </xf>
    <xf numFmtId="0" fontId="11" fillId="0" borderId="0" xfId="0" applyFont="1"/>
    <xf numFmtId="0" fontId="13" fillId="0" borderId="0" xfId="0" applyFont="1"/>
    <xf numFmtId="0" fontId="14" fillId="0" borderId="0" xfId="0" applyFont="1" applyAlignment="1">
      <alignment vertical="center"/>
    </xf>
    <xf numFmtId="0" fontId="0" fillId="0" borderId="0" xfId="0" applyAlignment="1">
      <alignment vertical="center"/>
    </xf>
    <xf numFmtId="0" fontId="8" fillId="2" borderId="1" xfId="0" applyFont="1" applyFill="1" applyBorder="1" applyAlignment="1">
      <alignment horizontal="center" vertical="center" wrapText="1"/>
    </xf>
    <xf numFmtId="0" fontId="0" fillId="0" borderId="6" xfId="0" applyBorder="1"/>
    <xf numFmtId="0" fontId="8" fillId="9" borderId="1" xfId="0" applyFont="1" applyFill="1" applyBorder="1" applyAlignment="1">
      <alignment horizontal="center" vertical="center" wrapText="1"/>
    </xf>
    <xf numFmtId="0" fontId="0" fillId="0" borderId="6" xfId="0" applyBorder="1" applyAlignment="1">
      <alignment horizontal="center" vertical="center" wrapText="1"/>
    </xf>
    <xf numFmtId="0" fontId="7" fillId="2" borderId="1" xfId="0" applyFont="1" applyFill="1" applyBorder="1" applyAlignment="1">
      <alignment horizontal="center" vertical="center" wrapText="1"/>
    </xf>
    <xf numFmtId="0" fontId="8" fillId="8" borderId="1" xfId="0" applyFont="1" applyFill="1" applyBorder="1" applyAlignment="1">
      <alignment horizontal="center" vertical="center" wrapText="1"/>
    </xf>
  </cellXfs>
  <cellStyles count="1">
    <cellStyle name="Normal" xfId="0" builtinId="0"/>
  </cellStyles>
  <dxfs count="18">
    <dxf>
      <fill>
        <patternFill>
          <bgColor rgb="FFFCE4D6"/>
        </patternFill>
      </fill>
    </dxf>
    <dxf>
      <fill>
        <patternFill>
          <bgColor rgb="FFE2EFDA"/>
        </patternFill>
      </fill>
    </dxf>
    <dxf>
      <fill>
        <patternFill>
          <bgColor rgb="FFFFE699"/>
        </patternFill>
      </fill>
    </dxf>
    <dxf>
      <fill>
        <patternFill>
          <bgColor rgb="FFFFD966"/>
        </patternFill>
      </fill>
    </dxf>
    <dxf>
      <fill>
        <patternFill>
          <bgColor rgb="FFF4B084"/>
        </patternFill>
      </fill>
    </dxf>
    <dxf>
      <fill>
        <patternFill>
          <bgColor rgb="FFFCE4D6"/>
        </patternFill>
      </fill>
    </dxf>
    <dxf>
      <fill>
        <patternFill>
          <bgColor rgb="FFE2EFDA"/>
        </patternFill>
      </fill>
    </dxf>
    <dxf>
      <fill>
        <patternFill>
          <bgColor rgb="FFFCE4D6"/>
        </patternFill>
      </fill>
    </dxf>
    <dxf>
      <fill>
        <patternFill>
          <bgColor rgb="FFE2EFDA"/>
        </patternFill>
      </fill>
    </dxf>
    <dxf>
      <fill>
        <patternFill>
          <bgColor rgb="FFFCE4D6"/>
        </patternFill>
      </fill>
    </dxf>
    <dxf>
      <fill>
        <patternFill>
          <bgColor rgb="FFFCE4D6"/>
        </patternFill>
      </fill>
    </dxf>
    <dxf>
      <fill>
        <patternFill>
          <bgColor rgb="FFE2EFDA"/>
        </patternFill>
      </fill>
    </dxf>
    <dxf>
      <fill>
        <patternFill>
          <bgColor rgb="FFFCE4D6"/>
        </patternFill>
      </fill>
    </dxf>
    <dxf>
      <fill>
        <patternFill>
          <bgColor rgb="FFFCE4D6"/>
        </patternFill>
      </fill>
    </dxf>
    <dxf>
      <fill>
        <patternFill>
          <bgColor rgb="FFE2EFDA"/>
        </patternFill>
      </fill>
    </dxf>
    <dxf>
      <fill>
        <patternFill>
          <bgColor rgb="FFFFE699"/>
        </patternFill>
      </fill>
    </dxf>
    <dxf>
      <fill>
        <patternFill>
          <bgColor rgb="FFFFD966"/>
        </patternFill>
      </fill>
    </dxf>
    <dxf>
      <fill>
        <patternFill>
          <bgColor rgb="FFF4B08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FCE4D6"/>
      <rgbColor rgb="FF808080"/>
      <rgbColor rgb="FF9999FF"/>
      <rgbColor rgb="FF7030A0"/>
      <rgbColor rgb="FFFFF2CC"/>
      <rgbColor rgb="FFDE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E2EFDA"/>
      <rgbColor rgb="FFFFE699"/>
      <rgbColor rgb="FF99CCFF"/>
      <rgbColor rgb="FFF4B084"/>
      <rgbColor rgb="FFCC99FF"/>
      <rgbColor rgb="FFFFD966"/>
      <rgbColor rgb="FF2E75B6"/>
      <rgbColor rgb="FF33CCCC"/>
      <rgbColor rgb="FF99CC00"/>
      <rgbColor rgb="FFFFCC00"/>
      <rgbColor rgb="FFFF9900"/>
      <rgbColor rgb="FFC65911"/>
      <rgbColor rgb="FF666666"/>
      <rgbColor rgb="FFAAAAAA"/>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bossxmodel ♥" id="{B2A4BE37-A9A4-4833-AD8A-5C816231A6EF}" userId="9415f093c0fd4dd6" providerId="Windows Live"/>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8" dT="2026-06-14T19:44:54.71" personId="{B2A4BE37-A9A4-4833-AD8A-5C816231A6EF}" id="{0BA6C981-64B8-44EA-A864-4E94F4B9E875}">
    <text>여기서는 반복 패턴이 중요합니다! 톤 때문에요.. 그냥 exact same 말구 same 만 해도 괜찮아서 ai 표현 flagging 했습니다</text>
  </threadedComment>
  <threadedComment ref="J9" dT="2026-06-14T19:46:52.20" personId="{B2A4BE37-A9A4-4833-AD8A-5C816231A6EF}" id="{7F8BBC97-B33D-4A68-AB5E-C419D5D7DB56}">
    <text>직역 문제이기도 하고 다시보니까 세계관 오류이기도 합니다 (단어선정). Young punk가 비유는 아니여서 이부분은 솔찍히 동의 못합니다</text>
  </threadedComment>
  <threadedComment ref="J10" dT="2026-06-14T19:47:07.20" personId="{B2A4BE37-A9A4-4833-AD8A-5C816231A6EF}" id="{75593C6E-9269-4D6A-9457-76F2D27F447A}">
    <text>직역으로 인한 문장붕괴라서 동의합니다!</text>
  </threadedComment>
  <threadedComment ref="J11" dT="2026-06-14T19:49:05.00" personId="{B2A4BE37-A9A4-4833-AD8A-5C816231A6EF}" id="{E93630EF-33D6-4C34-AC40-2C963EED3902}">
    <text>의미왜곡 된 부분은 없구 문장이 부자연스럽고 직역티가납니다. 사실 문장흐름 오류도 있네요 장황함</text>
  </threadedComment>
  <threadedComment ref="J12" dT="2026-06-14T19:50:12.61" personId="{B2A4BE37-A9A4-4833-AD8A-5C816231A6EF}" id="{5A91BECA-D08A-4AE7-8D73-AC6ADA4E1429}">
    <text>뉘앙스 차이는 잘 모르겠지만 swallowed his temper 가 직역/단어선정문제</text>
  </threadedComment>
  <threadedComment ref="J13" dT="2026-06-14T19:51:40.12" personId="{B2A4BE37-A9A4-4833-AD8A-5C816231A6EF}" id="{E6A8FD55-D722-4A7B-9BEF-79663EC4E1DF}">
    <text>대명사 사용안해서 12, 의미왜곡이나 화자혼동은 아닌데 the elder 때문에 그렇게 선택한거같습니다</text>
  </threadedComment>
  <threadedComment ref="J14" dT="2026-06-14T19:53:48.30" personId="{B2A4BE37-A9A4-4833-AD8A-5C816231A6EF}" id="{4D49BC3D-32AA-4101-9EFF-6FC8ED9671E5}">
    <text>핵심플롯 왜곡이라고 선택한 이유가 번약이 "마수가 노릴 가능성"을 누락해서 그런거같은데 위에 이미 언급된 부분이라 직역이라고 봅니다</text>
  </threadedComment>
  <threadedComment ref="J15" dT="2026-06-14T19:54:08.05" personId="{B2A4BE37-A9A4-4833-AD8A-5C816231A6EF}" id="{3125904A-BF8C-4EF6-955F-F0E137214329}">
    <text>명백한 대사태그 오류입니다</text>
  </threadedComment>
  <threadedComment ref="J16" dT="2026-06-14T19:54:40.02" personId="{B2A4BE37-A9A4-4833-AD8A-5C816231A6EF}" id="{8F0A651E-D52B-448F-9265-B27396A98DA2}">
    <text>질문인데 앞에 is that 없어서 문법오류입니다</text>
  </threadedComment>
  <threadedComment ref="J17" dT="2026-06-14T19:55:05.16" personId="{B2A4BE37-A9A4-4833-AD8A-5C816231A6EF}" id="{E3B7CAAB-15C2-46D7-9312-49CEE72ED7D1}">
    <text>가볍게를 말그대로 lightly 로 번역해서 직역입니다</text>
  </threadedComment>
  <threadedComment ref="J18" dT="2026-06-14T19:55:35.05" personId="{B2A4BE37-A9A4-4833-AD8A-5C816231A6EF}" id="{5124809E-D6FB-4E52-996E-DF07996148B5}">
    <text>미터 그대로 사용해서 직역한거같은데 스타일가이드에 숫자/단위표기 카테고리 있습니다</text>
  </threadedComment>
  <threadedComment ref="J19" dT="2026-06-14T19:56:17.34" personId="{B2A4BE37-A9A4-4833-AD8A-5C816231A6EF}" id="{2CC2FF8F-0D91-4608-B191-FEE5B150E330}">
    <text>대사태그 오류기도 하고 "선언했다"가 누락됐으니까 오역이기도 합니다 (:</text>
  </threadedComment>
  <threadedComment ref="J20" dT="2026-06-14T19:58:07.48" personId="{B2A4BE37-A9A4-4833-AD8A-5C816231A6EF}" id="{119B4096-2EDD-43FD-AEA6-189453E62B93}">
    <text>관용적이지 못하고 어색하기도 해서 2가 좋을꺼같습니다</text>
  </threadedComment>
  <threadedComment ref="J21" dT="2026-06-14T19:59:03.54" personId="{B2A4BE37-A9A4-4833-AD8A-5C816231A6EF}" id="{6BD96069-2FC9-4FF4-B209-54E4B8E18D9A}">
    <text>단순 뉘앙스 문제가 아니고 직역때문에 표현이 부자연스럽고 2번째 문장이 뚝 끊깁니다 (부자연스러운 전개 오류이기도 합니다)</text>
  </threadedComment>
  <threadedComment ref="J22" dT="2026-06-14T20:00:26.42" personId="{B2A4BE37-A9A4-4833-AD8A-5C816231A6EF}" id="{796A663A-87DF-4E8C-A7DD-A6BAF10F1D60}">
    <text>이전 문장에 이미 마당 나와서 삭제해도 되고 직역때문에 문장이 조금 지저분합니다</text>
  </threadedComment>
  <threadedComment ref="J23" dT="2026-06-14T20:01:22.40" personId="{B2A4BE37-A9A4-4833-AD8A-5C816231A6EF}" id="{EB41D819-5D4C-4A32-8018-741406CE65ED}">
    <text>옛날말투에 omg 안써서 장르위반입니다. Oh my god에 쉼표 사용한건 문법오류구요</text>
  </threadedComment>
  <threadedComment ref="J25" dT="2026-06-14T20:02:14.99" personId="{B2A4BE37-A9A4-4833-AD8A-5C816231A6EF}" id="{F17FC4DE-5FE6-4A16-9109-AA447DC95A7D}">
    <text>중복만 선택해도 문제없습니다!</text>
  </threadedComment>
  <threadedComment ref="J26" dT="2026-06-14T20:03:07.45" personId="{B2A4BE37-A9A4-4833-AD8A-5C816231A6EF}" id="{8BF61ED2-706F-40AC-8FA5-37D12EF6F43A}">
    <text>대문자 오류고 마님이 대감마님 남자 my lord 맞으니까 강도 1입니다</text>
  </threadedComment>
  <threadedComment ref="J27" dT="2026-06-14T20:06:04.24" personId="{B2A4BE37-A9A4-4833-AD8A-5C816231A6EF}" id="{B3B2F368-3E2F-41D7-A5BA-49A76527DDB2}">
    <text>“살아남은" 이라는 단어가 없고 실제로 계속 집에 있어서 죽다 살아난게 아닌 무사입니다. Surviving 은 오역입니다. 직역은 딱히 없는걸로 보입니다</text>
  </threadedComment>
  <threadedComment ref="J28" dT="2026-06-14T20:06:21.14" personId="{B2A4BE37-A9A4-4833-AD8A-5C816231A6EF}" id="{1B85948D-31FB-4B85-93E6-8D8B433D03EA}">
    <text>직역으로 인한 문장붕괴!</text>
  </threadedComment>
  <threadedComment ref="J29" dT="2026-06-14T20:07:22.81" personId="{B2A4BE37-A9A4-4833-AD8A-5C816231A6EF}" id="{486B7B81-059B-4B03-86A1-95A5B49E903E}">
    <text xml:space="preserve">불완전한 문장 + 발끝 reach his toes 표현 관용적이지 않기도 하고 영어화자가 거의 안쓰는 표현도 맞아서 직역강도 동의합니다 </text>
  </threadedComment>
  <threadedComment ref="J30" dT="2026-06-14T20:08:01.04" personId="{B2A4BE37-A9A4-4833-AD8A-5C816231A6EF}" id="{4A0752F2-26B6-4966-92F1-144333D0B899}">
    <text>명백한 서술규칙 오류입니다. 서술에 호칭 잘못쓴거니까요</text>
  </threadedComment>
  <threadedComment ref="J32" dT="2026-06-14T20:09:01.84" personId="{B2A4BE37-A9A4-4833-AD8A-5C816231A6EF}" id="{E2925F08-6351-4D08-B64A-7B44ADE0FDEE}">
    <text>말줄임표 스타일가이드 오류입니다</text>
  </threadedComment>
  <threadedComment ref="J33" dT="2026-06-14T20:10:33.39" personId="{B2A4BE37-A9A4-4833-AD8A-5C816231A6EF}" id="{FB11EE83-9B60-43A8-90C2-ACC102F67F81}">
    <text>뉘앙스 오류가 아니라 직역이랑 장황함 문제입니다 (문법 수동태 문제도 있네요)</text>
  </threadedComment>
  <threadedComment ref="J34" dT="2026-06-14T20:11:26.52" personId="{B2A4BE37-A9A4-4833-AD8A-5C816231A6EF}" id="{63E5DF44-2D65-4C8B-9A31-32E684F8BED5}">
    <text>What goes through your head 사용은 하는데 더 관용적인 표현이 있어서 2로 선택했지만 3도 괜찮습니다</text>
  </threadedComment>
  <threadedComment ref="J35" dT="2026-06-14T20:11:57.45" personId="{B2A4BE37-A9A4-4833-AD8A-5C816231A6EF}" id="{7CC22B2F-08F0-47A7-9D58-5FDC3679E8F3}">
    <text>명백한 대사태그 오류랑 불필요한 em-dash 사용한겁니다</text>
  </threadedComment>
  <threadedComment ref="J36" dT="2026-06-14T20:12:37.13" personId="{B2A4BE37-A9A4-4833-AD8A-5C816231A6EF}" id="{AC8B5F19-D294-4729-880D-B6E3A82217EA}">
    <text>문법 오류는 없고 관용적이지 못한 문장입니다</text>
  </threadedComment>
  <threadedComment ref="J38" dT="2026-06-14T20:13:04.49" personId="{B2A4BE37-A9A4-4833-AD8A-5C816231A6EF}" id="{36980E39-885A-4379-B173-BD2CF1107F01}">
    <text>Slump 가 관용적이지 못합니다 (콩글리쉬)</text>
  </threadedComment>
  <threadedComment ref="J39" dT="2026-06-14T20:14:07.57" personId="{B2A4BE37-A9A4-4833-AD8A-5C816231A6EF}" id="{87E4F5D5-6CEA-4705-9F12-5220B1A2306B}">
    <text>드라마 직역해서 drama 사용을 오역으로 볼수도 있어서 동의합니다</text>
  </threadedComment>
  <threadedComment ref="J40" dT="2026-06-14T20:14:54.95" personId="{B2A4BE37-A9A4-4833-AD8A-5C816231A6EF}" id="{182D15DB-6959-4039-BA5D-C53AC6207FE5}">
    <text>관용적이지 못한 stock 을 영어화자 안쓰는 표현이라고 생각할 수 있어서 동의합니다</text>
  </threadedComment>
  <threadedComment ref="J41" dT="2026-06-14T20:16:04.86" personId="{B2A4BE37-A9A4-4833-AD8A-5C816231A6EF}" id="{A34B85C6-AD47-4044-A6CD-59FF76C35A7C}">
    <text>서술에서의 시제오류라 서술규칙 입니다</text>
  </threadedComment>
  <threadedComment ref="J42" dT="2026-06-14T20:17:46.86" personId="{B2A4BE37-A9A4-4833-AD8A-5C816231A6EF}" id="{9B0CB34D-4C53-45EE-9691-961FD660AC36}">
    <text>문장 패턴 (톤) 문제랑 드라마 직역, drama 오역으로 볼수도 있음</text>
  </threadedComment>
  <threadedComment ref="J44" dT="2026-06-14T20:19:29.60" personId="{B2A4BE37-A9A4-4833-AD8A-5C816231A6EF}" id="{17D6ACC2-30CE-499E-9D7A-AEFF2A97E742}">
    <text>그냥 직역입니다 (서술 규칙문제도 있습니다 (직함사용))</text>
  </threadedComment>
  <threadedComment ref="J45" dT="2026-06-14T20:20:10.09" personId="{B2A4BE37-A9A4-4833-AD8A-5C816231A6EF}" id="{36D0E451-ED9A-4F34-A5D4-82B8B994623D}">
    <text>관용적이지 못한 표현이랑 이전문장이랑 단어 중복사용 문제 있습니다</text>
  </threadedComment>
  <threadedComment ref="J46" dT="2026-06-14T20:20:42.47" personId="{B2A4BE37-A9A4-4833-AD8A-5C816231A6EF}" id="{368E37CC-F9AA-4B95-A421-38BBBF76EC1B}">
    <text>옛날말투, laughing eyes 표현 관용적이지 못함</text>
  </threadedComment>
  <threadedComment ref="J47" dT="2026-06-14T20:21:23.59" personId="{B2A4BE37-A9A4-4833-AD8A-5C816231A6EF}" id="{D90CC203-F5E1-469D-9AB3-BB6C1B8388B6}">
    <text>대사태그가 필요하고 torment 단어 사용이 직역입니다 (혹은 옛날말투)</text>
  </threadedComment>
  <threadedComment ref="J48" dT="2026-06-14T20:22:08.22" personId="{B2A4BE37-A9A4-4833-AD8A-5C816231A6EF}" id="{DD618417-1A32-4007-AF31-B5D704F53D66}">
    <text>직함사용, 홀따옴표 사용</text>
  </threadedComment>
  <threadedComment ref="J49" dT="2026-06-14T20:22:33.76" personId="{B2A4BE37-A9A4-4833-AD8A-5C816231A6EF}" id="{259856CA-5A7C-4C3B-9DE6-F3F056C54930}">
    <text>호칭오류, 옛날말투를 직역으로 볼수도 있지만 이거 관련된 카테고리가 있기때문에 잘못선택한거라고 판단됩니다</text>
  </threadedComment>
  <threadedComment ref="J50" dT="2026-06-14T20:23:43.20" personId="{B2A4BE37-A9A4-4833-AD8A-5C816231A6EF}" id="{33FB2F12-38F5-4F3F-9A61-132EF71944CF}">
    <text>Ai 표현 문제입니다 exact same</text>
  </threadedComment>
  <threadedComment ref="J51" dT="2026-06-14T20:24:15.28" personId="{B2A4BE37-A9A4-4833-AD8A-5C816231A6EF}" id="{71280C31-6F75-4FB1-936A-EDBDDC647B34}">
    <text>이건 제꺼보다 평가자B님 판단이 옳습니다 (과장)</text>
  </threadedComment>
  <threadedComment ref="J52" dT="2026-06-14T20:25:09.97" personId="{B2A4BE37-A9A4-4833-AD8A-5C816231A6EF}" id="{E8DE4D58-E908-44B7-BAC1-9E9B3BD5F09C}">
    <text>쉼표 오류, single ounce of ai 표현, 문장 구조</text>
  </threadedComment>
  <threadedComment ref="J53" dT="2026-06-14T20:27:16.90" personId="{B2A4BE37-A9A4-4833-AD8A-5C816231A6EF}" id="{BCEBF740-5CB8-42EE-93CE-227FD88FCED8}">
    <text>직함사용, 머리싸매는걸 좀 무슨 금지된 행동인 톤으로 표현해서 약간의 톤문제 (직역때문에)</text>
  </threadedComment>
  <threadedComment ref="J54" dT="2026-06-14T20:27:43.62" personId="{B2A4BE37-A9A4-4833-AD8A-5C816231A6EF}" id="{57B549A4-B969-4017-A9F3-FF4329CBC17C}">
    <text>평가자님이 서술 규칙 부분은 안읽으셨나바요</text>
  </threadedComment>
  <threadedComment ref="J55" dT="2026-06-14T20:28:29.12" personId="{B2A4BE37-A9A4-4833-AD8A-5C816231A6EF}" id="{FACC3B15-0661-46FD-8C9A-2A2F1728358F}">
    <text>영어 화자가 안쓰는 표현은 없고 useless 단어선정 관용적이지 못해서 강도는 2입니다</text>
  </threadedComment>
  <threadedComment ref="J56" dT="2026-06-14T20:29:20.39" personId="{B2A4BE37-A9A4-4833-AD8A-5C816231A6EF}" id="{3050716D-9110-4D46-BB60-6339FC20C16F}">
    <text>이전 문장에 low 사용해서 중복이고 finely crushed chocolate 관용적이지 않아요</text>
  </threadedComment>
  <threadedComment ref="J57" dT="2026-06-14T20:29:40.38" personId="{B2A4BE37-A9A4-4833-AD8A-5C816231A6EF}" id="{B4F609CF-5642-4430-8AFC-0B05B88651C6}">
    <text>딩커스 누락된거에요</text>
  </threadedComment>
</ThreadedComment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
  <sheetViews>
    <sheetView zoomScaleNormal="100" workbookViewId="0">
      <selection sqref="A1:F1"/>
    </sheetView>
  </sheetViews>
  <sheetFormatPr defaultColWidth="8.6640625" defaultRowHeight="14.4"/>
  <cols>
    <col min="1" max="1" width="28" customWidth="1"/>
    <col min="2" max="6" width="18" customWidth="1"/>
  </cols>
  <sheetData>
    <row r="1" spans="1:6" ht="31.5" customHeight="1">
      <c r="A1" s="72" t="s">
        <v>84</v>
      </c>
      <c r="B1" s="66"/>
      <c r="C1" s="66"/>
      <c r="D1" s="66"/>
      <c r="E1" s="66"/>
      <c r="F1" s="66"/>
    </row>
    <row r="2" spans="1:6" ht="13.5" customHeight="1">
      <c r="A2" s="73" t="s">
        <v>85</v>
      </c>
      <c r="B2" s="66"/>
      <c r="C2" s="66"/>
      <c r="D2" s="66"/>
      <c r="E2" s="66"/>
      <c r="F2" s="66"/>
    </row>
    <row r="4" spans="1:6" ht="24" customHeight="1">
      <c r="A4" s="70" t="s">
        <v>86</v>
      </c>
      <c r="B4" s="66"/>
      <c r="C4" s="66"/>
      <c r="D4" s="66"/>
      <c r="E4" s="66"/>
      <c r="F4" s="66"/>
    </row>
    <row r="5" spans="1:6" ht="31.5" customHeight="1">
      <c r="A5" s="4" t="s">
        <v>87</v>
      </c>
      <c r="B5" s="67" t="s">
        <v>88</v>
      </c>
      <c r="C5" s="68"/>
      <c r="D5" s="68"/>
      <c r="E5" s="68"/>
      <c r="F5" s="69"/>
    </row>
    <row r="6" spans="1:6" ht="31.5" customHeight="1">
      <c r="A6" s="4" t="s">
        <v>89</v>
      </c>
      <c r="B6" s="71" t="s">
        <v>90</v>
      </c>
      <c r="C6" s="68"/>
      <c r="D6" s="68"/>
      <c r="E6" s="68"/>
      <c r="F6" s="69"/>
    </row>
    <row r="7" spans="1:6" ht="31.5" customHeight="1">
      <c r="A7" s="4" t="s">
        <v>91</v>
      </c>
      <c r="B7" s="67" t="s">
        <v>92</v>
      </c>
      <c r="C7" s="68"/>
      <c r="D7" s="68"/>
      <c r="E7" s="68"/>
      <c r="F7" s="69"/>
    </row>
    <row r="8" spans="1:6" ht="31.5" customHeight="1">
      <c r="A8" s="4" t="s">
        <v>93</v>
      </c>
      <c r="B8" s="67" t="s">
        <v>94</v>
      </c>
      <c r="C8" s="68"/>
      <c r="D8" s="68"/>
      <c r="E8" s="68"/>
      <c r="F8" s="69"/>
    </row>
    <row r="9" spans="1:6" ht="31.5" customHeight="1">
      <c r="A9" s="4" t="s">
        <v>95</v>
      </c>
      <c r="B9" s="67" t="s">
        <v>96</v>
      </c>
      <c r="C9" s="68"/>
      <c r="D9" s="68"/>
      <c r="E9" s="68"/>
      <c r="F9" s="69"/>
    </row>
    <row r="10" spans="1:6" ht="31.5" customHeight="1">
      <c r="A10" s="4" t="s">
        <v>97</v>
      </c>
      <c r="B10" s="67" t="s">
        <v>98</v>
      </c>
      <c r="C10" s="68"/>
      <c r="D10" s="68"/>
      <c r="E10" s="68"/>
      <c r="F10" s="69"/>
    </row>
    <row r="11" spans="1:6" ht="31.5" customHeight="1">
      <c r="A11" s="4" t="s">
        <v>99</v>
      </c>
      <c r="B11" s="71" t="s">
        <v>100</v>
      </c>
      <c r="C11" s="68"/>
      <c r="D11" s="68"/>
      <c r="E11" s="68"/>
      <c r="F11" s="69"/>
    </row>
    <row r="12" spans="1:6" ht="31.5" customHeight="1">
      <c r="A12" s="4" t="s">
        <v>101</v>
      </c>
      <c r="B12" s="67" t="s">
        <v>102</v>
      </c>
      <c r="C12" s="68"/>
      <c r="D12" s="68"/>
      <c r="E12" s="68"/>
      <c r="F12" s="69"/>
    </row>
    <row r="13" spans="1:6" ht="31.5" customHeight="1">
      <c r="A13" s="4" t="s">
        <v>103</v>
      </c>
      <c r="B13" s="67" t="s">
        <v>104</v>
      </c>
      <c r="C13" s="68"/>
      <c r="D13" s="68"/>
      <c r="E13" s="68"/>
      <c r="F13" s="69"/>
    </row>
    <row r="15" spans="1:6" ht="24" customHeight="1">
      <c r="A15" s="70" t="s">
        <v>105</v>
      </c>
      <c r="B15" s="66"/>
      <c r="C15" s="66"/>
      <c r="D15" s="66"/>
      <c r="E15" s="66"/>
      <c r="F15" s="66"/>
    </row>
    <row r="16" spans="1:6" ht="31.5" customHeight="1">
      <c r="A16" s="4" t="s">
        <v>106</v>
      </c>
      <c r="B16" s="71" t="s">
        <v>107</v>
      </c>
      <c r="C16" s="68"/>
      <c r="D16" s="68"/>
      <c r="E16" s="68"/>
      <c r="F16" s="69"/>
    </row>
    <row r="17" spans="1:6" ht="31.5" customHeight="1">
      <c r="A17" s="4" t="s">
        <v>108</v>
      </c>
      <c r="B17" s="71" t="s">
        <v>109</v>
      </c>
      <c r="C17" s="68"/>
      <c r="D17" s="68"/>
      <c r="E17" s="68"/>
      <c r="F17" s="69"/>
    </row>
    <row r="18" spans="1:6" ht="31.5" customHeight="1">
      <c r="A18" s="4" t="s">
        <v>110</v>
      </c>
      <c r="B18" s="71" t="s">
        <v>111</v>
      </c>
      <c r="C18" s="68"/>
      <c r="D18" s="68"/>
      <c r="E18" s="68"/>
      <c r="F18" s="69"/>
    </row>
    <row r="19" spans="1:6" ht="31.5" customHeight="1">
      <c r="A19" s="4" t="s">
        <v>112</v>
      </c>
      <c r="B19" s="71" t="s">
        <v>113</v>
      </c>
      <c r="C19" s="68"/>
      <c r="D19" s="68"/>
      <c r="E19" s="68"/>
      <c r="F19" s="69"/>
    </row>
    <row r="20" spans="1:6" ht="31.5" customHeight="1">
      <c r="A20" s="4" t="s">
        <v>114</v>
      </c>
      <c r="B20" s="71" t="s">
        <v>115</v>
      </c>
      <c r="C20" s="68"/>
      <c r="D20" s="68"/>
      <c r="E20" s="68"/>
      <c r="F20" s="69"/>
    </row>
    <row r="21" spans="1:6" ht="31.5" customHeight="1">
      <c r="A21" s="4" t="s">
        <v>116</v>
      </c>
      <c r="B21" s="67" t="s">
        <v>117</v>
      </c>
      <c r="C21" s="68"/>
      <c r="D21" s="68"/>
      <c r="E21" s="68"/>
      <c r="F21" s="69"/>
    </row>
    <row r="22" spans="1:6" ht="31.5" customHeight="1">
      <c r="A22" s="4" t="s">
        <v>118</v>
      </c>
      <c r="B22" s="67" t="s">
        <v>119</v>
      </c>
      <c r="C22" s="68"/>
      <c r="D22" s="68"/>
      <c r="E22" s="68"/>
      <c r="F22" s="69"/>
    </row>
    <row r="23" spans="1:6" ht="31.5" customHeight="1">
      <c r="A23" s="4" t="s">
        <v>120</v>
      </c>
      <c r="B23" s="67" t="s">
        <v>121</v>
      </c>
      <c r="C23" s="68"/>
      <c r="D23" s="68"/>
      <c r="E23" s="68"/>
      <c r="F23" s="69"/>
    </row>
  </sheetData>
  <mergeCells count="21">
    <mergeCell ref="A1:F1"/>
    <mergeCell ref="B5:F5"/>
    <mergeCell ref="A2:F2"/>
    <mergeCell ref="B12:F12"/>
    <mergeCell ref="B11:F11"/>
    <mergeCell ref="B23:F23"/>
    <mergeCell ref="A4:F4"/>
    <mergeCell ref="B8:F8"/>
    <mergeCell ref="B17:F17"/>
    <mergeCell ref="B13:F13"/>
    <mergeCell ref="B10:F10"/>
    <mergeCell ref="B19:F19"/>
    <mergeCell ref="B9:F9"/>
    <mergeCell ref="A15:F15"/>
    <mergeCell ref="B6:F6"/>
    <mergeCell ref="B20:F20"/>
    <mergeCell ref="B7:F7"/>
    <mergeCell ref="B16:F16"/>
    <mergeCell ref="B22:F22"/>
    <mergeCell ref="B18:F18"/>
    <mergeCell ref="B21:F21"/>
  </mergeCells>
  <phoneticPr fontId="21"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
  <sheetViews>
    <sheetView tabSelected="1" zoomScaleNormal="100" workbookViewId="0"/>
  </sheetViews>
  <sheetFormatPr defaultColWidth="8.6640625" defaultRowHeight="14.4"/>
  <cols>
    <col min="1" max="1" width="5" customWidth="1"/>
    <col min="2" max="2" width="20" customWidth="1"/>
    <col min="3" max="3" width="36" customWidth="1"/>
    <col min="4" max="4" width="32" customWidth="1"/>
    <col min="5" max="5" width="22" customWidth="1"/>
    <col min="6" max="6" width="24" customWidth="1"/>
    <col min="7" max="7" width="26" customWidth="1"/>
    <col min="8" max="8" width="12" customWidth="1"/>
  </cols>
  <sheetData>
    <row r="1" spans="1:8" ht="30" customHeight="1">
      <c r="A1" s="5" t="s">
        <v>0</v>
      </c>
      <c r="B1" s="6" t="s">
        <v>1</v>
      </c>
      <c r="C1" s="6" t="s">
        <v>2</v>
      </c>
      <c r="D1" s="6" t="s">
        <v>3</v>
      </c>
      <c r="E1" s="6" t="s">
        <v>4</v>
      </c>
      <c r="F1" s="6" t="s">
        <v>5</v>
      </c>
      <c r="G1" s="6" t="s">
        <v>6</v>
      </c>
      <c r="H1" s="6" t="s">
        <v>7</v>
      </c>
    </row>
    <row r="2" spans="1:8" ht="60" customHeight="1">
      <c r="A2" s="2" t="s">
        <v>8</v>
      </c>
      <c r="B2" s="3" t="s">
        <v>9</v>
      </c>
      <c r="C2" s="3" t="s">
        <v>10</v>
      </c>
      <c r="D2" s="3" t="s">
        <v>11</v>
      </c>
      <c r="E2" s="3" t="s">
        <v>1186</v>
      </c>
      <c r="F2" s="3" t="s">
        <v>1161</v>
      </c>
      <c r="G2" s="3" t="s">
        <v>1163</v>
      </c>
      <c r="H2" s="3" t="s">
        <v>12</v>
      </c>
    </row>
    <row r="3" spans="1:8" ht="60" customHeight="1">
      <c r="A3" s="2" t="s">
        <v>13</v>
      </c>
      <c r="B3" s="3" t="s">
        <v>14</v>
      </c>
      <c r="C3" s="2" t="s">
        <v>15</v>
      </c>
      <c r="D3" s="3" t="s">
        <v>16</v>
      </c>
      <c r="E3" s="3" t="s">
        <v>1167</v>
      </c>
      <c r="F3" s="3" t="s">
        <v>1162</v>
      </c>
      <c r="G3" s="3" t="s">
        <v>17</v>
      </c>
      <c r="H3" s="3" t="s">
        <v>12</v>
      </c>
    </row>
    <row r="4" spans="1:8" ht="60" customHeight="1">
      <c r="A4" s="2" t="s">
        <v>18</v>
      </c>
      <c r="B4" s="3" t="s">
        <v>19</v>
      </c>
      <c r="C4" s="3" t="s">
        <v>20</v>
      </c>
      <c r="D4" s="3" t="s">
        <v>21</v>
      </c>
      <c r="E4" s="3" t="s">
        <v>1166</v>
      </c>
      <c r="F4" s="3" t="s">
        <v>1164</v>
      </c>
      <c r="G4" s="3" t="s">
        <v>22</v>
      </c>
      <c r="H4" s="3" t="s">
        <v>23</v>
      </c>
    </row>
    <row r="5" spans="1:8" ht="60" customHeight="1">
      <c r="A5" s="2" t="s">
        <v>24</v>
      </c>
      <c r="B5" s="3" t="s">
        <v>25</v>
      </c>
      <c r="C5" s="3" t="s">
        <v>26</v>
      </c>
      <c r="D5" s="3" t="s">
        <v>27</v>
      </c>
      <c r="E5" s="3" t="s">
        <v>1165</v>
      </c>
      <c r="F5" s="3" t="s">
        <v>28</v>
      </c>
      <c r="G5" s="3" t="s">
        <v>29</v>
      </c>
      <c r="H5" s="3" t="s">
        <v>23</v>
      </c>
    </row>
    <row r="6" spans="1:8" ht="60" customHeight="1">
      <c r="A6" s="2" t="s">
        <v>30</v>
      </c>
      <c r="B6" s="3" t="s">
        <v>31</v>
      </c>
      <c r="C6" s="2" t="s">
        <v>1105</v>
      </c>
      <c r="D6" s="3" t="s">
        <v>1187</v>
      </c>
      <c r="E6" s="3" t="s">
        <v>1191</v>
      </c>
      <c r="F6" s="3" t="s">
        <v>1188</v>
      </c>
      <c r="G6" s="3" t="s">
        <v>32</v>
      </c>
      <c r="H6" s="3" t="s">
        <v>23</v>
      </c>
    </row>
    <row r="7" spans="1:8" ht="60" customHeight="1">
      <c r="A7" s="2" t="s">
        <v>33</v>
      </c>
      <c r="B7" s="3" t="s">
        <v>34</v>
      </c>
      <c r="C7" s="3" t="s">
        <v>1101</v>
      </c>
      <c r="D7" s="2" t="s">
        <v>35</v>
      </c>
      <c r="E7" s="3" t="s">
        <v>1102</v>
      </c>
      <c r="F7" s="3" t="s">
        <v>1189</v>
      </c>
      <c r="G7" s="3" t="s">
        <v>36</v>
      </c>
      <c r="H7" s="3" t="s">
        <v>23</v>
      </c>
    </row>
    <row r="8" spans="1:8" ht="60" customHeight="1">
      <c r="A8" s="2" t="s">
        <v>37</v>
      </c>
      <c r="B8" s="2" t="s">
        <v>38</v>
      </c>
      <c r="C8" s="2" t="s">
        <v>39</v>
      </c>
      <c r="D8" s="3" t="s">
        <v>40</v>
      </c>
      <c r="E8" s="2" t="s">
        <v>1168</v>
      </c>
      <c r="F8" s="2" t="s">
        <v>41</v>
      </c>
      <c r="G8" s="3" t="s">
        <v>42</v>
      </c>
      <c r="H8" s="3" t="s">
        <v>23</v>
      </c>
    </row>
    <row r="9" spans="1:8" ht="60" customHeight="1">
      <c r="A9" s="2" t="s">
        <v>43</v>
      </c>
      <c r="B9" s="3" t="s">
        <v>44</v>
      </c>
      <c r="C9" s="3" t="s">
        <v>45</v>
      </c>
      <c r="D9" s="3" t="s">
        <v>46</v>
      </c>
      <c r="E9" s="3" t="s">
        <v>1169</v>
      </c>
      <c r="F9" s="3" t="s">
        <v>47</v>
      </c>
      <c r="G9" s="3" t="s">
        <v>48</v>
      </c>
      <c r="H9" s="3" t="s">
        <v>12</v>
      </c>
    </row>
    <row r="10" spans="1:8" ht="60" customHeight="1">
      <c r="A10" s="2" t="s">
        <v>49</v>
      </c>
      <c r="B10" s="3" t="s">
        <v>1170</v>
      </c>
      <c r="C10" s="3" t="s">
        <v>1172</v>
      </c>
      <c r="D10" s="3" t="s">
        <v>50</v>
      </c>
      <c r="E10" s="64" t="s">
        <v>1171</v>
      </c>
      <c r="F10" s="3" t="s">
        <v>1173</v>
      </c>
      <c r="G10" s="3" t="s">
        <v>1174</v>
      </c>
      <c r="H10" s="3" t="s">
        <v>23</v>
      </c>
    </row>
    <row r="11" spans="1:8" ht="60" customHeight="1">
      <c r="A11" s="2" t="s">
        <v>51</v>
      </c>
      <c r="B11" s="3" t="s">
        <v>52</v>
      </c>
      <c r="C11" s="3" t="s">
        <v>53</v>
      </c>
      <c r="D11" s="3" t="s">
        <v>54</v>
      </c>
      <c r="E11" s="3" t="s">
        <v>1190</v>
      </c>
      <c r="F11" s="3" t="s">
        <v>1175</v>
      </c>
      <c r="G11" s="3" t="s">
        <v>55</v>
      </c>
      <c r="H11" s="3" t="s">
        <v>23</v>
      </c>
    </row>
    <row r="12" spans="1:8" ht="60" customHeight="1">
      <c r="A12" s="2" t="s">
        <v>56</v>
      </c>
      <c r="B12" s="3" t="s">
        <v>57</v>
      </c>
      <c r="C12" s="3" t="s">
        <v>1176</v>
      </c>
      <c r="D12" s="2" t="s">
        <v>1177</v>
      </c>
      <c r="E12" s="3" t="s">
        <v>1178</v>
      </c>
      <c r="F12" s="3" t="s">
        <v>1179</v>
      </c>
      <c r="G12" s="3" t="s">
        <v>58</v>
      </c>
      <c r="H12" s="3" t="s">
        <v>12</v>
      </c>
    </row>
    <row r="13" spans="1:8" ht="60" customHeight="1">
      <c r="A13" s="2" t="s">
        <v>59</v>
      </c>
      <c r="B13" s="3" t="s">
        <v>60</v>
      </c>
      <c r="C13" s="3" t="s">
        <v>61</v>
      </c>
      <c r="D13" s="3" t="s">
        <v>62</v>
      </c>
      <c r="E13" s="3" t="s">
        <v>1180</v>
      </c>
      <c r="F13" s="3" t="s">
        <v>1181</v>
      </c>
      <c r="G13" s="3" t="s">
        <v>63</v>
      </c>
      <c r="H13" s="3" t="s">
        <v>64</v>
      </c>
    </row>
    <row r="14" spans="1:8" ht="60" customHeight="1">
      <c r="A14" s="2" t="s">
        <v>65</v>
      </c>
      <c r="B14" s="3" t="s">
        <v>66</v>
      </c>
      <c r="C14" s="3" t="s">
        <v>1182</v>
      </c>
      <c r="D14" s="3" t="s">
        <v>1106</v>
      </c>
      <c r="E14" s="3" t="s">
        <v>1192</v>
      </c>
      <c r="F14" s="3" t="s">
        <v>1103</v>
      </c>
      <c r="G14" s="3" t="s">
        <v>1104</v>
      </c>
      <c r="H14" s="3" t="s">
        <v>12</v>
      </c>
    </row>
    <row r="15" spans="1:8" ht="60" customHeight="1">
      <c r="A15" s="2" t="s">
        <v>67</v>
      </c>
      <c r="B15" s="3" t="s">
        <v>68</v>
      </c>
      <c r="C15" s="3" t="s">
        <v>1183</v>
      </c>
      <c r="D15" s="3" t="s">
        <v>69</v>
      </c>
      <c r="E15" s="3" t="s">
        <v>1185</v>
      </c>
      <c r="F15" s="3" t="s">
        <v>1184</v>
      </c>
      <c r="G15" s="3" t="s">
        <v>70</v>
      </c>
      <c r="H15" s="3" t="s">
        <v>68</v>
      </c>
    </row>
    <row r="18" spans="1:8" ht="15" customHeight="1">
      <c r="A18" s="65" t="s">
        <v>71</v>
      </c>
      <c r="B18" s="66"/>
      <c r="C18" s="66"/>
      <c r="D18" s="66"/>
      <c r="E18" s="66"/>
      <c r="F18" s="66"/>
      <c r="G18" s="66"/>
      <c r="H18" s="66"/>
    </row>
    <row r="19" spans="1:8" ht="30" customHeight="1">
      <c r="A19" s="1" t="s">
        <v>72</v>
      </c>
      <c r="B19" s="1" t="s">
        <v>73</v>
      </c>
      <c r="C19" s="1" t="s">
        <v>74</v>
      </c>
    </row>
    <row r="20" spans="1:8" ht="15" customHeight="1">
      <c r="A20" s="7" t="s">
        <v>75</v>
      </c>
      <c r="B20" s="8" t="s">
        <v>76</v>
      </c>
      <c r="C20" s="8" t="s">
        <v>77</v>
      </c>
    </row>
    <row r="21" spans="1:8" ht="15" customHeight="1">
      <c r="A21" s="7" t="s">
        <v>8</v>
      </c>
      <c r="B21" s="8" t="s">
        <v>78</v>
      </c>
      <c r="C21" s="8" t="s">
        <v>79</v>
      </c>
    </row>
    <row r="22" spans="1:8" ht="15" customHeight="1">
      <c r="A22" s="7" t="s">
        <v>13</v>
      </c>
      <c r="B22" s="8" t="s">
        <v>80</v>
      </c>
      <c r="C22" s="8" t="s">
        <v>81</v>
      </c>
    </row>
    <row r="23" spans="1:8" ht="15" customHeight="1">
      <c r="A23" s="7" t="s">
        <v>18</v>
      </c>
      <c r="B23" s="8" t="s">
        <v>82</v>
      </c>
      <c r="C23" s="8" t="s">
        <v>83</v>
      </c>
    </row>
  </sheetData>
  <mergeCells count="1">
    <mergeCell ref="A18:H18"/>
  </mergeCells>
  <phoneticPr fontId="21"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349"/>
  <sheetViews>
    <sheetView zoomScaleNormal="100" workbookViewId="0">
      <pane xSplit="4" ySplit="2" topLeftCell="R329" activePane="bottomRight" state="frozen"/>
      <selection pane="topRight" activeCell="F1" sqref="F1"/>
      <selection pane="bottomLeft" activeCell="A3" sqref="A3"/>
      <selection pane="bottomRight" activeCell="E3" sqref="E3:R349"/>
    </sheetView>
  </sheetViews>
  <sheetFormatPr defaultColWidth="8.6640625" defaultRowHeight="14.4"/>
  <cols>
    <col min="1" max="1" width="12" customWidth="1"/>
    <col min="2" max="2" width="35.21875" style="47" customWidth="1"/>
    <col min="3" max="3" width="53.44140625" style="47" customWidth="1"/>
    <col min="4" max="4" width="12.33203125" customWidth="1"/>
    <col min="5" max="18" width="7.44140625" customWidth="1"/>
    <col min="19" max="24" width="9" customWidth="1"/>
    <col min="25" max="25" width="24" customWidth="1"/>
  </cols>
  <sheetData>
    <row r="1" spans="1:25" ht="24" customHeight="1">
      <c r="A1" s="74" t="s">
        <v>122</v>
      </c>
      <c r="B1" s="74" t="s">
        <v>123</v>
      </c>
      <c r="C1" s="78" t="s">
        <v>124</v>
      </c>
      <c r="D1" s="74" t="s">
        <v>125</v>
      </c>
      <c r="E1" s="76" t="s">
        <v>126</v>
      </c>
      <c r="F1" s="68"/>
      <c r="G1" s="68"/>
      <c r="H1" s="68"/>
      <c r="I1" s="68"/>
      <c r="J1" s="68"/>
      <c r="K1" s="68"/>
      <c r="L1" s="68"/>
      <c r="M1" s="68"/>
      <c r="N1" s="68"/>
      <c r="O1" s="68"/>
      <c r="P1" s="68"/>
      <c r="Q1" s="68"/>
      <c r="R1" s="69"/>
      <c r="S1" s="77" t="s">
        <v>127</v>
      </c>
      <c r="T1" s="68"/>
      <c r="U1" s="68"/>
      <c r="V1" s="68"/>
      <c r="W1" s="68"/>
      <c r="X1" s="69"/>
      <c r="Y1" s="74" t="s">
        <v>128</v>
      </c>
    </row>
    <row r="2" spans="1:25" ht="21.75" customHeight="1">
      <c r="A2" s="75"/>
      <c r="B2" s="79"/>
      <c r="C2" s="79"/>
      <c r="D2" s="75"/>
      <c r="E2" s="9" t="s">
        <v>129</v>
      </c>
      <c r="F2" s="9" t="s">
        <v>130</v>
      </c>
      <c r="G2" s="9" t="s">
        <v>131</v>
      </c>
      <c r="H2" s="9" t="s">
        <v>132</v>
      </c>
      <c r="I2" s="9" t="s">
        <v>133</v>
      </c>
      <c r="J2" s="9" t="s">
        <v>134</v>
      </c>
      <c r="K2" s="9" t="s">
        <v>135</v>
      </c>
      <c r="L2" s="9" t="s">
        <v>136</v>
      </c>
      <c r="M2" s="9" t="s">
        <v>137</v>
      </c>
      <c r="N2" s="9" t="s">
        <v>138</v>
      </c>
      <c r="O2" s="9" t="s">
        <v>139</v>
      </c>
      <c r="P2" s="9" t="s">
        <v>140</v>
      </c>
      <c r="Q2" s="9" t="s">
        <v>141</v>
      </c>
      <c r="R2" s="9" t="s">
        <v>142</v>
      </c>
      <c r="S2" s="10" t="s">
        <v>143</v>
      </c>
      <c r="T2" s="10" t="s">
        <v>144</v>
      </c>
      <c r="U2" s="10" t="s">
        <v>145</v>
      </c>
      <c r="V2" s="10" t="s">
        <v>146</v>
      </c>
      <c r="W2" s="10" t="s">
        <v>147</v>
      </c>
      <c r="X2" s="10" t="s">
        <v>148</v>
      </c>
      <c r="Y2" s="75"/>
    </row>
    <row r="3" spans="1:25" ht="30" customHeight="1">
      <c r="A3" s="11">
        <v>1</v>
      </c>
      <c r="B3" s="45" t="s">
        <v>247</v>
      </c>
      <c r="C3" s="46" t="s">
        <v>590</v>
      </c>
      <c r="D3" s="12"/>
      <c r="E3" s="13"/>
      <c r="F3" s="13"/>
      <c r="G3" s="13"/>
      <c r="H3" s="13"/>
      <c r="I3" s="13"/>
      <c r="J3" s="13"/>
      <c r="K3" s="13"/>
      <c r="L3" s="13"/>
      <c r="M3" s="13"/>
      <c r="N3" s="13"/>
      <c r="O3" s="13"/>
      <c r="P3" s="13"/>
      <c r="Q3" s="13"/>
      <c r="R3" s="13"/>
      <c r="S3" s="14">
        <f t="shared" ref="S3:S34" si="0">IF(SUM(E3:R3)&gt;0,1,0)</f>
        <v>0</v>
      </c>
      <c r="T3" s="14">
        <f t="shared" ref="T3:T34" si="1">IF(MAX(G3,H3,I3,J3,K3,M3,N3)&gt;0,1,0)</f>
        <v>0</v>
      </c>
      <c r="U3" s="14">
        <f t="shared" ref="U3:U34" si="2">IF(MAX(E3,F3,L3,O3,Q3)&gt;0,1,0)</f>
        <v>0</v>
      </c>
      <c r="V3" s="14">
        <f t="shared" ref="V3:V34" si="3">IF(P3&gt;0,1,0)</f>
        <v>0</v>
      </c>
      <c r="W3" s="14">
        <f t="shared" ref="W3:W66" si="4">IF(AND(B3&lt;&gt;"",S3=0),1,0)</f>
        <v>1</v>
      </c>
      <c r="X3" s="15">
        <f t="shared" ref="X3:X34" si="5">SUMPRODUCT((E3:R3=1)*0.3)+SUMPRODUCT((E3:R3=2)*0.7)+SUMPRODUCT((E3:R3=3)*1.5)</f>
        <v>0</v>
      </c>
      <c r="Y3" s="16"/>
    </row>
    <row r="4" spans="1:25" ht="30" customHeight="1">
      <c r="A4" s="11">
        <v>2</v>
      </c>
      <c r="B4" s="45" t="s">
        <v>248</v>
      </c>
      <c r="C4" s="46" t="s">
        <v>591</v>
      </c>
      <c r="D4" s="12"/>
      <c r="E4" s="13"/>
      <c r="F4" s="13"/>
      <c r="G4" s="13"/>
      <c r="H4" s="13"/>
      <c r="I4" s="13"/>
      <c r="J4" s="13"/>
      <c r="K4" s="13"/>
      <c r="L4" s="13"/>
      <c r="M4" s="13"/>
      <c r="N4" s="13"/>
      <c r="O4" s="13"/>
      <c r="P4" s="13"/>
      <c r="Q4" s="13"/>
      <c r="R4" s="13"/>
      <c r="S4" s="14">
        <f t="shared" si="0"/>
        <v>0</v>
      </c>
      <c r="T4" s="14">
        <f t="shared" si="1"/>
        <v>0</v>
      </c>
      <c r="U4" s="14">
        <f t="shared" si="2"/>
        <v>0</v>
      </c>
      <c r="V4" s="14">
        <f t="shared" si="3"/>
        <v>0</v>
      </c>
      <c r="W4" s="14">
        <f t="shared" si="4"/>
        <v>1</v>
      </c>
      <c r="X4" s="15">
        <f t="shared" si="5"/>
        <v>0</v>
      </c>
      <c r="Y4" s="16"/>
    </row>
    <row r="5" spans="1:25" ht="30" customHeight="1">
      <c r="A5" s="11">
        <v>3</v>
      </c>
      <c r="B5" s="45" t="s">
        <v>249</v>
      </c>
      <c r="C5" s="46" t="s">
        <v>592</v>
      </c>
      <c r="D5" s="12"/>
      <c r="E5" s="13"/>
      <c r="F5" s="13"/>
      <c r="G5" s="13"/>
      <c r="H5" s="13"/>
      <c r="I5" s="13"/>
      <c r="J5" s="13"/>
      <c r="K5" s="13"/>
      <c r="L5" s="13"/>
      <c r="M5" s="13"/>
      <c r="N5" s="13"/>
      <c r="O5" s="13"/>
      <c r="P5" s="13"/>
      <c r="Q5" s="13"/>
      <c r="R5" s="13"/>
      <c r="S5" s="14">
        <f t="shared" si="0"/>
        <v>0</v>
      </c>
      <c r="T5" s="14">
        <f t="shared" si="1"/>
        <v>0</v>
      </c>
      <c r="U5" s="14">
        <f t="shared" si="2"/>
        <v>0</v>
      </c>
      <c r="V5" s="14">
        <f t="shared" si="3"/>
        <v>0</v>
      </c>
      <c r="W5" s="14">
        <f t="shared" si="4"/>
        <v>1</v>
      </c>
      <c r="X5" s="15">
        <f t="shared" si="5"/>
        <v>0</v>
      </c>
      <c r="Y5" s="16" t="s">
        <v>932</v>
      </c>
    </row>
    <row r="6" spans="1:25" ht="39.6">
      <c r="A6" s="11">
        <v>4</v>
      </c>
      <c r="B6" s="45" t="s">
        <v>250</v>
      </c>
      <c r="C6" s="46" t="s">
        <v>593</v>
      </c>
      <c r="D6" s="12"/>
      <c r="E6" s="13"/>
      <c r="F6" s="13"/>
      <c r="G6" s="13"/>
      <c r="H6" s="13"/>
      <c r="I6" s="13"/>
      <c r="J6" s="13"/>
      <c r="K6" s="13"/>
      <c r="L6" s="13"/>
      <c r="M6" s="13"/>
      <c r="N6" s="13"/>
      <c r="O6" s="13"/>
      <c r="P6" s="13"/>
      <c r="Q6" s="13"/>
      <c r="R6" s="13"/>
      <c r="S6" s="14">
        <f t="shared" si="0"/>
        <v>0</v>
      </c>
      <c r="T6" s="14">
        <f t="shared" si="1"/>
        <v>0</v>
      </c>
      <c r="U6" s="14">
        <f t="shared" si="2"/>
        <v>0</v>
      </c>
      <c r="V6" s="14">
        <f t="shared" si="3"/>
        <v>0</v>
      </c>
      <c r="W6" s="14">
        <f t="shared" si="4"/>
        <v>1</v>
      </c>
      <c r="X6" s="15">
        <f t="shared" si="5"/>
        <v>0</v>
      </c>
      <c r="Y6" s="16" t="s">
        <v>933</v>
      </c>
    </row>
    <row r="7" spans="1:25" ht="30" customHeight="1">
      <c r="A7" s="11">
        <v>5</v>
      </c>
      <c r="B7" s="45" t="s">
        <v>251</v>
      </c>
      <c r="C7" s="46" t="s">
        <v>594</v>
      </c>
      <c r="D7" s="12"/>
      <c r="E7" s="13"/>
      <c r="F7" s="13"/>
      <c r="G7" s="13"/>
      <c r="H7" s="13"/>
      <c r="I7" s="13"/>
      <c r="J7" s="13"/>
      <c r="K7" s="13"/>
      <c r="L7" s="13"/>
      <c r="M7" s="13"/>
      <c r="N7" s="13"/>
      <c r="O7" s="13"/>
      <c r="P7" s="13"/>
      <c r="Q7" s="13"/>
      <c r="R7" s="13"/>
      <c r="S7" s="14">
        <f t="shared" si="0"/>
        <v>0</v>
      </c>
      <c r="T7" s="14">
        <f t="shared" si="1"/>
        <v>0</v>
      </c>
      <c r="U7" s="14">
        <f t="shared" si="2"/>
        <v>0</v>
      </c>
      <c r="V7" s="14">
        <f t="shared" si="3"/>
        <v>0</v>
      </c>
      <c r="W7" s="14">
        <f t="shared" si="4"/>
        <v>1</v>
      </c>
      <c r="X7" s="15">
        <f t="shared" si="5"/>
        <v>0</v>
      </c>
      <c r="Y7" s="16"/>
    </row>
    <row r="8" spans="1:25" ht="30" customHeight="1">
      <c r="A8" s="11">
        <v>6</v>
      </c>
      <c r="B8" s="45" t="s">
        <v>252</v>
      </c>
      <c r="C8" s="46" t="s">
        <v>595</v>
      </c>
      <c r="D8" s="12"/>
      <c r="E8" s="13"/>
      <c r="F8" s="13"/>
      <c r="G8" s="13"/>
      <c r="H8" s="13"/>
      <c r="I8" s="13"/>
      <c r="J8" s="13"/>
      <c r="K8" s="13"/>
      <c r="L8" s="13"/>
      <c r="M8" s="13"/>
      <c r="N8" s="13"/>
      <c r="O8" s="13"/>
      <c r="P8" s="13"/>
      <c r="Q8" s="13"/>
      <c r="R8" s="13"/>
      <c r="S8" s="14">
        <f t="shared" si="0"/>
        <v>0</v>
      </c>
      <c r="T8" s="14">
        <f t="shared" si="1"/>
        <v>0</v>
      </c>
      <c r="U8" s="14">
        <f t="shared" si="2"/>
        <v>0</v>
      </c>
      <c r="V8" s="14">
        <f t="shared" si="3"/>
        <v>0</v>
      </c>
      <c r="W8" s="14">
        <f t="shared" si="4"/>
        <v>1</v>
      </c>
      <c r="X8" s="15">
        <f t="shared" si="5"/>
        <v>0</v>
      </c>
      <c r="Y8" s="16"/>
    </row>
    <row r="9" spans="1:25" ht="30" customHeight="1">
      <c r="A9" s="11">
        <v>7</v>
      </c>
      <c r="B9" s="45" t="s">
        <v>253</v>
      </c>
      <c r="C9" s="46" t="s">
        <v>596</v>
      </c>
      <c r="D9" s="12"/>
      <c r="E9" s="13"/>
      <c r="F9" s="13"/>
      <c r="G9" s="13"/>
      <c r="H9" s="13"/>
      <c r="I9" s="13"/>
      <c r="J9" s="13"/>
      <c r="K9" s="13"/>
      <c r="L9" s="13"/>
      <c r="M9" s="13"/>
      <c r="N9" s="13"/>
      <c r="O9" s="13"/>
      <c r="P9" s="13"/>
      <c r="Q9" s="13"/>
      <c r="R9" s="13"/>
      <c r="S9" s="14">
        <f t="shared" si="0"/>
        <v>0</v>
      </c>
      <c r="T9" s="14">
        <f t="shared" si="1"/>
        <v>0</v>
      </c>
      <c r="U9" s="14">
        <f t="shared" si="2"/>
        <v>0</v>
      </c>
      <c r="V9" s="14">
        <f t="shared" si="3"/>
        <v>0</v>
      </c>
      <c r="W9" s="14">
        <f t="shared" si="4"/>
        <v>1</v>
      </c>
      <c r="X9" s="15">
        <f t="shared" si="5"/>
        <v>0</v>
      </c>
      <c r="Y9" s="16" t="s">
        <v>934</v>
      </c>
    </row>
    <row r="10" spans="1:25" ht="30" customHeight="1">
      <c r="A10" s="11">
        <v>8</v>
      </c>
      <c r="B10" s="45" t="s">
        <v>254</v>
      </c>
      <c r="C10" s="46" t="s">
        <v>928</v>
      </c>
      <c r="D10" s="12"/>
      <c r="E10" s="13"/>
      <c r="F10" s="13"/>
      <c r="G10" s="13"/>
      <c r="H10" s="13"/>
      <c r="I10" s="13"/>
      <c r="J10" s="13"/>
      <c r="K10" s="13"/>
      <c r="L10" s="13"/>
      <c r="M10" s="13"/>
      <c r="N10" s="13"/>
      <c r="O10" s="13"/>
      <c r="P10" s="13"/>
      <c r="Q10" s="13"/>
      <c r="R10" s="13"/>
      <c r="S10" s="14">
        <f t="shared" si="0"/>
        <v>0</v>
      </c>
      <c r="T10" s="14">
        <f t="shared" si="1"/>
        <v>0</v>
      </c>
      <c r="U10" s="14">
        <f t="shared" si="2"/>
        <v>0</v>
      </c>
      <c r="V10" s="14">
        <f t="shared" si="3"/>
        <v>0</v>
      </c>
      <c r="W10" s="14">
        <f t="shared" si="4"/>
        <v>1</v>
      </c>
      <c r="X10" s="15">
        <f t="shared" si="5"/>
        <v>0</v>
      </c>
      <c r="Y10" s="16" t="s">
        <v>935</v>
      </c>
    </row>
    <row r="11" spans="1:25" ht="30" customHeight="1">
      <c r="A11" s="11">
        <v>9</v>
      </c>
      <c r="B11" s="45" t="s">
        <v>255</v>
      </c>
      <c r="C11" s="46" t="s">
        <v>597</v>
      </c>
      <c r="D11" s="12"/>
      <c r="E11" s="13"/>
      <c r="F11" s="13"/>
      <c r="G11" s="13"/>
      <c r="H11" s="13"/>
      <c r="I11" s="13"/>
      <c r="J11" s="13"/>
      <c r="K11" s="13"/>
      <c r="L11" s="13"/>
      <c r="M11" s="13"/>
      <c r="N11" s="13"/>
      <c r="O11" s="13"/>
      <c r="P11" s="13"/>
      <c r="Q11" s="13"/>
      <c r="R11" s="13"/>
      <c r="S11" s="14">
        <f t="shared" si="0"/>
        <v>0</v>
      </c>
      <c r="T11" s="14">
        <f t="shared" si="1"/>
        <v>0</v>
      </c>
      <c r="U11" s="14">
        <f t="shared" si="2"/>
        <v>0</v>
      </c>
      <c r="V11" s="14">
        <f t="shared" si="3"/>
        <v>0</v>
      </c>
      <c r="W11" s="14">
        <f t="shared" si="4"/>
        <v>1</v>
      </c>
      <c r="X11" s="15">
        <f t="shared" si="5"/>
        <v>0</v>
      </c>
      <c r="Y11" s="16" t="s">
        <v>936</v>
      </c>
    </row>
    <row r="12" spans="1:25" ht="52.8">
      <c r="A12" s="11">
        <v>10</v>
      </c>
      <c r="B12" s="45" t="s">
        <v>256</v>
      </c>
      <c r="C12" s="46" t="s">
        <v>598</v>
      </c>
      <c r="D12" s="12"/>
      <c r="E12" s="13"/>
      <c r="F12" s="13"/>
      <c r="G12" s="13"/>
      <c r="H12" s="13"/>
      <c r="I12" s="13"/>
      <c r="J12" s="13"/>
      <c r="K12" s="13"/>
      <c r="L12" s="13"/>
      <c r="M12" s="13"/>
      <c r="N12" s="13"/>
      <c r="O12" s="13"/>
      <c r="P12" s="13"/>
      <c r="Q12" s="13"/>
      <c r="R12" s="13"/>
      <c r="S12" s="14">
        <f t="shared" si="0"/>
        <v>0</v>
      </c>
      <c r="T12" s="14">
        <f t="shared" si="1"/>
        <v>0</v>
      </c>
      <c r="U12" s="14">
        <f t="shared" si="2"/>
        <v>0</v>
      </c>
      <c r="V12" s="14">
        <f t="shared" si="3"/>
        <v>0</v>
      </c>
      <c r="W12" s="14">
        <f t="shared" si="4"/>
        <v>1</v>
      </c>
      <c r="X12" s="15">
        <f t="shared" si="5"/>
        <v>0</v>
      </c>
      <c r="Y12" s="16" t="s">
        <v>937</v>
      </c>
    </row>
    <row r="13" spans="1:25" ht="30" customHeight="1">
      <c r="A13" s="11">
        <v>11</v>
      </c>
      <c r="B13" s="45" t="s">
        <v>257</v>
      </c>
      <c r="C13" s="46" t="s">
        <v>599</v>
      </c>
      <c r="D13" s="12"/>
      <c r="E13" s="13"/>
      <c r="F13" s="13"/>
      <c r="G13" s="13"/>
      <c r="H13" s="13"/>
      <c r="I13" s="13"/>
      <c r="J13" s="13"/>
      <c r="K13" s="13"/>
      <c r="L13" s="13"/>
      <c r="M13" s="13"/>
      <c r="N13" s="13"/>
      <c r="O13" s="13"/>
      <c r="P13" s="13"/>
      <c r="Q13" s="13"/>
      <c r="R13" s="13"/>
      <c r="S13" s="14">
        <f t="shared" si="0"/>
        <v>0</v>
      </c>
      <c r="T13" s="14">
        <f t="shared" si="1"/>
        <v>0</v>
      </c>
      <c r="U13" s="14">
        <f t="shared" si="2"/>
        <v>0</v>
      </c>
      <c r="V13" s="14">
        <f t="shared" si="3"/>
        <v>0</v>
      </c>
      <c r="W13" s="14">
        <f t="shared" si="4"/>
        <v>1</v>
      </c>
      <c r="X13" s="15">
        <f t="shared" si="5"/>
        <v>0</v>
      </c>
      <c r="Y13" s="16"/>
    </row>
    <row r="14" spans="1:25" ht="30" customHeight="1">
      <c r="A14" s="11">
        <v>12</v>
      </c>
      <c r="B14" s="45" t="s">
        <v>258</v>
      </c>
      <c r="C14" s="46" t="s">
        <v>600</v>
      </c>
      <c r="D14" s="12"/>
      <c r="E14" s="13"/>
      <c r="F14" s="13"/>
      <c r="G14" s="13"/>
      <c r="H14" s="13"/>
      <c r="I14" s="13"/>
      <c r="J14" s="13"/>
      <c r="K14" s="13"/>
      <c r="L14" s="13"/>
      <c r="M14" s="13"/>
      <c r="N14" s="13"/>
      <c r="O14" s="13"/>
      <c r="P14" s="13"/>
      <c r="Q14" s="13"/>
      <c r="R14" s="13"/>
      <c r="S14" s="14">
        <f t="shared" si="0"/>
        <v>0</v>
      </c>
      <c r="T14" s="14">
        <f t="shared" si="1"/>
        <v>0</v>
      </c>
      <c r="U14" s="14">
        <f t="shared" si="2"/>
        <v>0</v>
      </c>
      <c r="V14" s="14">
        <f t="shared" si="3"/>
        <v>0</v>
      </c>
      <c r="W14" s="14">
        <f t="shared" si="4"/>
        <v>1</v>
      </c>
      <c r="X14" s="15">
        <f t="shared" si="5"/>
        <v>0</v>
      </c>
      <c r="Y14" s="16" t="s">
        <v>938</v>
      </c>
    </row>
    <row r="15" spans="1:25" ht="30" customHeight="1">
      <c r="A15" s="11">
        <v>13</v>
      </c>
      <c r="B15" s="45" t="s">
        <v>259</v>
      </c>
      <c r="C15" s="46" t="s">
        <v>601</v>
      </c>
      <c r="D15" s="12"/>
      <c r="E15" s="13"/>
      <c r="F15" s="13"/>
      <c r="G15" s="13"/>
      <c r="H15" s="13"/>
      <c r="I15" s="13"/>
      <c r="J15" s="13"/>
      <c r="K15" s="13"/>
      <c r="L15" s="13"/>
      <c r="M15" s="13"/>
      <c r="N15" s="13"/>
      <c r="O15" s="13"/>
      <c r="P15" s="13"/>
      <c r="Q15" s="13"/>
      <c r="R15" s="13"/>
      <c r="S15" s="14">
        <f t="shared" si="0"/>
        <v>0</v>
      </c>
      <c r="T15" s="14">
        <f t="shared" si="1"/>
        <v>0</v>
      </c>
      <c r="U15" s="14">
        <f t="shared" si="2"/>
        <v>0</v>
      </c>
      <c r="V15" s="14">
        <f t="shared" si="3"/>
        <v>0</v>
      </c>
      <c r="W15" s="14">
        <f t="shared" si="4"/>
        <v>1</v>
      </c>
      <c r="X15" s="15">
        <f t="shared" si="5"/>
        <v>0</v>
      </c>
      <c r="Y15" s="16" t="s">
        <v>931</v>
      </c>
    </row>
    <row r="16" spans="1:25" ht="30" customHeight="1">
      <c r="A16" s="11">
        <v>14</v>
      </c>
      <c r="B16" s="45" t="s">
        <v>260</v>
      </c>
      <c r="C16" s="46" t="s">
        <v>602</v>
      </c>
      <c r="D16" s="12"/>
      <c r="E16" s="13"/>
      <c r="F16" s="13"/>
      <c r="G16" s="13"/>
      <c r="H16" s="13"/>
      <c r="I16" s="13"/>
      <c r="J16" s="13"/>
      <c r="K16" s="13"/>
      <c r="L16" s="13"/>
      <c r="M16" s="13"/>
      <c r="N16" s="13"/>
      <c r="O16" s="13"/>
      <c r="P16" s="13"/>
      <c r="Q16" s="13"/>
      <c r="R16" s="13"/>
      <c r="S16" s="14">
        <f t="shared" si="0"/>
        <v>0</v>
      </c>
      <c r="T16" s="14">
        <f t="shared" si="1"/>
        <v>0</v>
      </c>
      <c r="U16" s="14">
        <f t="shared" si="2"/>
        <v>0</v>
      </c>
      <c r="V16" s="14">
        <f t="shared" si="3"/>
        <v>0</v>
      </c>
      <c r="W16" s="14">
        <f t="shared" si="4"/>
        <v>1</v>
      </c>
      <c r="X16" s="15">
        <f t="shared" si="5"/>
        <v>0</v>
      </c>
      <c r="Y16" s="16" t="s">
        <v>939</v>
      </c>
    </row>
    <row r="17" spans="1:25" ht="30" customHeight="1">
      <c r="A17" s="11">
        <v>15</v>
      </c>
      <c r="B17" s="45" t="s">
        <v>261</v>
      </c>
      <c r="C17" s="46" t="s">
        <v>603</v>
      </c>
      <c r="D17" s="12"/>
      <c r="E17" s="13"/>
      <c r="F17" s="13"/>
      <c r="G17" s="13"/>
      <c r="H17" s="13"/>
      <c r="I17" s="13"/>
      <c r="J17" s="13"/>
      <c r="K17" s="13"/>
      <c r="L17" s="13"/>
      <c r="M17" s="13"/>
      <c r="N17" s="13"/>
      <c r="O17" s="13"/>
      <c r="P17" s="13"/>
      <c r="Q17" s="13"/>
      <c r="R17" s="13"/>
      <c r="S17" s="14">
        <f t="shared" si="0"/>
        <v>0</v>
      </c>
      <c r="T17" s="14">
        <f t="shared" si="1"/>
        <v>0</v>
      </c>
      <c r="U17" s="14">
        <f t="shared" si="2"/>
        <v>0</v>
      </c>
      <c r="V17" s="14">
        <f t="shared" si="3"/>
        <v>0</v>
      </c>
      <c r="W17" s="14">
        <f t="shared" si="4"/>
        <v>1</v>
      </c>
      <c r="X17" s="15">
        <f t="shared" si="5"/>
        <v>0</v>
      </c>
      <c r="Y17" s="16"/>
    </row>
    <row r="18" spans="1:25" ht="30" customHeight="1">
      <c r="A18" s="11">
        <v>16</v>
      </c>
      <c r="B18" s="45" t="s">
        <v>262</v>
      </c>
      <c r="C18" s="46" t="s">
        <v>604</v>
      </c>
      <c r="D18" s="12"/>
      <c r="E18" s="13"/>
      <c r="F18" s="13"/>
      <c r="G18" s="13"/>
      <c r="H18" s="13"/>
      <c r="I18" s="13"/>
      <c r="J18" s="13"/>
      <c r="K18" s="13"/>
      <c r="L18" s="13"/>
      <c r="M18" s="13"/>
      <c r="N18" s="13"/>
      <c r="O18" s="13"/>
      <c r="P18" s="13"/>
      <c r="Q18" s="13"/>
      <c r="R18" s="13"/>
      <c r="S18" s="14">
        <f t="shared" si="0"/>
        <v>0</v>
      </c>
      <c r="T18" s="14">
        <f t="shared" si="1"/>
        <v>0</v>
      </c>
      <c r="U18" s="14">
        <f t="shared" si="2"/>
        <v>0</v>
      </c>
      <c r="V18" s="14">
        <f t="shared" si="3"/>
        <v>0</v>
      </c>
      <c r="W18" s="14">
        <f t="shared" si="4"/>
        <v>1</v>
      </c>
      <c r="X18" s="15">
        <f t="shared" si="5"/>
        <v>0</v>
      </c>
      <c r="Y18" s="16"/>
    </row>
    <row r="19" spans="1:25" ht="30" customHeight="1">
      <c r="A19" s="11">
        <v>17</v>
      </c>
      <c r="B19" s="45" t="s">
        <v>263</v>
      </c>
      <c r="C19" s="46" t="s">
        <v>605</v>
      </c>
      <c r="D19" s="12"/>
      <c r="E19" s="13"/>
      <c r="F19" s="13"/>
      <c r="G19" s="13"/>
      <c r="H19" s="13"/>
      <c r="I19" s="13"/>
      <c r="J19" s="13"/>
      <c r="K19" s="13"/>
      <c r="L19" s="13"/>
      <c r="M19" s="13"/>
      <c r="N19" s="13"/>
      <c r="O19" s="13"/>
      <c r="P19" s="13"/>
      <c r="Q19" s="13"/>
      <c r="R19" s="13"/>
      <c r="S19" s="14">
        <f t="shared" si="0"/>
        <v>0</v>
      </c>
      <c r="T19" s="14">
        <f t="shared" si="1"/>
        <v>0</v>
      </c>
      <c r="U19" s="14">
        <f t="shared" si="2"/>
        <v>0</v>
      </c>
      <c r="V19" s="14">
        <f t="shared" si="3"/>
        <v>0</v>
      </c>
      <c r="W19" s="14">
        <f t="shared" si="4"/>
        <v>1</v>
      </c>
      <c r="X19" s="15">
        <f t="shared" si="5"/>
        <v>0</v>
      </c>
      <c r="Y19" s="16" t="s">
        <v>932</v>
      </c>
    </row>
    <row r="20" spans="1:25" ht="30" customHeight="1">
      <c r="A20" s="11">
        <v>18</v>
      </c>
      <c r="B20" s="45" t="s">
        <v>264</v>
      </c>
      <c r="C20" s="46" t="s">
        <v>606</v>
      </c>
      <c r="D20" s="12"/>
      <c r="E20" s="13"/>
      <c r="F20" s="13"/>
      <c r="G20" s="13"/>
      <c r="H20" s="13"/>
      <c r="I20" s="13"/>
      <c r="J20" s="13"/>
      <c r="K20" s="13"/>
      <c r="L20" s="13"/>
      <c r="M20" s="13"/>
      <c r="N20" s="13"/>
      <c r="O20" s="13"/>
      <c r="P20" s="13"/>
      <c r="Q20" s="13"/>
      <c r="R20" s="13"/>
      <c r="S20" s="14">
        <f t="shared" si="0"/>
        <v>0</v>
      </c>
      <c r="T20" s="14">
        <f t="shared" si="1"/>
        <v>0</v>
      </c>
      <c r="U20" s="14">
        <f t="shared" si="2"/>
        <v>0</v>
      </c>
      <c r="V20" s="14">
        <f t="shared" si="3"/>
        <v>0</v>
      </c>
      <c r="W20" s="14">
        <f t="shared" si="4"/>
        <v>1</v>
      </c>
      <c r="X20" s="15">
        <f t="shared" si="5"/>
        <v>0</v>
      </c>
      <c r="Y20" s="16"/>
    </row>
    <row r="21" spans="1:25" ht="30" customHeight="1">
      <c r="A21" s="11">
        <v>19</v>
      </c>
      <c r="B21" s="45" t="s">
        <v>265</v>
      </c>
      <c r="C21" s="46" t="s">
        <v>607</v>
      </c>
      <c r="D21" s="12"/>
      <c r="E21" s="13"/>
      <c r="F21" s="13"/>
      <c r="G21" s="13"/>
      <c r="H21" s="13"/>
      <c r="I21" s="13"/>
      <c r="J21" s="13"/>
      <c r="K21" s="13"/>
      <c r="L21" s="13"/>
      <c r="M21" s="13"/>
      <c r="N21" s="13"/>
      <c r="O21" s="13"/>
      <c r="P21" s="13"/>
      <c r="Q21" s="13"/>
      <c r="R21" s="13"/>
      <c r="S21" s="14">
        <f t="shared" si="0"/>
        <v>0</v>
      </c>
      <c r="T21" s="14">
        <f t="shared" si="1"/>
        <v>0</v>
      </c>
      <c r="U21" s="14">
        <f t="shared" si="2"/>
        <v>0</v>
      </c>
      <c r="V21" s="14">
        <f t="shared" si="3"/>
        <v>0</v>
      </c>
      <c r="W21" s="14">
        <f t="shared" si="4"/>
        <v>1</v>
      </c>
      <c r="X21" s="15">
        <f t="shared" si="5"/>
        <v>0</v>
      </c>
      <c r="Y21" s="16" t="s">
        <v>929</v>
      </c>
    </row>
    <row r="22" spans="1:25" ht="52.8">
      <c r="A22" s="11">
        <v>20</v>
      </c>
      <c r="B22" s="45" t="s">
        <v>266</v>
      </c>
      <c r="C22" s="46" t="s">
        <v>608</v>
      </c>
      <c r="D22" s="12"/>
      <c r="E22" s="13"/>
      <c r="F22" s="13"/>
      <c r="G22" s="13"/>
      <c r="H22" s="13"/>
      <c r="I22" s="13"/>
      <c r="J22" s="13"/>
      <c r="K22" s="13"/>
      <c r="L22" s="13"/>
      <c r="M22" s="13"/>
      <c r="N22" s="13"/>
      <c r="O22" s="13"/>
      <c r="P22" s="13"/>
      <c r="Q22" s="13"/>
      <c r="R22" s="13"/>
      <c r="S22" s="14">
        <f t="shared" si="0"/>
        <v>0</v>
      </c>
      <c r="T22" s="14">
        <f t="shared" si="1"/>
        <v>0</v>
      </c>
      <c r="U22" s="14">
        <f t="shared" si="2"/>
        <v>0</v>
      </c>
      <c r="V22" s="14">
        <f t="shared" si="3"/>
        <v>0</v>
      </c>
      <c r="W22" s="14">
        <f t="shared" si="4"/>
        <v>1</v>
      </c>
      <c r="X22" s="15">
        <f t="shared" si="5"/>
        <v>0</v>
      </c>
      <c r="Y22" s="16" t="s">
        <v>969</v>
      </c>
    </row>
    <row r="23" spans="1:25" ht="30" customHeight="1">
      <c r="A23" s="11">
        <v>21</v>
      </c>
      <c r="B23" s="45" t="s">
        <v>267</v>
      </c>
      <c r="C23" s="46" t="s">
        <v>609</v>
      </c>
      <c r="D23" s="12"/>
      <c r="E23" s="13"/>
      <c r="F23" s="13"/>
      <c r="G23" s="13"/>
      <c r="H23" s="13"/>
      <c r="I23" s="13"/>
      <c r="J23" s="13"/>
      <c r="K23" s="13"/>
      <c r="L23" s="13"/>
      <c r="M23" s="13"/>
      <c r="N23" s="13"/>
      <c r="O23" s="13"/>
      <c r="P23" s="13"/>
      <c r="Q23" s="13"/>
      <c r="R23" s="13"/>
      <c r="S23" s="14">
        <f t="shared" si="0"/>
        <v>0</v>
      </c>
      <c r="T23" s="14">
        <f t="shared" si="1"/>
        <v>0</v>
      </c>
      <c r="U23" s="14">
        <f t="shared" si="2"/>
        <v>0</v>
      </c>
      <c r="V23" s="14">
        <f t="shared" si="3"/>
        <v>0</v>
      </c>
      <c r="W23" s="14">
        <f t="shared" si="4"/>
        <v>1</v>
      </c>
      <c r="X23" s="15">
        <f t="shared" si="5"/>
        <v>0</v>
      </c>
      <c r="Y23" s="16"/>
    </row>
    <row r="24" spans="1:25" ht="30" customHeight="1">
      <c r="A24" s="11">
        <v>22</v>
      </c>
      <c r="B24" s="45" t="s">
        <v>268</v>
      </c>
      <c r="C24" s="46" t="s">
        <v>610</v>
      </c>
      <c r="D24" s="12"/>
      <c r="E24" s="13"/>
      <c r="F24" s="13"/>
      <c r="G24" s="13"/>
      <c r="H24" s="13"/>
      <c r="I24" s="13"/>
      <c r="J24" s="13"/>
      <c r="K24" s="13"/>
      <c r="L24" s="13"/>
      <c r="M24" s="13"/>
      <c r="N24" s="13"/>
      <c r="O24" s="13"/>
      <c r="P24" s="13"/>
      <c r="Q24" s="13"/>
      <c r="R24" s="13"/>
      <c r="S24" s="14">
        <f t="shared" si="0"/>
        <v>0</v>
      </c>
      <c r="T24" s="14">
        <f t="shared" si="1"/>
        <v>0</v>
      </c>
      <c r="U24" s="14">
        <f t="shared" si="2"/>
        <v>0</v>
      </c>
      <c r="V24" s="14">
        <f t="shared" si="3"/>
        <v>0</v>
      </c>
      <c r="W24" s="14">
        <f t="shared" si="4"/>
        <v>1</v>
      </c>
      <c r="X24" s="15">
        <f t="shared" si="5"/>
        <v>0</v>
      </c>
      <c r="Y24" s="16"/>
    </row>
    <row r="25" spans="1:25" ht="30" customHeight="1">
      <c r="A25" s="11">
        <v>23</v>
      </c>
      <c r="B25" s="45" t="s">
        <v>269</v>
      </c>
      <c r="C25" s="46" t="s">
        <v>611</v>
      </c>
      <c r="D25" s="12"/>
      <c r="E25" s="13"/>
      <c r="F25" s="13"/>
      <c r="G25" s="13"/>
      <c r="H25" s="13"/>
      <c r="I25" s="13"/>
      <c r="J25" s="13"/>
      <c r="K25" s="13"/>
      <c r="L25" s="13"/>
      <c r="M25" s="13"/>
      <c r="N25" s="13"/>
      <c r="O25" s="13"/>
      <c r="P25" s="13"/>
      <c r="Q25" s="13"/>
      <c r="R25" s="13"/>
      <c r="S25" s="14">
        <f t="shared" si="0"/>
        <v>0</v>
      </c>
      <c r="T25" s="14">
        <f t="shared" si="1"/>
        <v>0</v>
      </c>
      <c r="U25" s="14">
        <f t="shared" si="2"/>
        <v>0</v>
      </c>
      <c r="V25" s="14">
        <f t="shared" si="3"/>
        <v>0</v>
      </c>
      <c r="W25" s="14">
        <f t="shared" si="4"/>
        <v>1</v>
      </c>
      <c r="X25" s="15">
        <f t="shared" si="5"/>
        <v>0</v>
      </c>
      <c r="Y25" s="16"/>
    </row>
    <row r="26" spans="1:25" ht="30" customHeight="1">
      <c r="A26" s="11">
        <v>24</v>
      </c>
      <c r="B26" s="45" t="s">
        <v>270</v>
      </c>
      <c r="C26" s="46" t="s">
        <v>612</v>
      </c>
      <c r="D26" s="12"/>
      <c r="E26" s="13"/>
      <c r="F26" s="13"/>
      <c r="G26" s="13"/>
      <c r="H26" s="13"/>
      <c r="I26" s="13"/>
      <c r="J26" s="13"/>
      <c r="K26" s="13"/>
      <c r="L26" s="13"/>
      <c r="M26" s="13"/>
      <c r="N26" s="13"/>
      <c r="O26" s="13"/>
      <c r="P26" s="13"/>
      <c r="Q26" s="13"/>
      <c r="R26" s="13"/>
      <c r="S26" s="14">
        <f t="shared" si="0"/>
        <v>0</v>
      </c>
      <c r="T26" s="14">
        <f t="shared" si="1"/>
        <v>0</v>
      </c>
      <c r="U26" s="14">
        <f t="shared" si="2"/>
        <v>0</v>
      </c>
      <c r="V26" s="14">
        <f t="shared" si="3"/>
        <v>0</v>
      </c>
      <c r="W26" s="14">
        <f t="shared" si="4"/>
        <v>1</v>
      </c>
      <c r="X26" s="15">
        <f t="shared" si="5"/>
        <v>0</v>
      </c>
      <c r="Y26" s="16" t="s">
        <v>930</v>
      </c>
    </row>
    <row r="27" spans="1:25" ht="52.8">
      <c r="A27" s="11">
        <v>25</v>
      </c>
      <c r="B27" s="45" t="s">
        <v>271</v>
      </c>
      <c r="C27" s="46" t="s">
        <v>613</v>
      </c>
      <c r="D27" s="12"/>
      <c r="E27" s="13"/>
      <c r="F27" s="13"/>
      <c r="G27" s="13"/>
      <c r="H27" s="13"/>
      <c r="I27" s="13"/>
      <c r="J27" s="13"/>
      <c r="K27" s="13"/>
      <c r="L27" s="13"/>
      <c r="M27" s="13"/>
      <c r="N27" s="13"/>
      <c r="O27" s="13"/>
      <c r="P27" s="13"/>
      <c r="Q27" s="13"/>
      <c r="R27" s="13"/>
      <c r="S27" s="14">
        <f t="shared" si="0"/>
        <v>0</v>
      </c>
      <c r="T27" s="14">
        <f t="shared" si="1"/>
        <v>0</v>
      </c>
      <c r="U27" s="14">
        <f t="shared" si="2"/>
        <v>0</v>
      </c>
      <c r="V27" s="14">
        <f t="shared" si="3"/>
        <v>0</v>
      </c>
      <c r="W27" s="14">
        <f t="shared" si="4"/>
        <v>1</v>
      </c>
      <c r="X27" s="15">
        <f t="shared" si="5"/>
        <v>0</v>
      </c>
      <c r="Y27" s="16" t="s">
        <v>940</v>
      </c>
    </row>
    <row r="28" spans="1:25" ht="52.8">
      <c r="A28" s="11">
        <v>26</v>
      </c>
      <c r="B28" s="46" t="s">
        <v>272</v>
      </c>
      <c r="C28" s="46" t="s">
        <v>614</v>
      </c>
      <c r="D28" s="12"/>
      <c r="E28" s="13"/>
      <c r="F28" s="13"/>
      <c r="G28" s="13"/>
      <c r="H28" s="13"/>
      <c r="I28" s="13"/>
      <c r="J28" s="13"/>
      <c r="K28" s="13"/>
      <c r="L28" s="13"/>
      <c r="M28" s="13"/>
      <c r="N28" s="13"/>
      <c r="O28" s="13"/>
      <c r="P28" s="13"/>
      <c r="Q28" s="13"/>
      <c r="R28" s="13"/>
      <c r="S28" s="14">
        <f t="shared" si="0"/>
        <v>0</v>
      </c>
      <c r="T28" s="14">
        <f t="shared" si="1"/>
        <v>0</v>
      </c>
      <c r="U28" s="14">
        <f t="shared" si="2"/>
        <v>0</v>
      </c>
      <c r="V28" s="14">
        <f t="shared" si="3"/>
        <v>0</v>
      </c>
      <c r="W28" s="14">
        <f t="shared" si="4"/>
        <v>1</v>
      </c>
      <c r="X28" s="15">
        <f t="shared" si="5"/>
        <v>0</v>
      </c>
      <c r="Y28" s="16"/>
    </row>
    <row r="29" spans="1:25" ht="52.8">
      <c r="A29" s="11">
        <v>27</v>
      </c>
      <c r="B29" s="46" t="s">
        <v>273</v>
      </c>
      <c r="C29" s="46" t="s">
        <v>615</v>
      </c>
      <c r="D29" s="12"/>
      <c r="E29" s="13"/>
      <c r="F29" s="13"/>
      <c r="G29" s="13"/>
      <c r="H29" s="13"/>
      <c r="I29" s="13"/>
      <c r="J29" s="13"/>
      <c r="K29" s="13"/>
      <c r="L29" s="13"/>
      <c r="M29" s="13"/>
      <c r="N29" s="13"/>
      <c r="O29" s="13"/>
      <c r="P29" s="13"/>
      <c r="Q29" s="13"/>
      <c r="R29" s="13"/>
      <c r="S29" s="14">
        <f t="shared" si="0"/>
        <v>0</v>
      </c>
      <c r="T29" s="14">
        <f t="shared" si="1"/>
        <v>0</v>
      </c>
      <c r="U29" s="14">
        <f t="shared" si="2"/>
        <v>0</v>
      </c>
      <c r="V29" s="14">
        <f t="shared" si="3"/>
        <v>0</v>
      </c>
      <c r="W29" s="14">
        <f t="shared" si="4"/>
        <v>1</v>
      </c>
      <c r="X29" s="15">
        <f t="shared" si="5"/>
        <v>0</v>
      </c>
      <c r="Y29" s="16"/>
    </row>
    <row r="30" spans="1:25" ht="30" customHeight="1">
      <c r="A30" s="11">
        <v>28</v>
      </c>
      <c r="B30" s="45" t="s">
        <v>274</v>
      </c>
      <c r="C30" s="46" t="s">
        <v>616</v>
      </c>
      <c r="D30" s="12"/>
      <c r="E30" s="13"/>
      <c r="F30" s="13"/>
      <c r="G30" s="13"/>
      <c r="H30" s="13"/>
      <c r="I30" s="13"/>
      <c r="J30" s="13"/>
      <c r="K30" s="13"/>
      <c r="L30" s="13"/>
      <c r="M30" s="13"/>
      <c r="N30" s="13"/>
      <c r="O30" s="13"/>
      <c r="P30" s="13"/>
      <c r="Q30" s="13"/>
      <c r="R30" s="13"/>
      <c r="S30" s="14">
        <f t="shared" si="0"/>
        <v>0</v>
      </c>
      <c r="T30" s="14">
        <f t="shared" si="1"/>
        <v>0</v>
      </c>
      <c r="U30" s="14">
        <f t="shared" si="2"/>
        <v>0</v>
      </c>
      <c r="V30" s="14">
        <f t="shared" si="3"/>
        <v>0</v>
      </c>
      <c r="W30" s="14">
        <f t="shared" si="4"/>
        <v>1</v>
      </c>
      <c r="X30" s="15">
        <f t="shared" si="5"/>
        <v>0</v>
      </c>
      <c r="Y30" s="16"/>
    </row>
    <row r="31" spans="1:25" ht="30" customHeight="1">
      <c r="A31" s="11">
        <v>29</v>
      </c>
      <c r="B31" s="45" t="s">
        <v>275</v>
      </c>
      <c r="C31" s="46" t="s">
        <v>617</v>
      </c>
      <c r="D31" s="12"/>
      <c r="E31" s="13"/>
      <c r="F31" s="13"/>
      <c r="G31" s="13"/>
      <c r="H31" s="13"/>
      <c r="I31" s="13"/>
      <c r="J31" s="13"/>
      <c r="K31" s="13"/>
      <c r="L31" s="13"/>
      <c r="M31" s="13"/>
      <c r="N31" s="13"/>
      <c r="O31" s="13"/>
      <c r="P31" s="13"/>
      <c r="Q31" s="13"/>
      <c r="R31" s="13"/>
      <c r="S31" s="14">
        <f t="shared" si="0"/>
        <v>0</v>
      </c>
      <c r="T31" s="14">
        <f t="shared" si="1"/>
        <v>0</v>
      </c>
      <c r="U31" s="14">
        <f t="shared" si="2"/>
        <v>0</v>
      </c>
      <c r="V31" s="14">
        <f t="shared" si="3"/>
        <v>0</v>
      </c>
      <c r="W31" s="14">
        <f t="shared" si="4"/>
        <v>1</v>
      </c>
      <c r="X31" s="15">
        <f t="shared" si="5"/>
        <v>0</v>
      </c>
      <c r="Y31" s="16" t="s">
        <v>941</v>
      </c>
    </row>
    <row r="32" spans="1:25" ht="30" customHeight="1">
      <c r="A32" s="11">
        <v>30</v>
      </c>
      <c r="B32" s="45" t="s">
        <v>276</v>
      </c>
      <c r="C32" s="46" t="s">
        <v>618</v>
      </c>
      <c r="D32" s="12"/>
      <c r="E32" s="13"/>
      <c r="F32" s="13"/>
      <c r="G32" s="13"/>
      <c r="H32" s="13"/>
      <c r="I32" s="13"/>
      <c r="J32" s="13"/>
      <c r="K32" s="13"/>
      <c r="L32" s="13"/>
      <c r="M32" s="13"/>
      <c r="N32" s="13"/>
      <c r="O32" s="13"/>
      <c r="P32" s="13"/>
      <c r="Q32" s="13"/>
      <c r="R32" s="13"/>
      <c r="S32" s="14">
        <f t="shared" si="0"/>
        <v>0</v>
      </c>
      <c r="T32" s="14">
        <f t="shared" si="1"/>
        <v>0</v>
      </c>
      <c r="U32" s="14">
        <f t="shared" si="2"/>
        <v>0</v>
      </c>
      <c r="V32" s="14">
        <f t="shared" si="3"/>
        <v>0</v>
      </c>
      <c r="W32" s="14">
        <f t="shared" si="4"/>
        <v>1</v>
      </c>
      <c r="X32" s="15">
        <f t="shared" si="5"/>
        <v>0</v>
      </c>
      <c r="Y32" s="16"/>
    </row>
    <row r="33" spans="1:25" ht="30" customHeight="1">
      <c r="A33" s="11">
        <v>31</v>
      </c>
      <c r="B33" s="45" t="s">
        <v>277</v>
      </c>
      <c r="C33" s="46" t="s">
        <v>619</v>
      </c>
      <c r="D33" s="12"/>
      <c r="E33" s="13"/>
      <c r="F33" s="13"/>
      <c r="G33" s="13"/>
      <c r="H33" s="13"/>
      <c r="I33" s="13"/>
      <c r="J33" s="13"/>
      <c r="K33" s="13"/>
      <c r="L33" s="13"/>
      <c r="M33" s="13"/>
      <c r="N33" s="13"/>
      <c r="O33" s="13"/>
      <c r="P33" s="13"/>
      <c r="Q33" s="13"/>
      <c r="R33" s="13"/>
      <c r="S33" s="14">
        <f t="shared" si="0"/>
        <v>0</v>
      </c>
      <c r="T33" s="14">
        <f t="shared" si="1"/>
        <v>0</v>
      </c>
      <c r="U33" s="14">
        <f t="shared" si="2"/>
        <v>0</v>
      </c>
      <c r="V33" s="14">
        <f t="shared" si="3"/>
        <v>0</v>
      </c>
      <c r="W33" s="14">
        <f t="shared" si="4"/>
        <v>1</v>
      </c>
      <c r="X33" s="15">
        <f t="shared" si="5"/>
        <v>0</v>
      </c>
      <c r="Y33" s="16" t="s">
        <v>942</v>
      </c>
    </row>
    <row r="34" spans="1:25" ht="30" customHeight="1">
      <c r="A34" s="11">
        <v>32</v>
      </c>
      <c r="B34" s="45" t="s">
        <v>278</v>
      </c>
      <c r="C34" s="46" t="s">
        <v>620</v>
      </c>
      <c r="D34" s="12"/>
      <c r="E34" s="13"/>
      <c r="F34" s="13"/>
      <c r="G34" s="13"/>
      <c r="H34" s="13"/>
      <c r="I34" s="13"/>
      <c r="J34" s="13"/>
      <c r="K34" s="13"/>
      <c r="L34" s="13"/>
      <c r="M34" s="13"/>
      <c r="N34" s="13"/>
      <c r="O34" s="13"/>
      <c r="P34" s="13"/>
      <c r="Q34" s="13"/>
      <c r="R34" s="13"/>
      <c r="S34" s="14">
        <f t="shared" si="0"/>
        <v>0</v>
      </c>
      <c r="T34" s="14">
        <f t="shared" si="1"/>
        <v>0</v>
      </c>
      <c r="U34" s="14">
        <f t="shared" si="2"/>
        <v>0</v>
      </c>
      <c r="V34" s="14">
        <f t="shared" si="3"/>
        <v>0</v>
      </c>
      <c r="W34" s="14">
        <f t="shared" si="4"/>
        <v>1</v>
      </c>
      <c r="X34" s="15">
        <f t="shared" si="5"/>
        <v>0</v>
      </c>
      <c r="Y34" s="16"/>
    </row>
    <row r="35" spans="1:25" ht="30" customHeight="1">
      <c r="A35" s="11">
        <v>33</v>
      </c>
      <c r="B35" s="45" t="s">
        <v>279</v>
      </c>
      <c r="C35" s="46" t="s">
        <v>621</v>
      </c>
      <c r="D35" s="12"/>
      <c r="E35" s="13"/>
      <c r="F35" s="13"/>
      <c r="G35" s="13"/>
      <c r="H35" s="13"/>
      <c r="I35" s="13"/>
      <c r="J35" s="13"/>
      <c r="K35" s="13"/>
      <c r="L35" s="13"/>
      <c r="M35" s="13"/>
      <c r="N35" s="13"/>
      <c r="O35" s="13"/>
      <c r="P35" s="13"/>
      <c r="Q35" s="13"/>
      <c r="R35" s="13"/>
      <c r="S35" s="14">
        <f t="shared" ref="S35:S66" si="6">IF(SUM(E35:R35)&gt;0,1,0)</f>
        <v>0</v>
      </c>
      <c r="T35" s="14">
        <f t="shared" ref="T35:T66" si="7">IF(MAX(G35,H35,I35,J35,K35,M35,N35)&gt;0,1,0)</f>
        <v>0</v>
      </c>
      <c r="U35" s="14">
        <f t="shared" ref="U35:U66" si="8">IF(MAX(E35,F35,L35,O35,Q35)&gt;0,1,0)</f>
        <v>0</v>
      </c>
      <c r="V35" s="14">
        <f t="shared" ref="V35:V66" si="9">IF(P35&gt;0,1,0)</f>
        <v>0</v>
      </c>
      <c r="W35" s="14">
        <f t="shared" si="4"/>
        <v>1</v>
      </c>
      <c r="X35" s="15">
        <f t="shared" ref="X35:X66" si="10">SUMPRODUCT((E35:R35=1)*0.3)+SUMPRODUCT((E35:R35=2)*0.7)+SUMPRODUCT((E35:R35=3)*1.5)</f>
        <v>0</v>
      </c>
      <c r="Y35" s="16"/>
    </row>
    <row r="36" spans="1:25" ht="30" customHeight="1">
      <c r="A36" s="11">
        <v>34</v>
      </c>
      <c r="B36" s="45" t="s">
        <v>280</v>
      </c>
      <c r="C36" s="46" t="s">
        <v>622</v>
      </c>
      <c r="D36" s="12"/>
      <c r="E36" s="13"/>
      <c r="F36" s="13"/>
      <c r="G36" s="13"/>
      <c r="H36" s="13"/>
      <c r="I36" s="13"/>
      <c r="J36" s="13"/>
      <c r="K36" s="13"/>
      <c r="L36" s="13"/>
      <c r="M36" s="13"/>
      <c r="N36" s="13"/>
      <c r="O36" s="13"/>
      <c r="P36" s="13"/>
      <c r="Q36" s="13"/>
      <c r="R36" s="13"/>
      <c r="S36" s="14">
        <f t="shared" si="6"/>
        <v>0</v>
      </c>
      <c r="T36" s="14">
        <f t="shared" si="7"/>
        <v>0</v>
      </c>
      <c r="U36" s="14">
        <f t="shared" si="8"/>
        <v>0</v>
      </c>
      <c r="V36" s="14">
        <f t="shared" si="9"/>
        <v>0</v>
      </c>
      <c r="W36" s="14">
        <f t="shared" si="4"/>
        <v>1</v>
      </c>
      <c r="X36" s="15">
        <f t="shared" si="10"/>
        <v>0</v>
      </c>
      <c r="Y36" s="16" t="s">
        <v>966</v>
      </c>
    </row>
    <row r="37" spans="1:25" ht="52.8">
      <c r="A37" s="11">
        <v>35</v>
      </c>
      <c r="B37" s="45" t="s">
        <v>281</v>
      </c>
      <c r="C37" s="46" t="s">
        <v>623</v>
      </c>
      <c r="D37" s="12"/>
      <c r="E37" s="13"/>
      <c r="F37" s="13"/>
      <c r="G37" s="13"/>
      <c r="H37" s="13"/>
      <c r="I37" s="13"/>
      <c r="J37" s="13"/>
      <c r="K37" s="13"/>
      <c r="L37" s="13"/>
      <c r="M37" s="13"/>
      <c r="N37" s="13"/>
      <c r="O37" s="13"/>
      <c r="P37" s="13"/>
      <c r="Q37" s="13"/>
      <c r="R37" s="13"/>
      <c r="S37" s="14">
        <f t="shared" si="6"/>
        <v>0</v>
      </c>
      <c r="T37" s="14">
        <f t="shared" si="7"/>
        <v>0</v>
      </c>
      <c r="U37" s="14">
        <f t="shared" si="8"/>
        <v>0</v>
      </c>
      <c r="V37" s="14">
        <f t="shared" si="9"/>
        <v>0</v>
      </c>
      <c r="W37" s="14">
        <f t="shared" si="4"/>
        <v>1</v>
      </c>
      <c r="X37" s="15">
        <f t="shared" si="10"/>
        <v>0</v>
      </c>
      <c r="Y37" s="16" t="s">
        <v>943</v>
      </c>
    </row>
    <row r="38" spans="1:25" ht="30" customHeight="1">
      <c r="A38" s="11">
        <v>36</v>
      </c>
      <c r="B38" s="45" t="s">
        <v>282</v>
      </c>
      <c r="C38" s="46" t="s">
        <v>624</v>
      </c>
      <c r="D38" s="12"/>
      <c r="E38" s="13"/>
      <c r="F38" s="13"/>
      <c r="G38" s="13"/>
      <c r="H38" s="13"/>
      <c r="I38" s="13"/>
      <c r="J38" s="13"/>
      <c r="K38" s="13"/>
      <c r="L38" s="13"/>
      <c r="M38" s="13"/>
      <c r="N38" s="13"/>
      <c r="O38" s="13"/>
      <c r="P38" s="13"/>
      <c r="Q38" s="13"/>
      <c r="R38" s="13"/>
      <c r="S38" s="14">
        <f t="shared" si="6"/>
        <v>0</v>
      </c>
      <c r="T38" s="14">
        <f t="shared" si="7"/>
        <v>0</v>
      </c>
      <c r="U38" s="14">
        <f t="shared" si="8"/>
        <v>0</v>
      </c>
      <c r="V38" s="14">
        <f t="shared" si="9"/>
        <v>0</v>
      </c>
      <c r="W38" s="14">
        <f t="shared" si="4"/>
        <v>1</v>
      </c>
      <c r="X38" s="15">
        <f t="shared" si="10"/>
        <v>0</v>
      </c>
      <c r="Y38" s="16" t="s">
        <v>944</v>
      </c>
    </row>
    <row r="39" spans="1:25" ht="49.95" customHeight="1">
      <c r="A39" s="11">
        <v>37</v>
      </c>
      <c r="B39" s="45" t="s">
        <v>283</v>
      </c>
      <c r="C39" s="46" t="s">
        <v>625</v>
      </c>
      <c r="D39" s="12"/>
      <c r="E39" s="13"/>
      <c r="F39" s="13"/>
      <c r="G39" s="13"/>
      <c r="H39" s="13"/>
      <c r="I39" s="13"/>
      <c r="J39" s="13"/>
      <c r="K39" s="13"/>
      <c r="L39" s="13"/>
      <c r="M39" s="13"/>
      <c r="N39" s="13"/>
      <c r="O39" s="13"/>
      <c r="P39" s="13"/>
      <c r="Q39" s="13"/>
      <c r="R39" s="13"/>
      <c r="S39" s="14">
        <f t="shared" si="6"/>
        <v>0</v>
      </c>
      <c r="T39" s="14">
        <f t="shared" si="7"/>
        <v>0</v>
      </c>
      <c r="U39" s="14">
        <f t="shared" si="8"/>
        <v>0</v>
      </c>
      <c r="V39" s="14">
        <f t="shared" si="9"/>
        <v>0</v>
      </c>
      <c r="W39" s="14">
        <f t="shared" si="4"/>
        <v>1</v>
      </c>
      <c r="X39" s="15">
        <f t="shared" si="10"/>
        <v>0</v>
      </c>
      <c r="Y39" s="16"/>
    </row>
    <row r="40" spans="1:25" ht="30" customHeight="1">
      <c r="A40" s="11">
        <v>38</v>
      </c>
      <c r="B40" s="45" t="s">
        <v>284</v>
      </c>
      <c r="C40" s="46" t="s">
        <v>626</v>
      </c>
      <c r="D40" s="12"/>
      <c r="E40" s="13"/>
      <c r="F40" s="13"/>
      <c r="G40" s="13"/>
      <c r="H40" s="13"/>
      <c r="I40" s="13"/>
      <c r="J40" s="13"/>
      <c r="K40" s="13"/>
      <c r="L40" s="13"/>
      <c r="M40" s="13"/>
      <c r="N40" s="13"/>
      <c r="O40" s="13"/>
      <c r="P40" s="13"/>
      <c r="Q40" s="13"/>
      <c r="R40" s="13"/>
      <c r="S40" s="14">
        <f t="shared" si="6"/>
        <v>0</v>
      </c>
      <c r="T40" s="14">
        <f t="shared" si="7"/>
        <v>0</v>
      </c>
      <c r="U40" s="14">
        <f t="shared" si="8"/>
        <v>0</v>
      </c>
      <c r="V40" s="14">
        <f t="shared" si="9"/>
        <v>0</v>
      </c>
      <c r="W40" s="14">
        <f t="shared" si="4"/>
        <v>1</v>
      </c>
      <c r="X40" s="15">
        <f t="shared" si="10"/>
        <v>0</v>
      </c>
      <c r="Y40" s="16" t="s">
        <v>945</v>
      </c>
    </row>
    <row r="41" spans="1:25" ht="30" customHeight="1">
      <c r="A41" s="11">
        <v>39</v>
      </c>
      <c r="B41" s="45" t="s">
        <v>285</v>
      </c>
      <c r="C41" s="46" t="s">
        <v>627</v>
      </c>
      <c r="D41" s="12"/>
      <c r="E41" s="13"/>
      <c r="F41" s="13"/>
      <c r="G41" s="13"/>
      <c r="H41" s="13"/>
      <c r="I41" s="13"/>
      <c r="J41" s="13"/>
      <c r="K41" s="13"/>
      <c r="L41" s="13"/>
      <c r="M41" s="13"/>
      <c r="N41" s="13"/>
      <c r="O41" s="13"/>
      <c r="P41" s="13"/>
      <c r="Q41" s="13"/>
      <c r="R41" s="13"/>
      <c r="S41" s="14">
        <f t="shared" si="6"/>
        <v>0</v>
      </c>
      <c r="T41" s="14">
        <f t="shared" si="7"/>
        <v>0</v>
      </c>
      <c r="U41" s="14">
        <f t="shared" si="8"/>
        <v>0</v>
      </c>
      <c r="V41" s="14">
        <f t="shared" si="9"/>
        <v>0</v>
      </c>
      <c r="W41" s="14">
        <f t="shared" si="4"/>
        <v>1</v>
      </c>
      <c r="X41" s="15">
        <f t="shared" si="10"/>
        <v>0</v>
      </c>
      <c r="Y41" s="16"/>
    </row>
    <row r="42" spans="1:25" ht="30" customHeight="1">
      <c r="A42" s="11">
        <v>40</v>
      </c>
      <c r="B42" s="45" t="s">
        <v>286</v>
      </c>
      <c r="C42" s="46" t="s">
        <v>628</v>
      </c>
      <c r="D42" s="12"/>
      <c r="E42" s="13"/>
      <c r="F42" s="13"/>
      <c r="G42" s="13"/>
      <c r="H42" s="13"/>
      <c r="I42" s="13"/>
      <c r="J42" s="13"/>
      <c r="K42" s="13"/>
      <c r="L42" s="13"/>
      <c r="M42" s="13"/>
      <c r="N42" s="13"/>
      <c r="O42" s="13"/>
      <c r="P42" s="13"/>
      <c r="Q42" s="13"/>
      <c r="R42" s="13"/>
      <c r="S42" s="14">
        <f t="shared" si="6"/>
        <v>0</v>
      </c>
      <c r="T42" s="14">
        <f t="shared" si="7"/>
        <v>0</v>
      </c>
      <c r="U42" s="14">
        <f t="shared" si="8"/>
        <v>0</v>
      </c>
      <c r="V42" s="14">
        <f t="shared" si="9"/>
        <v>0</v>
      </c>
      <c r="W42" s="14">
        <f t="shared" si="4"/>
        <v>1</v>
      </c>
      <c r="X42" s="15">
        <f t="shared" si="10"/>
        <v>0</v>
      </c>
      <c r="Y42" s="16" t="s">
        <v>946</v>
      </c>
    </row>
    <row r="43" spans="1:25" ht="39.6">
      <c r="A43" s="11">
        <v>41</v>
      </c>
      <c r="B43" s="45" t="s">
        <v>287</v>
      </c>
      <c r="C43" s="46" t="s">
        <v>629</v>
      </c>
      <c r="D43" s="12"/>
      <c r="E43" s="13"/>
      <c r="F43" s="13"/>
      <c r="G43" s="13"/>
      <c r="H43" s="13"/>
      <c r="I43" s="13"/>
      <c r="J43" s="13"/>
      <c r="K43" s="13"/>
      <c r="L43" s="13"/>
      <c r="M43" s="13"/>
      <c r="N43" s="13"/>
      <c r="O43" s="13"/>
      <c r="P43" s="13"/>
      <c r="Q43" s="13"/>
      <c r="R43" s="13"/>
      <c r="S43" s="14">
        <f t="shared" si="6"/>
        <v>0</v>
      </c>
      <c r="T43" s="14">
        <f t="shared" si="7"/>
        <v>0</v>
      </c>
      <c r="U43" s="14">
        <f t="shared" si="8"/>
        <v>0</v>
      </c>
      <c r="V43" s="14">
        <f t="shared" si="9"/>
        <v>0</v>
      </c>
      <c r="W43" s="14">
        <f t="shared" si="4"/>
        <v>1</v>
      </c>
      <c r="X43" s="15">
        <f t="shared" si="10"/>
        <v>0</v>
      </c>
      <c r="Y43" s="16" t="s">
        <v>947</v>
      </c>
    </row>
    <row r="44" spans="1:25" ht="30" customHeight="1">
      <c r="A44" s="11">
        <v>42</v>
      </c>
      <c r="B44" s="45" t="s">
        <v>288</v>
      </c>
      <c r="C44" s="46" t="s">
        <v>630</v>
      </c>
      <c r="D44" s="12"/>
      <c r="E44" s="13"/>
      <c r="F44" s="13"/>
      <c r="G44" s="13"/>
      <c r="H44" s="13"/>
      <c r="I44" s="13"/>
      <c r="J44" s="13"/>
      <c r="K44" s="13"/>
      <c r="L44" s="13"/>
      <c r="M44" s="13"/>
      <c r="N44" s="13"/>
      <c r="O44" s="13"/>
      <c r="P44" s="13"/>
      <c r="Q44" s="13"/>
      <c r="R44" s="13"/>
      <c r="S44" s="14">
        <f t="shared" si="6"/>
        <v>0</v>
      </c>
      <c r="T44" s="14">
        <f t="shared" si="7"/>
        <v>0</v>
      </c>
      <c r="U44" s="14">
        <f t="shared" si="8"/>
        <v>0</v>
      </c>
      <c r="V44" s="14">
        <f t="shared" si="9"/>
        <v>0</v>
      </c>
      <c r="W44" s="14">
        <f t="shared" si="4"/>
        <v>1</v>
      </c>
      <c r="X44" s="15">
        <f t="shared" si="10"/>
        <v>0</v>
      </c>
      <c r="Y44" s="16"/>
    </row>
    <row r="45" spans="1:25" ht="30" customHeight="1">
      <c r="A45" s="11">
        <v>43</v>
      </c>
      <c r="B45" s="45" t="s">
        <v>289</v>
      </c>
      <c r="C45" s="48" t="s">
        <v>631</v>
      </c>
      <c r="D45" s="12"/>
      <c r="E45" s="13"/>
      <c r="F45" s="13"/>
      <c r="G45" s="13"/>
      <c r="H45" s="13"/>
      <c r="I45" s="13"/>
      <c r="J45" s="13"/>
      <c r="K45" s="13"/>
      <c r="L45" s="13"/>
      <c r="M45" s="13"/>
      <c r="N45" s="13"/>
      <c r="O45" s="13"/>
      <c r="P45" s="13"/>
      <c r="Q45" s="13"/>
      <c r="R45" s="13"/>
      <c r="S45" s="14">
        <f t="shared" si="6"/>
        <v>0</v>
      </c>
      <c r="T45" s="14">
        <f t="shared" si="7"/>
        <v>0</v>
      </c>
      <c r="U45" s="14">
        <f t="shared" si="8"/>
        <v>0</v>
      </c>
      <c r="V45" s="14">
        <f t="shared" si="9"/>
        <v>0</v>
      </c>
      <c r="W45" s="14">
        <f t="shared" si="4"/>
        <v>1</v>
      </c>
      <c r="X45" s="15">
        <f t="shared" si="10"/>
        <v>0</v>
      </c>
      <c r="Y45" s="16"/>
    </row>
    <row r="46" spans="1:25" ht="39.6">
      <c r="A46" s="11">
        <v>44</v>
      </c>
      <c r="B46" s="45" t="s">
        <v>290</v>
      </c>
      <c r="C46" s="46" t="s">
        <v>632</v>
      </c>
      <c r="D46" s="12"/>
      <c r="E46" s="13"/>
      <c r="F46" s="13"/>
      <c r="G46" s="13"/>
      <c r="H46" s="13"/>
      <c r="I46" s="13"/>
      <c r="J46" s="13"/>
      <c r="K46" s="13"/>
      <c r="L46" s="13"/>
      <c r="M46" s="13"/>
      <c r="N46" s="13"/>
      <c r="O46" s="13"/>
      <c r="P46" s="13"/>
      <c r="Q46" s="13"/>
      <c r="R46" s="13"/>
      <c r="S46" s="14">
        <f t="shared" si="6"/>
        <v>0</v>
      </c>
      <c r="T46" s="14">
        <f t="shared" si="7"/>
        <v>0</v>
      </c>
      <c r="U46" s="14">
        <f t="shared" si="8"/>
        <v>0</v>
      </c>
      <c r="V46" s="14">
        <f t="shared" si="9"/>
        <v>0</v>
      </c>
      <c r="W46" s="14">
        <f t="shared" si="4"/>
        <v>1</v>
      </c>
      <c r="X46" s="15">
        <f t="shared" si="10"/>
        <v>0</v>
      </c>
      <c r="Y46" s="16"/>
    </row>
    <row r="47" spans="1:25" ht="52.8">
      <c r="A47" s="11">
        <v>45</v>
      </c>
      <c r="B47" s="45" t="s">
        <v>291</v>
      </c>
      <c r="C47" s="46" t="s">
        <v>633</v>
      </c>
      <c r="D47" s="12"/>
      <c r="E47" s="13"/>
      <c r="F47" s="13"/>
      <c r="G47" s="13"/>
      <c r="H47" s="13"/>
      <c r="I47" s="13"/>
      <c r="J47" s="13"/>
      <c r="K47" s="13"/>
      <c r="L47" s="13"/>
      <c r="M47" s="13"/>
      <c r="N47" s="13"/>
      <c r="O47" s="13"/>
      <c r="P47" s="13"/>
      <c r="Q47" s="13"/>
      <c r="R47" s="13"/>
      <c r="S47" s="14">
        <f t="shared" si="6"/>
        <v>0</v>
      </c>
      <c r="T47" s="14">
        <f t="shared" si="7"/>
        <v>0</v>
      </c>
      <c r="U47" s="14">
        <f t="shared" si="8"/>
        <v>0</v>
      </c>
      <c r="V47" s="14">
        <f t="shared" si="9"/>
        <v>0</v>
      </c>
      <c r="W47" s="14">
        <f t="shared" si="4"/>
        <v>1</v>
      </c>
      <c r="X47" s="15">
        <f t="shared" si="10"/>
        <v>0</v>
      </c>
      <c r="Y47" s="16" t="s">
        <v>948</v>
      </c>
    </row>
    <row r="48" spans="1:25" ht="30" customHeight="1">
      <c r="A48" s="11">
        <v>46</v>
      </c>
      <c r="B48" s="45" t="s">
        <v>292</v>
      </c>
      <c r="C48" s="48" t="s">
        <v>634</v>
      </c>
      <c r="D48" s="12"/>
      <c r="E48" s="13"/>
      <c r="F48" s="13"/>
      <c r="G48" s="13"/>
      <c r="H48" s="13"/>
      <c r="I48" s="13"/>
      <c r="J48" s="13"/>
      <c r="K48" s="13"/>
      <c r="L48" s="13"/>
      <c r="M48" s="13"/>
      <c r="N48" s="13"/>
      <c r="O48" s="13"/>
      <c r="P48" s="13"/>
      <c r="Q48" s="13"/>
      <c r="R48" s="13"/>
      <c r="S48" s="14">
        <f t="shared" si="6"/>
        <v>0</v>
      </c>
      <c r="T48" s="14">
        <f t="shared" si="7"/>
        <v>0</v>
      </c>
      <c r="U48" s="14">
        <f t="shared" si="8"/>
        <v>0</v>
      </c>
      <c r="V48" s="14">
        <f t="shared" si="9"/>
        <v>0</v>
      </c>
      <c r="W48" s="14">
        <f t="shared" si="4"/>
        <v>1</v>
      </c>
      <c r="X48" s="15">
        <f t="shared" si="10"/>
        <v>0</v>
      </c>
      <c r="Y48" s="16"/>
    </row>
    <row r="49" spans="1:25" ht="30" customHeight="1">
      <c r="A49" s="11">
        <v>47</v>
      </c>
      <c r="B49" s="45" t="s">
        <v>293</v>
      </c>
      <c r="C49" s="46" t="s">
        <v>635</v>
      </c>
      <c r="D49" s="12"/>
      <c r="E49" s="13"/>
      <c r="F49" s="13"/>
      <c r="G49" s="13"/>
      <c r="H49" s="13"/>
      <c r="I49" s="13"/>
      <c r="J49" s="13"/>
      <c r="K49" s="13"/>
      <c r="L49" s="13"/>
      <c r="M49" s="13"/>
      <c r="N49" s="13"/>
      <c r="O49" s="13"/>
      <c r="P49" s="13"/>
      <c r="Q49" s="13"/>
      <c r="R49" s="13"/>
      <c r="S49" s="14">
        <f t="shared" si="6"/>
        <v>0</v>
      </c>
      <c r="T49" s="14">
        <f t="shared" si="7"/>
        <v>0</v>
      </c>
      <c r="U49" s="14">
        <f t="shared" si="8"/>
        <v>0</v>
      </c>
      <c r="V49" s="14">
        <f t="shared" si="9"/>
        <v>0</v>
      </c>
      <c r="W49" s="14">
        <f t="shared" si="4"/>
        <v>1</v>
      </c>
      <c r="X49" s="15">
        <f t="shared" si="10"/>
        <v>0</v>
      </c>
      <c r="Y49" s="16"/>
    </row>
    <row r="50" spans="1:25" ht="30" customHeight="1">
      <c r="A50" s="11">
        <v>48</v>
      </c>
      <c r="B50" s="45" t="s">
        <v>294</v>
      </c>
      <c r="C50" s="46" t="s">
        <v>637</v>
      </c>
      <c r="D50" s="12"/>
      <c r="E50" s="13"/>
      <c r="F50" s="13"/>
      <c r="G50" s="13"/>
      <c r="H50" s="13"/>
      <c r="I50" s="13"/>
      <c r="J50" s="13"/>
      <c r="K50" s="13"/>
      <c r="L50" s="13"/>
      <c r="M50" s="13"/>
      <c r="N50" s="13"/>
      <c r="O50" s="13"/>
      <c r="P50" s="13"/>
      <c r="Q50" s="13"/>
      <c r="R50" s="13"/>
      <c r="S50" s="14">
        <f t="shared" si="6"/>
        <v>0</v>
      </c>
      <c r="T50" s="14">
        <f t="shared" si="7"/>
        <v>0</v>
      </c>
      <c r="U50" s="14">
        <f t="shared" si="8"/>
        <v>0</v>
      </c>
      <c r="V50" s="14">
        <f t="shared" si="9"/>
        <v>0</v>
      </c>
      <c r="W50" s="14">
        <f t="shared" si="4"/>
        <v>1</v>
      </c>
      <c r="X50" s="15">
        <f t="shared" si="10"/>
        <v>0</v>
      </c>
      <c r="Y50" s="16"/>
    </row>
    <row r="51" spans="1:25" ht="30" customHeight="1">
      <c r="A51" s="11">
        <v>49</v>
      </c>
      <c r="B51" s="45" t="s">
        <v>295</v>
      </c>
      <c r="C51" s="46" t="s">
        <v>636</v>
      </c>
      <c r="D51" s="12"/>
      <c r="E51" s="13"/>
      <c r="F51" s="13"/>
      <c r="G51" s="13"/>
      <c r="H51" s="13"/>
      <c r="I51" s="13"/>
      <c r="J51" s="13"/>
      <c r="K51" s="13"/>
      <c r="L51" s="13"/>
      <c r="M51" s="13"/>
      <c r="N51" s="13"/>
      <c r="O51" s="13"/>
      <c r="P51" s="13"/>
      <c r="Q51" s="13"/>
      <c r="R51" s="13"/>
      <c r="S51" s="14">
        <f t="shared" si="6"/>
        <v>0</v>
      </c>
      <c r="T51" s="14">
        <f t="shared" si="7"/>
        <v>0</v>
      </c>
      <c r="U51" s="14">
        <f t="shared" si="8"/>
        <v>0</v>
      </c>
      <c r="V51" s="14">
        <f t="shared" si="9"/>
        <v>0</v>
      </c>
      <c r="W51" s="14">
        <f t="shared" si="4"/>
        <v>1</v>
      </c>
      <c r="X51" s="15">
        <f t="shared" si="10"/>
        <v>0</v>
      </c>
      <c r="Y51" s="16"/>
    </row>
    <row r="52" spans="1:25" ht="30" customHeight="1">
      <c r="A52" s="11">
        <v>50</v>
      </c>
      <c r="B52" s="45" t="s">
        <v>296</v>
      </c>
      <c r="C52" s="46" t="s">
        <v>638</v>
      </c>
      <c r="D52" s="12"/>
      <c r="E52" s="13"/>
      <c r="F52" s="13"/>
      <c r="G52" s="13"/>
      <c r="H52" s="13"/>
      <c r="I52" s="13"/>
      <c r="J52" s="13"/>
      <c r="K52" s="13"/>
      <c r="L52" s="13"/>
      <c r="M52" s="13"/>
      <c r="N52" s="13"/>
      <c r="O52" s="13"/>
      <c r="P52" s="13"/>
      <c r="Q52" s="13"/>
      <c r="R52" s="13"/>
      <c r="S52" s="14">
        <f t="shared" si="6"/>
        <v>0</v>
      </c>
      <c r="T52" s="14">
        <f t="shared" si="7"/>
        <v>0</v>
      </c>
      <c r="U52" s="14">
        <f t="shared" si="8"/>
        <v>0</v>
      </c>
      <c r="V52" s="14">
        <f t="shared" si="9"/>
        <v>0</v>
      </c>
      <c r="W52" s="14">
        <f t="shared" si="4"/>
        <v>1</v>
      </c>
      <c r="X52" s="15">
        <f t="shared" si="10"/>
        <v>0</v>
      </c>
      <c r="Y52" s="16"/>
    </row>
    <row r="53" spans="1:25" ht="30" customHeight="1">
      <c r="A53" s="11">
        <v>51</v>
      </c>
      <c r="B53" s="45" t="s">
        <v>297</v>
      </c>
      <c r="C53" s="48" t="s">
        <v>639</v>
      </c>
      <c r="D53" s="12"/>
      <c r="E53" s="13"/>
      <c r="F53" s="13"/>
      <c r="G53" s="13"/>
      <c r="H53" s="13"/>
      <c r="I53" s="13"/>
      <c r="J53" s="13"/>
      <c r="K53" s="13"/>
      <c r="L53" s="13"/>
      <c r="M53" s="13"/>
      <c r="N53" s="13"/>
      <c r="O53" s="13"/>
      <c r="P53" s="13"/>
      <c r="Q53" s="13"/>
      <c r="R53" s="13"/>
      <c r="S53" s="14">
        <f t="shared" si="6"/>
        <v>0</v>
      </c>
      <c r="T53" s="14">
        <f t="shared" si="7"/>
        <v>0</v>
      </c>
      <c r="U53" s="14">
        <f t="shared" si="8"/>
        <v>0</v>
      </c>
      <c r="V53" s="14">
        <f t="shared" si="9"/>
        <v>0</v>
      </c>
      <c r="W53" s="14">
        <f t="shared" si="4"/>
        <v>1</v>
      </c>
      <c r="X53" s="15">
        <f t="shared" si="10"/>
        <v>0</v>
      </c>
      <c r="Y53" s="16" t="s">
        <v>949</v>
      </c>
    </row>
    <row r="54" spans="1:25" ht="30" customHeight="1">
      <c r="A54" s="11">
        <v>52</v>
      </c>
      <c r="B54" s="45" t="s">
        <v>298</v>
      </c>
      <c r="C54" s="46" t="s">
        <v>640</v>
      </c>
      <c r="D54" s="12"/>
      <c r="E54" s="13"/>
      <c r="F54" s="13"/>
      <c r="G54" s="13"/>
      <c r="H54" s="13"/>
      <c r="I54" s="13"/>
      <c r="J54" s="13"/>
      <c r="K54" s="13"/>
      <c r="L54" s="13"/>
      <c r="M54" s="13"/>
      <c r="N54" s="13"/>
      <c r="O54" s="13"/>
      <c r="P54" s="13"/>
      <c r="Q54" s="13"/>
      <c r="R54" s="13"/>
      <c r="S54" s="14">
        <f t="shared" si="6"/>
        <v>0</v>
      </c>
      <c r="T54" s="14">
        <f t="shared" si="7"/>
        <v>0</v>
      </c>
      <c r="U54" s="14">
        <f t="shared" si="8"/>
        <v>0</v>
      </c>
      <c r="V54" s="14">
        <f t="shared" si="9"/>
        <v>0</v>
      </c>
      <c r="W54" s="14">
        <f t="shared" si="4"/>
        <v>1</v>
      </c>
      <c r="X54" s="15">
        <f t="shared" si="10"/>
        <v>0</v>
      </c>
      <c r="Y54" s="16"/>
    </row>
    <row r="55" spans="1:25" ht="30" customHeight="1">
      <c r="A55" s="11">
        <v>53</v>
      </c>
      <c r="B55" s="45" t="s">
        <v>299</v>
      </c>
      <c r="C55" s="46" t="s">
        <v>641</v>
      </c>
      <c r="D55" s="12"/>
      <c r="E55" s="13"/>
      <c r="F55" s="13"/>
      <c r="G55" s="13"/>
      <c r="H55" s="13"/>
      <c r="I55" s="13"/>
      <c r="J55" s="13"/>
      <c r="K55" s="13"/>
      <c r="L55" s="13"/>
      <c r="M55" s="13"/>
      <c r="N55" s="13"/>
      <c r="O55" s="13"/>
      <c r="P55" s="13"/>
      <c r="Q55" s="13"/>
      <c r="R55" s="13"/>
      <c r="S55" s="14">
        <f t="shared" si="6"/>
        <v>0</v>
      </c>
      <c r="T55" s="14">
        <f t="shared" si="7"/>
        <v>0</v>
      </c>
      <c r="U55" s="14">
        <f t="shared" si="8"/>
        <v>0</v>
      </c>
      <c r="V55" s="14">
        <f t="shared" si="9"/>
        <v>0</v>
      </c>
      <c r="W55" s="14">
        <f t="shared" si="4"/>
        <v>1</v>
      </c>
      <c r="X55" s="15">
        <f t="shared" si="10"/>
        <v>0</v>
      </c>
      <c r="Y55" s="16" t="s">
        <v>930</v>
      </c>
    </row>
    <row r="56" spans="1:25" ht="30" customHeight="1">
      <c r="A56" s="11">
        <v>54</v>
      </c>
      <c r="B56" s="45" t="s">
        <v>300</v>
      </c>
      <c r="C56" s="46" t="s">
        <v>642</v>
      </c>
      <c r="D56" s="12"/>
      <c r="E56" s="13"/>
      <c r="F56" s="13"/>
      <c r="G56" s="13"/>
      <c r="H56" s="13"/>
      <c r="I56" s="13"/>
      <c r="J56" s="13"/>
      <c r="K56" s="13"/>
      <c r="L56" s="13"/>
      <c r="M56" s="13"/>
      <c r="N56" s="13"/>
      <c r="O56" s="13"/>
      <c r="P56" s="13"/>
      <c r="Q56" s="13"/>
      <c r="R56" s="13"/>
      <c r="S56" s="14">
        <f t="shared" si="6"/>
        <v>0</v>
      </c>
      <c r="T56" s="14">
        <f t="shared" si="7"/>
        <v>0</v>
      </c>
      <c r="U56" s="14">
        <f t="shared" si="8"/>
        <v>0</v>
      </c>
      <c r="V56" s="14">
        <f t="shared" si="9"/>
        <v>0</v>
      </c>
      <c r="W56" s="14">
        <f t="shared" si="4"/>
        <v>1</v>
      </c>
      <c r="X56" s="15">
        <f t="shared" si="10"/>
        <v>0</v>
      </c>
      <c r="Y56" s="16" t="s">
        <v>950</v>
      </c>
    </row>
    <row r="57" spans="1:25" ht="30" customHeight="1">
      <c r="A57" s="11">
        <v>55</v>
      </c>
      <c r="B57" s="45" t="s">
        <v>301</v>
      </c>
      <c r="C57" s="48" t="s">
        <v>643</v>
      </c>
      <c r="D57" s="12"/>
      <c r="E57" s="13"/>
      <c r="F57" s="13"/>
      <c r="G57" s="13"/>
      <c r="H57" s="13"/>
      <c r="I57" s="13"/>
      <c r="J57" s="13"/>
      <c r="K57" s="13"/>
      <c r="L57" s="13"/>
      <c r="M57" s="13"/>
      <c r="N57" s="13"/>
      <c r="O57" s="13"/>
      <c r="P57" s="13"/>
      <c r="Q57" s="13"/>
      <c r="R57" s="13"/>
      <c r="S57" s="14">
        <f t="shared" si="6"/>
        <v>0</v>
      </c>
      <c r="T57" s="14">
        <f t="shared" si="7"/>
        <v>0</v>
      </c>
      <c r="U57" s="14">
        <f t="shared" si="8"/>
        <v>0</v>
      </c>
      <c r="V57" s="14">
        <f t="shared" si="9"/>
        <v>0</v>
      </c>
      <c r="W57" s="14">
        <f t="shared" si="4"/>
        <v>1</v>
      </c>
      <c r="X57" s="15">
        <f t="shared" si="10"/>
        <v>0</v>
      </c>
      <c r="Y57" s="16"/>
    </row>
    <row r="58" spans="1:25" ht="30" customHeight="1">
      <c r="A58" s="11">
        <v>56</v>
      </c>
      <c r="B58" s="45" t="s">
        <v>302</v>
      </c>
      <c r="C58" s="46" t="s">
        <v>644</v>
      </c>
      <c r="D58" s="12"/>
      <c r="E58" s="13"/>
      <c r="F58" s="13"/>
      <c r="G58" s="13"/>
      <c r="H58" s="13"/>
      <c r="I58" s="13"/>
      <c r="J58" s="13"/>
      <c r="K58" s="13"/>
      <c r="L58" s="13"/>
      <c r="M58" s="13"/>
      <c r="N58" s="13"/>
      <c r="O58" s="13"/>
      <c r="P58" s="13"/>
      <c r="Q58" s="13"/>
      <c r="R58" s="13"/>
      <c r="S58" s="14">
        <f t="shared" si="6"/>
        <v>0</v>
      </c>
      <c r="T58" s="14">
        <f t="shared" si="7"/>
        <v>0</v>
      </c>
      <c r="U58" s="14">
        <f t="shared" si="8"/>
        <v>0</v>
      </c>
      <c r="V58" s="14">
        <f t="shared" si="9"/>
        <v>0</v>
      </c>
      <c r="W58" s="14">
        <f t="shared" si="4"/>
        <v>1</v>
      </c>
      <c r="X58" s="15">
        <f t="shared" si="10"/>
        <v>0</v>
      </c>
      <c r="Y58" s="16"/>
    </row>
    <row r="59" spans="1:25" ht="30" customHeight="1">
      <c r="A59" s="11">
        <v>57</v>
      </c>
      <c r="B59" s="45" t="s">
        <v>303</v>
      </c>
      <c r="C59" s="46" t="s">
        <v>645</v>
      </c>
      <c r="D59" s="12"/>
      <c r="E59" s="13"/>
      <c r="F59" s="13"/>
      <c r="G59" s="13"/>
      <c r="H59" s="13"/>
      <c r="I59" s="13"/>
      <c r="J59" s="13"/>
      <c r="K59" s="13"/>
      <c r="L59" s="13"/>
      <c r="M59" s="13"/>
      <c r="N59" s="13"/>
      <c r="O59" s="13"/>
      <c r="P59" s="13"/>
      <c r="Q59" s="13"/>
      <c r="R59" s="13"/>
      <c r="S59" s="14">
        <f t="shared" si="6"/>
        <v>0</v>
      </c>
      <c r="T59" s="14">
        <f t="shared" si="7"/>
        <v>0</v>
      </c>
      <c r="U59" s="14">
        <f t="shared" si="8"/>
        <v>0</v>
      </c>
      <c r="V59" s="14">
        <f t="shared" si="9"/>
        <v>0</v>
      </c>
      <c r="W59" s="14">
        <f t="shared" si="4"/>
        <v>1</v>
      </c>
      <c r="X59" s="15">
        <f t="shared" si="10"/>
        <v>0</v>
      </c>
      <c r="Y59" s="16" t="s">
        <v>951</v>
      </c>
    </row>
    <row r="60" spans="1:25" ht="30" customHeight="1">
      <c r="A60" s="11">
        <v>58</v>
      </c>
      <c r="B60" s="45" t="s">
        <v>304</v>
      </c>
      <c r="C60" s="46" t="s">
        <v>646</v>
      </c>
      <c r="D60" s="12"/>
      <c r="E60" s="13"/>
      <c r="F60" s="13"/>
      <c r="G60" s="13"/>
      <c r="H60" s="13"/>
      <c r="I60" s="13"/>
      <c r="J60" s="13"/>
      <c r="K60" s="13"/>
      <c r="L60" s="13"/>
      <c r="M60" s="13"/>
      <c r="N60" s="13"/>
      <c r="O60" s="13"/>
      <c r="P60" s="13"/>
      <c r="Q60" s="13"/>
      <c r="R60" s="13"/>
      <c r="S60" s="14">
        <f t="shared" si="6"/>
        <v>0</v>
      </c>
      <c r="T60" s="14">
        <f t="shared" si="7"/>
        <v>0</v>
      </c>
      <c r="U60" s="14">
        <f t="shared" si="8"/>
        <v>0</v>
      </c>
      <c r="V60" s="14">
        <f t="shared" si="9"/>
        <v>0</v>
      </c>
      <c r="W60" s="14">
        <f t="shared" si="4"/>
        <v>1</v>
      </c>
      <c r="X60" s="15">
        <f t="shared" si="10"/>
        <v>0</v>
      </c>
      <c r="Y60" s="16"/>
    </row>
    <row r="61" spans="1:25" ht="30" customHeight="1">
      <c r="A61" s="11">
        <v>59</v>
      </c>
      <c r="B61" s="45" t="s">
        <v>305</v>
      </c>
      <c r="C61" s="46" t="s">
        <v>647</v>
      </c>
      <c r="D61" s="12"/>
      <c r="E61" s="13"/>
      <c r="F61" s="13"/>
      <c r="G61" s="13"/>
      <c r="H61" s="13"/>
      <c r="I61" s="13"/>
      <c r="J61" s="13"/>
      <c r="K61" s="13"/>
      <c r="L61" s="13"/>
      <c r="M61" s="13"/>
      <c r="N61" s="13"/>
      <c r="O61" s="13"/>
      <c r="P61" s="13"/>
      <c r="Q61" s="13"/>
      <c r="R61" s="13"/>
      <c r="S61" s="14">
        <f t="shared" si="6"/>
        <v>0</v>
      </c>
      <c r="T61" s="14">
        <f t="shared" si="7"/>
        <v>0</v>
      </c>
      <c r="U61" s="14">
        <f t="shared" si="8"/>
        <v>0</v>
      </c>
      <c r="V61" s="14">
        <f t="shared" si="9"/>
        <v>0</v>
      </c>
      <c r="W61" s="14">
        <f t="shared" si="4"/>
        <v>1</v>
      </c>
      <c r="X61" s="15">
        <f t="shared" si="10"/>
        <v>0</v>
      </c>
      <c r="Y61" s="16"/>
    </row>
    <row r="62" spans="1:25" ht="30" customHeight="1">
      <c r="A62" s="11">
        <v>60</v>
      </c>
      <c r="B62" s="45" t="s">
        <v>306</v>
      </c>
      <c r="C62" s="46" t="s">
        <v>648</v>
      </c>
      <c r="D62" s="12"/>
      <c r="E62" s="13"/>
      <c r="F62" s="13"/>
      <c r="G62" s="13"/>
      <c r="H62" s="13"/>
      <c r="I62" s="13"/>
      <c r="J62" s="13"/>
      <c r="K62" s="13"/>
      <c r="L62" s="13"/>
      <c r="M62" s="13"/>
      <c r="N62" s="13"/>
      <c r="O62" s="13"/>
      <c r="P62" s="13"/>
      <c r="Q62" s="13"/>
      <c r="R62" s="13"/>
      <c r="S62" s="14">
        <f t="shared" si="6"/>
        <v>0</v>
      </c>
      <c r="T62" s="14">
        <f t="shared" si="7"/>
        <v>0</v>
      </c>
      <c r="U62" s="14">
        <f t="shared" si="8"/>
        <v>0</v>
      </c>
      <c r="V62" s="14">
        <f t="shared" si="9"/>
        <v>0</v>
      </c>
      <c r="W62" s="14">
        <f t="shared" si="4"/>
        <v>1</v>
      </c>
      <c r="X62" s="15">
        <f t="shared" si="10"/>
        <v>0</v>
      </c>
      <c r="Y62" s="16" t="s">
        <v>952</v>
      </c>
    </row>
    <row r="63" spans="1:25" ht="30" customHeight="1">
      <c r="A63" s="11">
        <v>61</v>
      </c>
      <c r="B63" s="45" t="s">
        <v>307</v>
      </c>
      <c r="C63" s="46" t="s">
        <v>649</v>
      </c>
      <c r="D63" s="12"/>
      <c r="E63" s="13"/>
      <c r="F63" s="13"/>
      <c r="G63" s="13"/>
      <c r="H63" s="13"/>
      <c r="I63" s="13"/>
      <c r="J63" s="13"/>
      <c r="K63" s="13"/>
      <c r="L63" s="13"/>
      <c r="M63" s="13"/>
      <c r="N63" s="13"/>
      <c r="O63" s="13"/>
      <c r="P63" s="13"/>
      <c r="Q63" s="13"/>
      <c r="R63" s="13"/>
      <c r="S63" s="14">
        <f t="shared" si="6"/>
        <v>0</v>
      </c>
      <c r="T63" s="14">
        <f t="shared" si="7"/>
        <v>0</v>
      </c>
      <c r="U63" s="14">
        <f t="shared" si="8"/>
        <v>0</v>
      </c>
      <c r="V63" s="14">
        <f t="shared" si="9"/>
        <v>0</v>
      </c>
      <c r="W63" s="14">
        <f t="shared" si="4"/>
        <v>1</v>
      </c>
      <c r="X63" s="15">
        <f t="shared" si="10"/>
        <v>0</v>
      </c>
      <c r="Y63" s="16" t="s">
        <v>1100</v>
      </c>
    </row>
    <row r="64" spans="1:25" ht="30" customHeight="1">
      <c r="A64" s="11">
        <v>62</v>
      </c>
      <c r="B64" s="45" t="s">
        <v>308</v>
      </c>
      <c r="C64" s="46" t="s">
        <v>650</v>
      </c>
      <c r="D64" s="12"/>
      <c r="E64" s="13"/>
      <c r="F64" s="13"/>
      <c r="G64" s="13"/>
      <c r="H64" s="13"/>
      <c r="I64" s="13"/>
      <c r="J64" s="13"/>
      <c r="K64" s="13"/>
      <c r="L64" s="13"/>
      <c r="M64" s="13"/>
      <c r="N64" s="13"/>
      <c r="O64" s="13"/>
      <c r="P64" s="13"/>
      <c r="Q64" s="13"/>
      <c r="R64" s="13"/>
      <c r="S64" s="14">
        <f t="shared" si="6"/>
        <v>0</v>
      </c>
      <c r="T64" s="14">
        <f t="shared" si="7"/>
        <v>0</v>
      </c>
      <c r="U64" s="14">
        <f t="shared" si="8"/>
        <v>0</v>
      </c>
      <c r="V64" s="14">
        <f t="shared" si="9"/>
        <v>0</v>
      </c>
      <c r="W64" s="14">
        <f t="shared" si="4"/>
        <v>1</v>
      </c>
      <c r="X64" s="15">
        <f t="shared" si="10"/>
        <v>0</v>
      </c>
      <c r="Y64" s="16" t="s">
        <v>953</v>
      </c>
    </row>
    <row r="65" spans="1:25" ht="30" customHeight="1">
      <c r="A65" s="11">
        <v>63</v>
      </c>
      <c r="B65" s="45" t="s">
        <v>309</v>
      </c>
      <c r="C65" s="46" t="s">
        <v>651</v>
      </c>
      <c r="D65" s="12"/>
      <c r="E65" s="13"/>
      <c r="F65" s="13"/>
      <c r="G65" s="13"/>
      <c r="H65" s="13"/>
      <c r="I65" s="13"/>
      <c r="J65" s="13"/>
      <c r="K65" s="13"/>
      <c r="L65" s="13"/>
      <c r="M65" s="13"/>
      <c r="N65" s="13"/>
      <c r="O65" s="13"/>
      <c r="P65" s="13"/>
      <c r="Q65" s="13"/>
      <c r="R65" s="13"/>
      <c r="S65" s="14">
        <f t="shared" si="6"/>
        <v>0</v>
      </c>
      <c r="T65" s="14">
        <f t="shared" si="7"/>
        <v>0</v>
      </c>
      <c r="U65" s="14">
        <f t="shared" si="8"/>
        <v>0</v>
      </c>
      <c r="V65" s="14">
        <f t="shared" si="9"/>
        <v>0</v>
      </c>
      <c r="W65" s="14">
        <f t="shared" si="4"/>
        <v>1</v>
      </c>
      <c r="X65" s="15">
        <f t="shared" si="10"/>
        <v>0</v>
      </c>
      <c r="Y65" s="16"/>
    </row>
    <row r="66" spans="1:25" ht="30" customHeight="1">
      <c r="A66" s="11">
        <v>64</v>
      </c>
      <c r="B66" s="45" t="s">
        <v>310</v>
      </c>
      <c r="C66" s="46" t="s">
        <v>652</v>
      </c>
      <c r="D66" s="12"/>
      <c r="E66" s="13"/>
      <c r="F66" s="13"/>
      <c r="G66" s="13"/>
      <c r="H66" s="13"/>
      <c r="I66" s="13"/>
      <c r="J66" s="13"/>
      <c r="K66" s="13"/>
      <c r="L66" s="13"/>
      <c r="M66" s="13"/>
      <c r="N66" s="13"/>
      <c r="O66" s="13"/>
      <c r="P66" s="13"/>
      <c r="Q66" s="13"/>
      <c r="R66" s="13"/>
      <c r="S66" s="14">
        <f t="shared" si="6"/>
        <v>0</v>
      </c>
      <c r="T66" s="14">
        <f t="shared" si="7"/>
        <v>0</v>
      </c>
      <c r="U66" s="14">
        <f t="shared" si="8"/>
        <v>0</v>
      </c>
      <c r="V66" s="14">
        <f t="shared" si="9"/>
        <v>0</v>
      </c>
      <c r="W66" s="14">
        <f t="shared" si="4"/>
        <v>1</v>
      </c>
      <c r="X66" s="15">
        <f t="shared" si="10"/>
        <v>0</v>
      </c>
      <c r="Y66" s="16"/>
    </row>
    <row r="67" spans="1:25" ht="30" customHeight="1">
      <c r="A67" s="11">
        <v>65</v>
      </c>
      <c r="B67" s="46" t="s">
        <v>311</v>
      </c>
      <c r="C67" s="46" t="s">
        <v>653</v>
      </c>
      <c r="D67" s="12"/>
      <c r="E67" s="13"/>
      <c r="F67" s="13"/>
      <c r="G67" s="13"/>
      <c r="H67" s="13"/>
      <c r="I67" s="13"/>
      <c r="J67" s="13"/>
      <c r="K67" s="13"/>
      <c r="L67" s="13"/>
      <c r="M67" s="13"/>
      <c r="N67" s="13"/>
      <c r="O67" s="13"/>
      <c r="P67" s="13"/>
      <c r="Q67" s="13"/>
      <c r="R67" s="13"/>
      <c r="S67" s="14">
        <f t="shared" ref="S67:S98" si="11">IF(SUM(E67:R67)&gt;0,1,0)</f>
        <v>0</v>
      </c>
      <c r="T67" s="14">
        <f t="shared" ref="T67:T98" si="12">IF(MAX(G67,H67,I67,J67,K67,M67,N67)&gt;0,1,0)</f>
        <v>0</v>
      </c>
      <c r="U67" s="14">
        <f t="shared" ref="U67:U98" si="13">IF(MAX(E67,F67,L67,O67,Q67)&gt;0,1,0)</f>
        <v>0</v>
      </c>
      <c r="V67" s="14">
        <f t="shared" ref="V67:V98" si="14">IF(P67&gt;0,1,0)</f>
        <v>0</v>
      </c>
      <c r="W67" s="14">
        <f t="shared" ref="W67:W130" si="15">IF(AND(B67&lt;&gt;"",S67=0),1,0)</f>
        <v>1</v>
      </c>
      <c r="X67" s="15">
        <f t="shared" ref="X67:X98" si="16">SUMPRODUCT((E67:R67=1)*0.3)+SUMPRODUCT((E67:R67=2)*0.7)+SUMPRODUCT((E67:R67=3)*1.5)</f>
        <v>0</v>
      </c>
      <c r="Y67" s="16"/>
    </row>
    <row r="68" spans="1:25" ht="30" customHeight="1">
      <c r="A68" s="11">
        <v>66</v>
      </c>
      <c r="B68" s="46" t="s">
        <v>312</v>
      </c>
      <c r="C68" s="46" t="s">
        <v>654</v>
      </c>
      <c r="D68" s="12"/>
      <c r="E68" s="13"/>
      <c r="F68" s="13"/>
      <c r="G68" s="13"/>
      <c r="H68" s="13"/>
      <c r="I68" s="13"/>
      <c r="J68" s="13"/>
      <c r="K68" s="13"/>
      <c r="L68" s="13"/>
      <c r="M68" s="13"/>
      <c r="N68" s="13"/>
      <c r="O68" s="13"/>
      <c r="P68" s="13"/>
      <c r="Q68" s="13"/>
      <c r="R68" s="13"/>
      <c r="S68" s="14">
        <f t="shared" si="11"/>
        <v>0</v>
      </c>
      <c r="T68" s="14">
        <f t="shared" si="12"/>
        <v>0</v>
      </c>
      <c r="U68" s="14">
        <f t="shared" si="13"/>
        <v>0</v>
      </c>
      <c r="V68" s="14">
        <f t="shared" si="14"/>
        <v>0</v>
      </c>
      <c r="W68" s="14">
        <f t="shared" si="15"/>
        <v>1</v>
      </c>
      <c r="X68" s="15">
        <f t="shared" si="16"/>
        <v>0</v>
      </c>
      <c r="Y68" s="16"/>
    </row>
    <row r="69" spans="1:25" ht="52.8">
      <c r="A69" s="11">
        <v>67</v>
      </c>
      <c r="B69" s="46" t="s">
        <v>313</v>
      </c>
      <c r="C69" s="46" t="s">
        <v>655</v>
      </c>
      <c r="D69" s="12"/>
      <c r="E69" s="13"/>
      <c r="F69" s="13"/>
      <c r="G69" s="13"/>
      <c r="H69" s="13"/>
      <c r="I69" s="13"/>
      <c r="J69" s="13"/>
      <c r="K69" s="13"/>
      <c r="L69" s="13"/>
      <c r="M69" s="13"/>
      <c r="N69" s="13"/>
      <c r="O69" s="13"/>
      <c r="P69" s="13"/>
      <c r="Q69" s="13"/>
      <c r="R69" s="13"/>
      <c r="S69" s="14">
        <f t="shared" si="11"/>
        <v>0</v>
      </c>
      <c r="T69" s="14">
        <f t="shared" si="12"/>
        <v>0</v>
      </c>
      <c r="U69" s="14">
        <f t="shared" si="13"/>
        <v>0</v>
      </c>
      <c r="V69" s="14">
        <f t="shared" si="14"/>
        <v>0</v>
      </c>
      <c r="W69" s="14">
        <f t="shared" si="15"/>
        <v>1</v>
      </c>
      <c r="X69" s="15">
        <f t="shared" si="16"/>
        <v>0</v>
      </c>
      <c r="Y69" s="16" t="s">
        <v>954</v>
      </c>
    </row>
    <row r="70" spans="1:25" ht="30" customHeight="1">
      <c r="A70" s="11">
        <v>68</v>
      </c>
      <c r="B70" s="46" t="s">
        <v>314</v>
      </c>
      <c r="C70" s="46" t="s">
        <v>656</v>
      </c>
      <c r="D70" s="12"/>
      <c r="E70" s="13"/>
      <c r="F70" s="13"/>
      <c r="G70" s="13"/>
      <c r="H70" s="13"/>
      <c r="I70" s="13"/>
      <c r="J70" s="13"/>
      <c r="K70" s="13"/>
      <c r="L70" s="13"/>
      <c r="M70" s="13"/>
      <c r="N70" s="13"/>
      <c r="O70" s="13"/>
      <c r="P70" s="13"/>
      <c r="Q70" s="13"/>
      <c r="R70" s="13"/>
      <c r="S70" s="14">
        <f t="shared" si="11"/>
        <v>0</v>
      </c>
      <c r="T70" s="14">
        <f t="shared" si="12"/>
        <v>0</v>
      </c>
      <c r="U70" s="14">
        <f t="shared" si="13"/>
        <v>0</v>
      </c>
      <c r="V70" s="14">
        <f t="shared" si="14"/>
        <v>0</v>
      </c>
      <c r="W70" s="14">
        <f t="shared" si="15"/>
        <v>1</v>
      </c>
      <c r="X70" s="15">
        <f t="shared" si="16"/>
        <v>0</v>
      </c>
      <c r="Y70" s="16" t="s">
        <v>955</v>
      </c>
    </row>
    <row r="71" spans="1:25" ht="30" customHeight="1">
      <c r="A71" s="11">
        <v>69</v>
      </c>
      <c r="B71" s="46" t="s">
        <v>315</v>
      </c>
      <c r="C71" s="46" t="s">
        <v>657</v>
      </c>
      <c r="D71" s="12"/>
      <c r="E71" s="13"/>
      <c r="F71" s="13"/>
      <c r="G71" s="13"/>
      <c r="H71" s="13"/>
      <c r="I71" s="13"/>
      <c r="J71" s="13"/>
      <c r="K71" s="13"/>
      <c r="L71" s="13"/>
      <c r="M71" s="13"/>
      <c r="N71" s="13"/>
      <c r="O71" s="13"/>
      <c r="P71" s="13"/>
      <c r="Q71" s="13"/>
      <c r="R71" s="13"/>
      <c r="S71" s="14">
        <f t="shared" si="11"/>
        <v>0</v>
      </c>
      <c r="T71" s="14">
        <f t="shared" si="12"/>
        <v>0</v>
      </c>
      <c r="U71" s="14">
        <f t="shared" si="13"/>
        <v>0</v>
      </c>
      <c r="V71" s="14">
        <f t="shared" si="14"/>
        <v>0</v>
      </c>
      <c r="W71" s="14">
        <f t="shared" si="15"/>
        <v>1</v>
      </c>
      <c r="X71" s="15">
        <f t="shared" si="16"/>
        <v>0</v>
      </c>
      <c r="Y71" s="16"/>
    </row>
    <row r="72" spans="1:25" ht="30" customHeight="1">
      <c r="A72" s="11">
        <v>70</v>
      </c>
      <c r="B72" s="46" t="s">
        <v>316</v>
      </c>
      <c r="C72" s="46" t="s">
        <v>658</v>
      </c>
      <c r="D72" s="12"/>
      <c r="E72" s="13"/>
      <c r="F72" s="13"/>
      <c r="G72" s="13"/>
      <c r="H72" s="13"/>
      <c r="I72" s="13"/>
      <c r="J72" s="13"/>
      <c r="K72" s="13"/>
      <c r="L72" s="13"/>
      <c r="M72" s="13"/>
      <c r="N72" s="13"/>
      <c r="O72" s="13"/>
      <c r="P72" s="13"/>
      <c r="Q72" s="13"/>
      <c r="R72" s="13"/>
      <c r="S72" s="14">
        <f t="shared" si="11"/>
        <v>0</v>
      </c>
      <c r="T72" s="14">
        <f t="shared" si="12"/>
        <v>0</v>
      </c>
      <c r="U72" s="14">
        <f t="shared" si="13"/>
        <v>0</v>
      </c>
      <c r="V72" s="14">
        <f t="shared" si="14"/>
        <v>0</v>
      </c>
      <c r="W72" s="14">
        <f t="shared" si="15"/>
        <v>1</v>
      </c>
      <c r="X72" s="15">
        <f t="shared" si="16"/>
        <v>0</v>
      </c>
      <c r="Y72" s="16" t="s">
        <v>956</v>
      </c>
    </row>
    <row r="73" spans="1:25" ht="30" customHeight="1">
      <c r="A73" s="11">
        <v>71</v>
      </c>
      <c r="B73" s="46" t="s">
        <v>317</v>
      </c>
      <c r="C73" s="46" t="s">
        <v>659</v>
      </c>
      <c r="D73" s="12"/>
      <c r="E73" s="13"/>
      <c r="F73" s="13"/>
      <c r="G73" s="13"/>
      <c r="H73" s="13"/>
      <c r="I73" s="13"/>
      <c r="J73" s="13"/>
      <c r="K73" s="13"/>
      <c r="L73" s="13"/>
      <c r="M73" s="13"/>
      <c r="N73" s="13"/>
      <c r="O73" s="13"/>
      <c r="P73" s="13"/>
      <c r="Q73" s="13"/>
      <c r="R73" s="13"/>
      <c r="S73" s="14">
        <f t="shared" si="11"/>
        <v>0</v>
      </c>
      <c r="T73" s="14">
        <f t="shared" si="12"/>
        <v>0</v>
      </c>
      <c r="U73" s="14">
        <f t="shared" si="13"/>
        <v>0</v>
      </c>
      <c r="V73" s="14">
        <f t="shared" si="14"/>
        <v>0</v>
      </c>
      <c r="W73" s="14">
        <f t="shared" si="15"/>
        <v>1</v>
      </c>
      <c r="X73" s="15">
        <f t="shared" si="16"/>
        <v>0</v>
      </c>
      <c r="Y73" s="16"/>
    </row>
    <row r="74" spans="1:25" ht="30" customHeight="1">
      <c r="A74" s="11">
        <v>72</v>
      </c>
      <c r="B74" s="46" t="s">
        <v>318</v>
      </c>
      <c r="C74" s="46" t="s">
        <v>660</v>
      </c>
      <c r="D74" s="12"/>
      <c r="E74" s="13"/>
      <c r="F74" s="13"/>
      <c r="G74" s="13"/>
      <c r="H74" s="13"/>
      <c r="I74" s="13"/>
      <c r="J74" s="13"/>
      <c r="K74" s="13"/>
      <c r="L74" s="13"/>
      <c r="M74" s="13"/>
      <c r="N74" s="13"/>
      <c r="O74" s="13"/>
      <c r="P74" s="13"/>
      <c r="Q74" s="13"/>
      <c r="R74" s="13"/>
      <c r="S74" s="14">
        <f t="shared" si="11"/>
        <v>0</v>
      </c>
      <c r="T74" s="14">
        <f t="shared" si="12"/>
        <v>0</v>
      </c>
      <c r="U74" s="14">
        <f t="shared" si="13"/>
        <v>0</v>
      </c>
      <c r="V74" s="14">
        <f t="shared" si="14"/>
        <v>0</v>
      </c>
      <c r="W74" s="14">
        <f t="shared" si="15"/>
        <v>1</v>
      </c>
      <c r="X74" s="15">
        <f t="shared" si="16"/>
        <v>0</v>
      </c>
      <c r="Y74" s="16" t="s">
        <v>957</v>
      </c>
    </row>
    <row r="75" spans="1:25" ht="52.8">
      <c r="A75" s="11">
        <v>73</v>
      </c>
      <c r="B75" s="46" t="s">
        <v>319</v>
      </c>
      <c r="C75" s="46" t="s">
        <v>661</v>
      </c>
      <c r="D75" s="12"/>
      <c r="E75" s="13"/>
      <c r="F75" s="13"/>
      <c r="G75" s="13"/>
      <c r="H75" s="13"/>
      <c r="I75" s="13"/>
      <c r="J75" s="13"/>
      <c r="K75" s="13"/>
      <c r="L75" s="13"/>
      <c r="M75" s="13"/>
      <c r="N75" s="13"/>
      <c r="O75" s="13"/>
      <c r="P75" s="13"/>
      <c r="Q75" s="13"/>
      <c r="R75" s="13"/>
      <c r="S75" s="14">
        <f t="shared" si="11"/>
        <v>0</v>
      </c>
      <c r="T75" s="14">
        <f t="shared" si="12"/>
        <v>0</v>
      </c>
      <c r="U75" s="14">
        <f t="shared" si="13"/>
        <v>0</v>
      </c>
      <c r="V75" s="14">
        <f t="shared" si="14"/>
        <v>0</v>
      </c>
      <c r="W75" s="14">
        <f t="shared" si="15"/>
        <v>1</v>
      </c>
      <c r="X75" s="15">
        <f t="shared" si="16"/>
        <v>0</v>
      </c>
      <c r="Y75" s="16"/>
    </row>
    <row r="76" spans="1:25" ht="30" customHeight="1">
      <c r="A76" s="11">
        <v>74</v>
      </c>
      <c r="B76" s="46" t="s">
        <v>320</v>
      </c>
      <c r="C76" s="46" t="s">
        <v>662</v>
      </c>
      <c r="D76" s="12"/>
      <c r="E76" s="13"/>
      <c r="F76" s="13"/>
      <c r="G76" s="13"/>
      <c r="H76" s="13"/>
      <c r="I76" s="13"/>
      <c r="J76" s="13"/>
      <c r="K76" s="13"/>
      <c r="L76" s="13"/>
      <c r="M76" s="13"/>
      <c r="N76" s="13"/>
      <c r="O76" s="13"/>
      <c r="P76" s="13"/>
      <c r="Q76" s="13"/>
      <c r="R76" s="13"/>
      <c r="S76" s="14">
        <f t="shared" si="11"/>
        <v>0</v>
      </c>
      <c r="T76" s="14">
        <f t="shared" si="12"/>
        <v>0</v>
      </c>
      <c r="U76" s="14">
        <f t="shared" si="13"/>
        <v>0</v>
      </c>
      <c r="V76" s="14">
        <f t="shared" si="14"/>
        <v>0</v>
      </c>
      <c r="W76" s="14">
        <f t="shared" si="15"/>
        <v>1</v>
      </c>
      <c r="X76" s="15">
        <f t="shared" si="16"/>
        <v>0</v>
      </c>
      <c r="Y76" s="16"/>
    </row>
    <row r="77" spans="1:25" ht="30" customHeight="1">
      <c r="A77" s="11">
        <v>75</v>
      </c>
      <c r="B77" s="46" t="s">
        <v>321</v>
      </c>
      <c r="C77" s="46" t="s">
        <v>663</v>
      </c>
      <c r="D77" s="12"/>
      <c r="E77" s="13"/>
      <c r="F77" s="13"/>
      <c r="G77" s="13"/>
      <c r="H77" s="13"/>
      <c r="I77" s="13"/>
      <c r="J77" s="13"/>
      <c r="K77" s="13"/>
      <c r="L77" s="13"/>
      <c r="M77" s="13"/>
      <c r="N77" s="13"/>
      <c r="O77" s="13"/>
      <c r="P77" s="13"/>
      <c r="Q77" s="13"/>
      <c r="R77" s="13"/>
      <c r="S77" s="14">
        <f t="shared" si="11"/>
        <v>0</v>
      </c>
      <c r="T77" s="14">
        <f t="shared" si="12"/>
        <v>0</v>
      </c>
      <c r="U77" s="14">
        <f t="shared" si="13"/>
        <v>0</v>
      </c>
      <c r="V77" s="14">
        <f t="shared" si="14"/>
        <v>0</v>
      </c>
      <c r="W77" s="14">
        <f t="shared" si="15"/>
        <v>1</v>
      </c>
      <c r="X77" s="15">
        <f t="shared" si="16"/>
        <v>0</v>
      </c>
      <c r="Y77" s="16"/>
    </row>
    <row r="78" spans="1:25" ht="30" customHeight="1">
      <c r="A78" s="11">
        <v>76</v>
      </c>
      <c r="B78" s="46" t="s">
        <v>322</v>
      </c>
      <c r="C78" s="46" t="s">
        <v>664</v>
      </c>
      <c r="D78" s="12"/>
      <c r="E78" s="13"/>
      <c r="F78" s="13"/>
      <c r="G78" s="13"/>
      <c r="H78" s="13"/>
      <c r="I78" s="13"/>
      <c r="J78" s="13"/>
      <c r="K78" s="13"/>
      <c r="L78" s="13"/>
      <c r="M78" s="13"/>
      <c r="N78" s="13"/>
      <c r="O78" s="13"/>
      <c r="P78" s="13"/>
      <c r="Q78" s="13"/>
      <c r="R78" s="13"/>
      <c r="S78" s="14">
        <f t="shared" si="11"/>
        <v>0</v>
      </c>
      <c r="T78" s="14">
        <f t="shared" si="12"/>
        <v>0</v>
      </c>
      <c r="U78" s="14">
        <f t="shared" si="13"/>
        <v>0</v>
      </c>
      <c r="V78" s="14">
        <f t="shared" si="14"/>
        <v>0</v>
      </c>
      <c r="W78" s="14">
        <f t="shared" si="15"/>
        <v>1</v>
      </c>
      <c r="X78" s="15">
        <f t="shared" si="16"/>
        <v>0</v>
      </c>
      <c r="Y78" s="16"/>
    </row>
    <row r="79" spans="1:25" ht="30" customHeight="1">
      <c r="A79" s="11">
        <v>77</v>
      </c>
      <c r="B79" s="46" t="s">
        <v>323</v>
      </c>
      <c r="C79" s="46" t="s">
        <v>665</v>
      </c>
      <c r="D79" s="12"/>
      <c r="E79" s="13"/>
      <c r="F79" s="13"/>
      <c r="G79" s="13"/>
      <c r="H79" s="13"/>
      <c r="I79" s="13"/>
      <c r="J79" s="13"/>
      <c r="K79" s="13"/>
      <c r="L79" s="13"/>
      <c r="M79" s="13"/>
      <c r="N79" s="13"/>
      <c r="O79" s="13"/>
      <c r="P79" s="13"/>
      <c r="Q79" s="13"/>
      <c r="R79" s="13"/>
      <c r="S79" s="14">
        <f t="shared" si="11"/>
        <v>0</v>
      </c>
      <c r="T79" s="14">
        <f t="shared" si="12"/>
        <v>0</v>
      </c>
      <c r="U79" s="14">
        <f t="shared" si="13"/>
        <v>0</v>
      </c>
      <c r="V79" s="14">
        <f t="shared" si="14"/>
        <v>0</v>
      </c>
      <c r="W79" s="14">
        <f t="shared" si="15"/>
        <v>1</v>
      </c>
      <c r="X79" s="15">
        <f t="shared" si="16"/>
        <v>0</v>
      </c>
      <c r="Y79" s="16" t="s">
        <v>958</v>
      </c>
    </row>
    <row r="80" spans="1:25" ht="30" customHeight="1">
      <c r="A80" s="11">
        <v>78</v>
      </c>
      <c r="B80" s="46" t="s">
        <v>324</v>
      </c>
      <c r="C80" s="46" t="s">
        <v>666</v>
      </c>
      <c r="D80" s="12"/>
      <c r="E80" s="13"/>
      <c r="F80" s="13"/>
      <c r="G80" s="13"/>
      <c r="H80" s="13"/>
      <c r="I80" s="13"/>
      <c r="J80" s="13"/>
      <c r="K80" s="13"/>
      <c r="L80" s="13"/>
      <c r="M80" s="13"/>
      <c r="N80" s="13"/>
      <c r="O80" s="13"/>
      <c r="P80" s="13"/>
      <c r="Q80" s="13"/>
      <c r="R80" s="13"/>
      <c r="S80" s="14">
        <f t="shared" si="11"/>
        <v>0</v>
      </c>
      <c r="T80" s="14">
        <f t="shared" si="12"/>
        <v>0</v>
      </c>
      <c r="U80" s="14">
        <f t="shared" si="13"/>
        <v>0</v>
      </c>
      <c r="V80" s="14">
        <f t="shared" si="14"/>
        <v>0</v>
      </c>
      <c r="W80" s="14">
        <f t="shared" si="15"/>
        <v>1</v>
      </c>
      <c r="X80" s="15">
        <f t="shared" si="16"/>
        <v>0</v>
      </c>
      <c r="Y80" s="16" t="s">
        <v>959</v>
      </c>
    </row>
    <row r="81" spans="1:25" ht="30" customHeight="1">
      <c r="A81" s="11">
        <v>79</v>
      </c>
      <c r="B81" s="46" t="s">
        <v>325</v>
      </c>
      <c r="C81" s="46" t="s">
        <v>667</v>
      </c>
      <c r="D81" s="12"/>
      <c r="E81" s="13"/>
      <c r="F81" s="13"/>
      <c r="G81" s="13"/>
      <c r="H81" s="13"/>
      <c r="I81" s="13"/>
      <c r="J81" s="13"/>
      <c r="K81" s="13"/>
      <c r="L81" s="13"/>
      <c r="M81" s="13"/>
      <c r="N81" s="13"/>
      <c r="O81" s="13"/>
      <c r="P81" s="13"/>
      <c r="Q81" s="13"/>
      <c r="R81" s="13"/>
      <c r="S81" s="14">
        <f t="shared" si="11"/>
        <v>0</v>
      </c>
      <c r="T81" s="14">
        <f t="shared" si="12"/>
        <v>0</v>
      </c>
      <c r="U81" s="14">
        <f t="shared" si="13"/>
        <v>0</v>
      </c>
      <c r="V81" s="14">
        <f t="shared" si="14"/>
        <v>0</v>
      </c>
      <c r="W81" s="14">
        <f t="shared" si="15"/>
        <v>1</v>
      </c>
      <c r="X81" s="15">
        <f t="shared" si="16"/>
        <v>0</v>
      </c>
      <c r="Y81" s="16"/>
    </row>
    <row r="82" spans="1:25" ht="30" customHeight="1">
      <c r="A82" s="11">
        <v>80</v>
      </c>
      <c r="B82" s="46" t="s">
        <v>326</v>
      </c>
      <c r="C82" s="45"/>
      <c r="D82" s="12"/>
      <c r="E82" s="13"/>
      <c r="F82" s="13"/>
      <c r="G82" s="13"/>
      <c r="H82" s="13"/>
      <c r="I82" s="13"/>
      <c r="J82" s="13"/>
      <c r="K82" s="13"/>
      <c r="L82" s="13"/>
      <c r="M82" s="13"/>
      <c r="N82" s="13"/>
      <c r="O82" s="13"/>
      <c r="P82" s="13"/>
      <c r="Q82" s="13"/>
      <c r="R82" s="13"/>
      <c r="S82" s="14">
        <f t="shared" si="11"/>
        <v>0</v>
      </c>
      <c r="T82" s="14">
        <f t="shared" si="12"/>
        <v>0</v>
      </c>
      <c r="U82" s="14">
        <f t="shared" si="13"/>
        <v>0</v>
      </c>
      <c r="V82" s="14">
        <f t="shared" si="14"/>
        <v>0</v>
      </c>
      <c r="W82" s="14">
        <f t="shared" si="15"/>
        <v>1</v>
      </c>
      <c r="X82" s="15">
        <f t="shared" si="16"/>
        <v>0</v>
      </c>
      <c r="Y82" s="16" t="s">
        <v>960</v>
      </c>
    </row>
    <row r="83" spans="1:25" ht="30" customHeight="1">
      <c r="A83" s="11">
        <v>81</v>
      </c>
      <c r="B83" s="46" t="s">
        <v>327</v>
      </c>
      <c r="C83" s="46" t="s">
        <v>668</v>
      </c>
      <c r="D83" s="12"/>
      <c r="E83" s="13"/>
      <c r="F83" s="13"/>
      <c r="G83" s="13"/>
      <c r="H83" s="13"/>
      <c r="I83" s="13"/>
      <c r="J83" s="13"/>
      <c r="K83" s="13"/>
      <c r="L83" s="13"/>
      <c r="M83" s="13"/>
      <c r="N83" s="13"/>
      <c r="O83" s="13"/>
      <c r="P83" s="13"/>
      <c r="Q83" s="13"/>
      <c r="R83" s="13"/>
      <c r="S83" s="14">
        <f t="shared" si="11"/>
        <v>0</v>
      </c>
      <c r="T83" s="14">
        <f t="shared" si="12"/>
        <v>0</v>
      </c>
      <c r="U83" s="14">
        <f t="shared" si="13"/>
        <v>0</v>
      </c>
      <c r="V83" s="14">
        <f t="shared" si="14"/>
        <v>0</v>
      </c>
      <c r="W83" s="14">
        <f t="shared" si="15"/>
        <v>1</v>
      </c>
      <c r="X83" s="15">
        <f t="shared" si="16"/>
        <v>0</v>
      </c>
      <c r="Y83" s="16"/>
    </row>
    <row r="84" spans="1:25" ht="66">
      <c r="A84" s="11">
        <v>82</v>
      </c>
      <c r="B84" s="46" t="s">
        <v>328</v>
      </c>
      <c r="C84" s="46" t="s">
        <v>669</v>
      </c>
      <c r="D84" s="12"/>
      <c r="E84" s="13"/>
      <c r="F84" s="13"/>
      <c r="G84" s="13"/>
      <c r="H84" s="13"/>
      <c r="I84" s="13"/>
      <c r="J84" s="13"/>
      <c r="K84" s="13"/>
      <c r="L84" s="13"/>
      <c r="M84" s="13"/>
      <c r="N84" s="13"/>
      <c r="O84" s="13"/>
      <c r="P84" s="13"/>
      <c r="Q84" s="13"/>
      <c r="R84" s="13"/>
      <c r="S84" s="14">
        <f t="shared" si="11"/>
        <v>0</v>
      </c>
      <c r="T84" s="14">
        <f t="shared" si="12"/>
        <v>0</v>
      </c>
      <c r="U84" s="14">
        <f t="shared" si="13"/>
        <v>0</v>
      </c>
      <c r="V84" s="14">
        <f t="shared" si="14"/>
        <v>0</v>
      </c>
      <c r="W84" s="14">
        <f t="shared" si="15"/>
        <v>1</v>
      </c>
      <c r="X84" s="15">
        <f t="shared" si="16"/>
        <v>0</v>
      </c>
      <c r="Y84" s="16" t="s">
        <v>961</v>
      </c>
    </row>
    <row r="85" spans="1:25" ht="30" customHeight="1">
      <c r="A85" s="11">
        <v>83</v>
      </c>
      <c r="B85" s="46" t="s">
        <v>329</v>
      </c>
      <c r="C85" s="46" t="s">
        <v>670</v>
      </c>
      <c r="D85" s="12"/>
      <c r="E85" s="13"/>
      <c r="F85" s="13"/>
      <c r="G85" s="13"/>
      <c r="H85" s="13"/>
      <c r="I85" s="13"/>
      <c r="J85" s="13"/>
      <c r="K85" s="13"/>
      <c r="L85" s="13"/>
      <c r="M85" s="13"/>
      <c r="N85" s="13"/>
      <c r="O85" s="13"/>
      <c r="P85" s="13"/>
      <c r="Q85" s="13"/>
      <c r="R85" s="13"/>
      <c r="S85" s="14">
        <f t="shared" si="11"/>
        <v>0</v>
      </c>
      <c r="T85" s="14">
        <f t="shared" si="12"/>
        <v>0</v>
      </c>
      <c r="U85" s="14">
        <f t="shared" si="13"/>
        <v>0</v>
      </c>
      <c r="V85" s="14">
        <f t="shared" si="14"/>
        <v>0</v>
      </c>
      <c r="W85" s="14">
        <f t="shared" si="15"/>
        <v>1</v>
      </c>
      <c r="X85" s="15">
        <f t="shared" si="16"/>
        <v>0</v>
      </c>
      <c r="Y85" s="16"/>
    </row>
    <row r="86" spans="1:25" ht="30" customHeight="1">
      <c r="A86" s="11">
        <v>84</v>
      </c>
      <c r="B86" s="46" t="s">
        <v>330</v>
      </c>
      <c r="C86" s="46" t="s">
        <v>671</v>
      </c>
      <c r="D86" s="12"/>
      <c r="E86" s="13"/>
      <c r="F86" s="13"/>
      <c r="G86" s="13"/>
      <c r="H86" s="13"/>
      <c r="I86" s="13"/>
      <c r="J86" s="13"/>
      <c r="K86" s="13"/>
      <c r="L86" s="13"/>
      <c r="M86" s="13"/>
      <c r="N86" s="13"/>
      <c r="O86" s="13"/>
      <c r="P86" s="13"/>
      <c r="Q86" s="13"/>
      <c r="R86" s="13"/>
      <c r="S86" s="14">
        <f t="shared" si="11"/>
        <v>0</v>
      </c>
      <c r="T86" s="14">
        <f t="shared" si="12"/>
        <v>0</v>
      </c>
      <c r="U86" s="14">
        <f t="shared" si="13"/>
        <v>0</v>
      </c>
      <c r="V86" s="14">
        <f t="shared" si="14"/>
        <v>0</v>
      </c>
      <c r="W86" s="14">
        <f t="shared" si="15"/>
        <v>1</v>
      </c>
      <c r="X86" s="15">
        <f t="shared" si="16"/>
        <v>0</v>
      </c>
      <c r="Y86" s="16" t="s">
        <v>962</v>
      </c>
    </row>
    <row r="87" spans="1:25" ht="39.6">
      <c r="A87" s="11">
        <v>85</v>
      </c>
      <c r="B87" s="46" t="s">
        <v>331</v>
      </c>
      <c r="C87" s="46" t="s">
        <v>672</v>
      </c>
      <c r="D87" s="12"/>
      <c r="E87" s="13"/>
      <c r="F87" s="13"/>
      <c r="G87" s="13"/>
      <c r="H87" s="13"/>
      <c r="I87" s="13"/>
      <c r="J87" s="13"/>
      <c r="K87" s="13"/>
      <c r="L87" s="13"/>
      <c r="M87" s="13"/>
      <c r="N87" s="13"/>
      <c r="O87" s="13"/>
      <c r="P87" s="13"/>
      <c r="Q87" s="13"/>
      <c r="R87" s="13"/>
      <c r="S87" s="14">
        <f t="shared" si="11"/>
        <v>0</v>
      </c>
      <c r="T87" s="14">
        <f t="shared" si="12"/>
        <v>0</v>
      </c>
      <c r="U87" s="14">
        <f t="shared" si="13"/>
        <v>0</v>
      </c>
      <c r="V87" s="14">
        <f t="shared" si="14"/>
        <v>0</v>
      </c>
      <c r="W87" s="14">
        <f t="shared" si="15"/>
        <v>1</v>
      </c>
      <c r="X87" s="15">
        <f t="shared" si="16"/>
        <v>0</v>
      </c>
      <c r="Y87" s="16" t="s">
        <v>963</v>
      </c>
    </row>
    <row r="88" spans="1:25" ht="39.6">
      <c r="A88" s="11">
        <v>86</v>
      </c>
      <c r="B88" s="46" t="s">
        <v>332</v>
      </c>
      <c r="C88" s="46" t="s">
        <v>673</v>
      </c>
      <c r="D88" s="12"/>
      <c r="E88" s="13"/>
      <c r="F88" s="13"/>
      <c r="G88" s="13"/>
      <c r="H88" s="13"/>
      <c r="I88" s="13"/>
      <c r="J88" s="13"/>
      <c r="K88" s="13"/>
      <c r="L88" s="13"/>
      <c r="M88" s="13"/>
      <c r="N88" s="13"/>
      <c r="O88" s="13"/>
      <c r="P88" s="13"/>
      <c r="Q88" s="13"/>
      <c r="R88" s="13"/>
      <c r="S88" s="14">
        <f t="shared" si="11"/>
        <v>0</v>
      </c>
      <c r="T88" s="14">
        <f t="shared" si="12"/>
        <v>0</v>
      </c>
      <c r="U88" s="14">
        <f t="shared" si="13"/>
        <v>0</v>
      </c>
      <c r="V88" s="14">
        <f t="shared" si="14"/>
        <v>0</v>
      </c>
      <c r="W88" s="14">
        <f t="shared" si="15"/>
        <v>1</v>
      </c>
      <c r="X88" s="15">
        <f t="shared" si="16"/>
        <v>0</v>
      </c>
      <c r="Y88" s="16" t="s">
        <v>964</v>
      </c>
    </row>
    <row r="89" spans="1:25" ht="30" customHeight="1">
      <c r="A89" s="11">
        <v>87</v>
      </c>
      <c r="B89" s="46" t="s">
        <v>333</v>
      </c>
      <c r="C89" s="48" t="s">
        <v>674</v>
      </c>
      <c r="D89" s="12"/>
      <c r="E89" s="13"/>
      <c r="F89" s="13"/>
      <c r="G89" s="13"/>
      <c r="H89" s="13"/>
      <c r="I89" s="13"/>
      <c r="J89" s="13"/>
      <c r="K89" s="13"/>
      <c r="L89" s="13"/>
      <c r="M89" s="13"/>
      <c r="N89" s="13"/>
      <c r="O89" s="13"/>
      <c r="P89" s="13"/>
      <c r="Q89" s="13"/>
      <c r="R89" s="13"/>
      <c r="S89" s="14">
        <f t="shared" si="11"/>
        <v>0</v>
      </c>
      <c r="T89" s="14">
        <f t="shared" si="12"/>
        <v>0</v>
      </c>
      <c r="U89" s="14">
        <f t="shared" si="13"/>
        <v>0</v>
      </c>
      <c r="V89" s="14">
        <f t="shared" si="14"/>
        <v>0</v>
      </c>
      <c r="W89" s="14">
        <f t="shared" si="15"/>
        <v>1</v>
      </c>
      <c r="X89" s="15">
        <f t="shared" si="16"/>
        <v>0</v>
      </c>
      <c r="Y89" s="16" t="s">
        <v>965</v>
      </c>
    </row>
    <row r="90" spans="1:25" ht="30" customHeight="1">
      <c r="A90" s="11">
        <v>88</v>
      </c>
      <c r="B90" s="46" t="s">
        <v>334</v>
      </c>
      <c r="C90" s="46" t="s">
        <v>675</v>
      </c>
      <c r="D90" s="12"/>
      <c r="E90" s="13"/>
      <c r="F90" s="13"/>
      <c r="G90" s="13"/>
      <c r="H90" s="13"/>
      <c r="I90" s="13"/>
      <c r="J90" s="13"/>
      <c r="K90" s="13"/>
      <c r="L90" s="13"/>
      <c r="M90" s="13"/>
      <c r="N90" s="13"/>
      <c r="O90" s="13"/>
      <c r="P90" s="13"/>
      <c r="Q90" s="13"/>
      <c r="R90" s="13"/>
      <c r="S90" s="14">
        <f t="shared" si="11"/>
        <v>0</v>
      </c>
      <c r="T90" s="14">
        <f t="shared" si="12"/>
        <v>0</v>
      </c>
      <c r="U90" s="14">
        <f t="shared" si="13"/>
        <v>0</v>
      </c>
      <c r="V90" s="14">
        <f t="shared" si="14"/>
        <v>0</v>
      </c>
      <c r="W90" s="14">
        <f t="shared" si="15"/>
        <v>1</v>
      </c>
      <c r="X90" s="15">
        <f t="shared" si="16"/>
        <v>0</v>
      </c>
      <c r="Y90" s="16" t="s">
        <v>966</v>
      </c>
    </row>
    <row r="91" spans="1:25" ht="30" customHeight="1">
      <c r="A91" s="11">
        <v>89</v>
      </c>
      <c r="B91" s="46" t="s">
        <v>335</v>
      </c>
      <c r="C91" s="46" t="s">
        <v>676</v>
      </c>
      <c r="D91" s="12"/>
      <c r="E91" s="13"/>
      <c r="F91" s="13"/>
      <c r="G91" s="13"/>
      <c r="H91" s="13"/>
      <c r="I91" s="13"/>
      <c r="J91" s="13"/>
      <c r="K91" s="13"/>
      <c r="L91" s="13"/>
      <c r="M91" s="13"/>
      <c r="N91" s="13"/>
      <c r="O91" s="13"/>
      <c r="P91" s="13"/>
      <c r="Q91" s="13"/>
      <c r="R91" s="13"/>
      <c r="S91" s="14">
        <f t="shared" si="11"/>
        <v>0</v>
      </c>
      <c r="T91" s="14">
        <f t="shared" si="12"/>
        <v>0</v>
      </c>
      <c r="U91" s="14">
        <f t="shared" si="13"/>
        <v>0</v>
      </c>
      <c r="V91" s="14">
        <f t="shared" si="14"/>
        <v>0</v>
      </c>
      <c r="W91" s="14">
        <f t="shared" si="15"/>
        <v>1</v>
      </c>
      <c r="X91" s="15">
        <f t="shared" si="16"/>
        <v>0</v>
      </c>
      <c r="Y91" s="16"/>
    </row>
    <row r="92" spans="1:25" ht="52.8">
      <c r="A92" s="11">
        <v>90</v>
      </c>
      <c r="B92" s="46" t="s">
        <v>336</v>
      </c>
      <c r="C92" s="46" t="s">
        <v>677</v>
      </c>
      <c r="D92" s="12"/>
      <c r="E92" s="13"/>
      <c r="F92" s="13"/>
      <c r="G92" s="13"/>
      <c r="H92" s="13"/>
      <c r="I92" s="13"/>
      <c r="J92" s="13"/>
      <c r="K92" s="13"/>
      <c r="L92" s="13"/>
      <c r="M92" s="13"/>
      <c r="N92" s="13"/>
      <c r="O92" s="13"/>
      <c r="P92" s="13"/>
      <c r="Q92" s="13"/>
      <c r="R92" s="13"/>
      <c r="S92" s="14">
        <f t="shared" si="11"/>
        <v>0</v>
      </c>
      <c r="T92" s="14">
        <f t="shared" si="12"/>
        <v>0</v>
      </c>
      <c r="U92" s="14">
        <f t="shared" si="13"/>
        <v>0</v>
      </c>
      <c r="V92" s="14">
        <f t="shared" si="14"/>
        <v>0</v>
      </c>
      <c r="W92" s="14">
        <f t="shared" si="15"/>
        <v>1</v>
      </c>
      <c r="X92" s="15">
        <f t="shared" si="16"/>
        <v>0</v>
      </c>
      <c r="Y92" s="16"/>
    </row>
    <row r="93" spans="1:25" ht="30" customHeight="1">
      <c r="A93" s="11">
        <v>91</v>
      </c>
      <c r="B93" s="46" t="s">
        <v>337</v>
      </c>
      <c r="C93" s="46" t="s">
        <v>678</v>
      </c>
      <c r="D93" s="12"/>
      <c r="E93" s="13"/>
      <c r="F93" s="13"/>
      <c r="G93" s="13"/>
      <c r="H93" s="13"/>
      <c r="I93" s="13"/>
      <c r="J93" s="13"/>
      <c r="K93" s="13"/>
      <c r="L93" s="13"/>
      <c r="M93" s="13"/>
      <c r="N93" s="13"/>
      <c r="O93" s="13"/>
      <c r="P93" s="13"/>
      <c r="Q93" s="13"/>
      <c r="R93" s="13"/>
      <c r="S93" s="14">
        <f t="shared" si="11"/>
        <v>0</v>
      </c>
      <c r="T93" s="14">
        <f t="shared" si="12"/>
        <v>0</v>
      </c>
      <c r="U93" s="14">
        <f t="shared" si="13"/>
        <v>0</v>
      </c>
      <c r="V93" s="14">
        <f t="shared" si="14"/>
        <v>0</v>
      </c>
      <c r="W93" s="14">
        <f t="shared" si="15"/>
        <v>1</v>
      </c>
      <c r="X93" s="15">
        <f t="shared" si="16"/>
        <v>0</v>
      </c>
      <c r="Y93" s="16" t="s">
        <v>967</v>
      </c>
    </row>
    <row r="94" spans="1:25" ht="30" customHeight="1">
      <c r="A94" s="11">
        <v>92</v>
      </c>
      <c r="B94" s="46" t="s">
        <v>338</v>
      </c>
      <c r="C94" s="46" t="s">
        <v>338</v>
      </c>
      <c r="D94" s="12"/>
      <c r="E94" s="13"/>
      <c r="F94" s="13"/>
      <c r="G94" s="13"/>
      <c r="H94" s="13"/>
      <c r="I94" s="13"/>
      <c r="J94" s="13"/>
      <c r="K94" s="13"/>
      <c r="L94" s="13"/>
      <c r="M94" s="13"/>
      <c r="N94" s="13"/>
      <c r="O94" s="13"/>
      <c r="P94" s="13"/>
      <c r="Q94" s="13"/>
      <c r="R94" s="13"/>
      <c r="S94" s="14">
        <f t="shared" si="11"/>
        <v>0</v>
      </c>
      <c r="T94" s="14">
        <f t="shared" si="12"/>
        <v>0</v>
      </c>
      <c r="U94" s="14">
        <f t="shared" si="13"/>
        <v>0</v>
      </c>
      <c r="V94" s="14">
        <f t="shared" si="14"/>
        <v>0</v>
      </c>
      <c r="W94" s="14">
        <f t="shared" si="15"/>
        <v>1</v>
      </c>
      <c r="X94" s="15">
        <f t="shared" si="16"/>
        <v>0</v>
      </c>
      <c r="Y94" s="16"/>
    </row>
    <row r="95" spans="1:25" ht="30" customHeight="1">
      <c r="A95" s="11">
        <v>93</v>
      </c>
      <c r="B95" s="46" t="s">
        <v>339</v>
      </c>
      <c r="C95" s="46" t="s">
        <v>679</v>
      </c>
      <c r="D95" s="12"/>
      <c r="E95" s="13"/>
      <c r="F95" s="13"/>
      <c r="G95" s="13"/>
      <c r="H95" s="13"/>
      <c r="I95" s="13"/>
      <c r="J95" s="13"/>
      <c r="K95" s="13"/>
      <c r="L95" s="13"/>
      <c r="M95" s="13"/>
      <c r="N95" s="13"/>
      <c r="O95" s="13"/>
      <c r="P95" s="13"/>
      <c r="Q95" s="13"/>
      <c r="R95" s="13"/>
      <c r="S95" s="14">
        <f t="shared" si="11"/>
        <v>0</v>
      </c>
      <c r="T95" s="14">
        <f t="shared" si="12"/>
        <v>0</v>
      </c>
      <c r="U95" s="14">
        <f t="shared" si="13"/>
        <v>0</v>
      </c>
      <c r="V95" s="14">
        <f t="shared" si="14"/>
        <v>0</v>
      </c>
      <c r="W95" s="14">
        <f t="shared" si="15"/>
        <v>1</v>
      </c>
      <c r="X95" s="15">
        <f t="shared" si="16"/>
        <v>0</v>
      </c>
      <c r="Y95" s="16"/>
    </row>
    <row r="96" spans="1:25" ht="30" customHeight="1">
      <c r="A96" s="11">
        <v>94</v>
      </c>
      <c r="B96" s="46" t="s">
        <v>340</v>
      </c>
      <c r="C96" s="46" t="s">
        <v>680</v>
      </c>
      <c r="D96" s="12"/>
      <c r="E96" s="13"/>
      <c r="F96" s="13"/>
      <c r="G96" s="13"/>
      <c r="H96" s="13"/>
      <c r="I96" s="13"/>
      <c r="J96" s="13"/>
      <c r="K96" s="13"/>
      <c r="L96" s="13"/>
      <c r="M96" s="13"/>
      <c r="N96" s="13"/>
      <c r="O96" s="13"/>
      <c r="P96" s="13"/>
      <c r="Q96" s="13"/>
      <c r="R96" s="13"/>
      <c r="S96" s="14">
        <f t="shared" si="11"/>
        <v>0</v>
      </c>
      <c r="T96" s="14">
        <f t="shared" si="12"/>
        <v>0</v>
      </c>
      <c r="U96" s="14">
        <f t="shared" si="13"/>
        <v>0</v>
      </c>
      <c r="V96" s="14">
        <f t="shared" si="14"/>
        <v>0</v>
      </c>
      <c r="W96" s="14">
        <f t="shared" si="15"/>
        <v>1</v>
      </c>
      <c r="X96" s="15">
        <f t="shared" si="16"/>
        <v>0</v>
      </c>
      <c r="Y96" s="16" t="s">
        <v>968</v>
      </c>
    </row>
    <row r="97" spans="1:25" ht="30" customHeight="1">
      <c r="A97" s="11">
        <v>95</v>
      </c>
      <c r="B97" s="46" t="s">
        <v>341</v>
      </c>
      <c r="C97" s="46" t="s">
        <v>681</v>
      </c>
      <c r="D97" s="12"/>
      <c r="E97" s="13"/>
      <c r="F97" s="13"/>
      <c r="G97" s="13"/>
      <c r="H97" s="13"/>
      <c r="I97" s="13"/>
      <c r="J97" s="13"/>
      <c r="K97" s="13"/>
      <c r="L97" s="13"/>
      <c r="M97" s="13"/>
      <c r="N97" s="13"/>
      <c r="O97" s="13"/>
      <c r="P97" s="13"/>
      <c r="Q97" s="13"/>
      <c r="R97" s="13"/>
      <c r="S97" s="14">
        <f t="shared" si="11"/>
        <v>0</v>
      </c>
      <c r="T97" s="14">
        <f t="shared" si="12"/>
        <v>0</v>
      </c>
      <c r="U97" s="14">
        <f t="shared" si="13"/>
        <v>0</v>
      </c>
      <c r="V97" s="14">
        <f t="shared" si="14"/>
        <v>0</v>
      </c>
      <c r="W97" s="14">
        <f t="shared" si="15"/>
        <v>1</v>
      </c>
      <c r="X97" s="15">
        <f t="shared" si="16"/>
        <v>0</v>
      </c>
      <c r="Y97" s="16"/>
    </row>
    <row r="98" spans="1:25" ht="30" customHeight="1">
      <c r="A98" s="11">
        <v>96</v>
      </c>
      <c r="B98" s="46" t="s">
        <v>342</v>
      </c>
      <c r="C98" s="46" t="s">
        <v>682</v>
      </c>
      <c r="D98" s="12"/>
      <c r="E98" s="13"/>
      <c r="F98" s="13"/>
      <c r="G98" s="13"/>
      <c r="H98" s="13"/>
      <c r="I98" s="13"/>
      <c r="J98" s="13"/>
      <c r="K98" s="13"/>
      <c r="L98" s="13"/>
      <c r="M98" s="13"/>
      <c r="N98" s="13"/>
      <c r="O98" s="13"/>
      <c r="P98" s="13"/>
      <c r="Q98" s="13"/>
      <c r="R98" s="13"/>
      <c r="S98" s="14">
        <f t="shared" si="11"/>
        <v>0</v>
      </c>
      <c r="T98" s="14">
        <f t="shared" si="12"/>
        <v>0</v>
      </c>
      <c r="U98" s="14">
        <f t="shared" si="13"/>
        <v>0</v>
      </c>
      <c r="V98" s="14">
        <f t="shared" si="14"/>
        <v>0</v>
      </c>
      <c r="W98" s="14">
        <f t="shared" si="15"/>
        <v>1</v>
      </c>
      <c r="X98" s="15">
        <f t="shared" si="16"/>
        <v>0</v>
      </c>
      <c r="Y98" s="16" t="s">
        <v>968</v>
      </c>
    </row>
    <row r="99" spans="1:25" ht="30" customHeight="1">
      <c r="A99" s="11">
        <v>97</v>
      </c>
      <c r="B99" s="46" t="s">
        <v>343</v>
      </c>
      <c r="C99" s="46" t="s">
        <v>683</v>
      </c>
      <c r="D99" s="12"/>
      <c r="E99" s="13"/>
      <c r="F99" s="13"/>
      <c r="G99" s="13"/>
      <c r="H99" s="13"/>
      <c r="I99" s="13"/>
      <c r="J99" s="13"/>
      <c r="K99" s="13"/>
      <c r="L99" s="13"/>
      <c r="M99" s="13"/>
      <c r="N99" s="13"/>
      <c r="O99" s="13"/>
      <c r="P99" s="13"/>
      <c r="Q99" s="13"/>
      <c r="R99" s="13"/>
      <c r="S99" s="14">
        <f t="shared" ref="S99:S130" si="17">IF(SUM(E99:R99)&gt;0,1,0)</f>
        <v>0</v>
      </c>
      <c r="T99" s="14">
        <f t="shared" ref="T99:T130" si="18">IF(MAX(G99,H99,I99,J99,K99,M99,N99)&gt;0,1,0)</f>
        <v>0</v>
      </c>
      <c r="U99" s="14">
        <f t="shared" ref="U99:U130" si="19">IF(MAX(E99,F99,L99,O99,Q99)&gt;0,1,0)</f>
        <v>0</v>
      </c>
      <c r="V99" s="14">
        <f t="shared" ref="V99:V130" si="20">IF(P99&gt;0,1,0)</f>
        <v>0</v>
      </c>
      <c r="W99" s="14">
        <f t="shared" si="15"/>
        <v>1</v>
      </c>
      <c r="X99" s="15">
        <f t="shared" ref="X99:X130" si="21">SUMPRODUCT((E99:R99=1)*0.3)+SUMPRODUCT((E99:R99=2)*0.7)+SUMPRODUCT((E99:R99=3)*1.5)</f>
        <v>0</v>
      </c>
      <c r="Y99" s="16" t="s">
        <v>970</v>
      </c>
    </row>
    <row r="100" spans="1:25" ht="30" customHeight="1">
      <c r="A100" s="11">
        <v>98</v>
      </c>
      <c r="B100" s="46" t="s">
        <v>344</v>
      </c>
      <c r="C100" s="46" t="s">
        <v>684</v>
      </c>
      <c r="D100" s="12"/>
      <c r="E100" s="13"/>
      <c r="F100" s="13"/>
      <c r="G100" s="13"/>
      <c r="H100" s="13"/>
      <c r="I100" s="13"/>
      <c r="J100" s="13"/>
      <c r="K100" s="13"/>
      <c r="L100" s="13"/>
      <c r="M100" s="13"/>
      <c r="N100" s="13"/>
      <c r="O100" s="13"/>
      <c r="P100" s="13"/>
      <c r="Q100" s="13"/>
      <c r="R100" s="13"/>
      <c r="S100" s="14">
        <f t="shared" si="17"/>
        <v>0</v>
      </c>
      <c r="T100" s="14">
        <f t="shared" si="18"/>
        <v>0</v>
      </c>
      <c r="U100" s="14">
        <f t="shared" si="19"/>
        <v>0</v>
      </c>
      <c r="V100" s="14">
        <f t="shared" si="20"/>
        <v>0</v>
      </c>
      <c r="W100" s="14">
        <f t="shared" si="15"/>
        <v>1</v>
      </c>
      <c r="X100" s="15">
        <f t="shared" si="21"/>
        <v>0</v>
      </c>
      <c r="Y100" s="16" t="s">
        <v>931</v>
      </c>
    </row>
    <row r="101" spans="1:25" ht="30" customHeight="1">
      <c r="A101" s="11">
        <v>99</v>
      </c>
      <c r="B101" s="46" t="s">
        <v>345</v>
      </c>
      <c r="C101" s="46" t="s">
        <v>685</v>
      </c>
      <c r="D101" s="12"/>
      <c r="E101" s="13"/>
      <c r="F101" s="13"/>
      <c r="G101" s="13"/>
      <c r="H101" s="13"/>
      <c r="I101" s="13"/>
      <c r="J101" s="13"/>
      <c r="K101" s="13"/>
      <c r="L101" s="13"/>
      <c r="M101" s="13"/>
      <c r="N101" s="13"/>
      <c r="O101" s="13"/>
      <c r="P101" s="13"/>
      <c r="Q101" s="13"/>
      <c r="R101" s="13"/>
      <c r="S101" s="14">
        <f t="shared" si="17"/>
        <v>0</v>
      </c>
      <c r="T101" s="14">
        <f t="shared" si="18"/>
        <v>0</v>
      </c>
      <c r="U101" s="14">
        <f t="shared" si="19"/>
        <v>0</v>
      </c>
      <c r="V101" s="14">
        <f t="shared" si="20"/>
        <v>0</v>
      </c>
      <c r="W101" s="14">
        <f t="shared" si="15"/>
        <v>1</v>
      </c>
      <c r="X101" s="15">
        <f t="shared" si="21"/>
        <v>0</v>
      </c>
      <c r="Y101" s="16"/>
    </row>
    <row r="102" spans="1:25" ht="52.8">
      <c r="A102" s="11">
        <v>100</v>
      </c>
      <c r="B102" s="46" t="s">
        <v>346</v>
      </c>
      <c r="C102" s="46" t="s">
        <v>686</v>
      </c>
      <c r="D102" s="12"/>
      <c r="E102" s="13"/>
      <c r="F102" s="13"/>
      <c r="G102" s="13"/>
      <c r="H102" s="13"/>
      <c r="I102" s="13"/>
      <c r="J102" s="13"/>
      <c r="K102" s="13"/>
      <c r="L102" s="13"/>
      <c r="M102" s="13"/>
      <c r="N102" s="13"/>
      <c r="O102" s="13"/>
      <c r="P102" s="13"/>
      <c r="Q102" s="13"/>
      <c r="R102" s="13"/>
      <c r="S102" s="14">
        <f t="shared" si="17"/>
        <v>0</v>
      </c>
      <c r="T102" s="14">
        <f t="shared" si="18"/>
        <v>0</v>
      </c>
      <c r="U102" s="14">
        <f t="shared" si="19"/>
        <v>0</v>
      </c>
      <c r="V102" s="14">
        <f t="shared" si="20"/>
        <v>0</v>
      </c>
      <c r="W102" s="14">
        <f t="shared" si="15"/>
        <v>1</v>
      </c>
      <c r="X102" s="15">
        <f t="shared" si="21"/>
        <v>0</v>
      </c>
      <c r="Y102" s="16" t="s">
        <v>971</v>
      </c>
    </row>
    <row r="103" spans="1:25" ht="30" customHeight="1">
      <c r="A103" s="11">
        <v>101</v>
      </c>
      <c r="B103" s="46" t="s">
        <v>347</v>
      </c>
      <c r="C103" s="46" t="s">
        <v>687</v>
      </c>
      <c r="D103" s="12"/>
      <c r="E103" s="13"/>
      <c r="F103" s="13"/>
      <c r="G103" s="13"/>
      <c r="H103" s="13"/>
      <c r="I103" s="13"/>
      <c r="J103" s="13"/>
      <c r="K103" s="13"/>
      <c r="L103" s="13"/>
      <c r="M103" s="13"/>
      <c r="N103" s="13"/>
      <c r="O103" s="13"/>
      <c r="P103" s="13"/>
      <c r="Q103" s="13"/>
      <c r="R103" s="13"/>
      <c r="S103" s="14">
        <f t="shared" si="17"/>
        <v>0</v>
      </c>
      <c r="T103" s="14">
        <f t="shared" si="18"/>
        <v>0</v>
      </c>
      <c r="U103" s="14">
        <f t="shared" si="19"/>
        <v>0</v>
      </c>
      <c r="V103" s="14">
        <f t="shared" si="20"/>
        <v>0</v>
      </c>
      <c r="W103" s="14">
        <f t="shared" si="15"/>
        <v>1</v>
      </c>
      <c r="X103" s="15">
        <f t="shared" si="21"/>
        <v>0</v>
      </c>
      <c r="Y103" s="16" t="s">
        <v>972</v>
      </c>
    </row>
    <row r="104" spans="1:25" ht="30" customHeight="1">
      <c r="A104" s="11">
        <v>102</v>
      </c>
      <c r="B104" s="46" t="s">
        <v>348</v>
      </c>
      <c r="C104" s="46" t="s">
        <v>688</v>
      </c>
      <c r="D104" s="12"/>
      <c r="E104" s="13"/>
      <c r="F104" s="13"/>
      <c r="G104" s="13"/>
      <c r="H104" s="13"/>
      <c r="I104" s="13"/>
      <c r="J104" s="13"/>
      <c r="K104" s="13"/>
      <c r="L104" s="13"/>
      <c r="M104" s="13"/>
      <c r="N104" s="13"/>
      <c r="O104" s="13"/>
      <c r="P104" s="13"/>
      <c r="Q104" s="13"/>
      <c r="R104" s="13"/>
      <c r="S104" s="14">
        <f t="shared" si="17"/>
        <v>0</v>
      </c>
      <c r="T104" s="14">
        <f t="shared" si="18"/>
        <v>0</v>
      </c>
      <c r="U104" s="14">
        <f t="shared" si="19"/>
        <v>0</v>
      </c>
      <c r="V104" s="14">
        <f t="shared" si="20"/>
        <v>0</v>
      </c>
      <c r="W104" s="14">
        <f t="shared" si="15"/>
        <v>1</v>
      </c>
      <c r="X104" s="15">
        <f t="shared" si="21"/>
        <v>0</v>
      </c>
      <c r="Y104" s="16" t="s">
        <v>973</v>
      </c>
    </row>
    <row r="105" spans="1:25" ht="30" customHeight="1">
      <c r="A105" s="11">
        <v>103</v>
      </c>
      <c r="B105" s="46" t="s">
        <v>349</v>
      </c>
      <c r="C105" s="46" t="s">
        <v>689</v>
      </c>
      <c r="D105" s="12"/>
      <c r="E105" s="13"/>
      <c r="F105" s="13"/>
      <c r="G105" s="13"/>
      <c r="H105" s="13"/>
      <c r="I105" s="13"/>
      <c r="J105" s="13"/>
      <c r="K105" s="13"/>
      <c r="L105" s="13"/>
      <c r="M105" s="13"/>
      <c r="N105" s="13"/>
      <c r="O105" s="13"/>
      <c r="P105" s="13"/>
      <c r="Q105" s="13"/>
      <c r="R105" s="13"/>
      <c r="S105" s="14">
        <f t="shared" si="17"/>
        <v>0</v>
      </c>
      <c r="T105" s="14">
        <f t="shared" si="18"/>
        <v>0</v>
      </c>
      <c r="U105" s="14">
        <f t="shared" si="19"/>
        <v>0</v>
      </c>
      <c r="V105" s="14">
        <f t="shared" si="20"/>
        <v>0</v>
      </c>
      <c r="W105" s="14">
        <f t="shared" si="15"/>
        <v>1</v>
      </c>
      <c r="X105" s="15">
        <f t="shared" si="21"/>
        <v>0</v>
      </c>
      <c r="Y105" s="16" t="s">
        <v>975</v>
      </c>
    </row>
    <row r="106" spans="1:25" ht="30" customHeight="1">
      <c r="A106" s="11">
        <v>104</v>
      </c>
      <c r="B106" s="46" t="s">
        <v>350</v>
      </c>
      <c r="C106" s="46" t="s">
        <v>690</v>
      </c>
      <c r="D106" s="12"/>
      <c r="E106" s="13"/>
      <c r="F106" s="13"/>
      <c r="G106" s="13"/>
      <c r="H106" s="13"/>
      <c r="I106" s="13"/>
      <c r="J106" s="13"/>
      <c r="K106" s="13"/>
      <c r="L106" s="13"/>
      <c r="M106" s="13"/>
      <c r="N106" s="13"/>
      <c r="O106" s="13"/>
      <c r="P106" s="13"/>
      <c r="Q106" s="13"/>
      <c r="R106" s="13"/>
      <c r="S106" s="14">
        <f t="shared" si="17"/>
        <v>0</v>
      </c>
      <c r="T106" s="14">
        <f t="shared" si="18"/>
        <v>0</v>
      </c>
      <c r="U106" s="14">
        <f t="shared" si="19"/>
        <v>0</v>
      </c>
      <c r="V106" s="14">
        <f t="shared" si="20"/>
        <v>0</v>
      </c>
      <c r="W106" s="14">
        <f t="shared" si="15"/>
        <v>1</v>
      </c>
      <c r="X106" s="15">
        <f t="shared" si="21"/>
        <v>0</v>
      </c>
      <c r="Y106" s="16" t="s">
        <v>974</v>
      </c>
    </row>
    <row r="107" spans="1:25" ht="30" customHeight="1">
      <c r="A107" s="11">
        <v>105</v>
      </c>
      <c r="B107" s="46" t="s">
        <v>351</v>
      </c>
      <c r="C107" s="46" t="s">
        <v>691</v>
      </c>
      <c r="D107" s="12"/>
      <c r="E107" s="13"/>
      <c r="F107" s="13"/>
      <c r="G107" s="13"/>
      <c r="H107" s="13"/>
      <c r="I107" s="13"/>
      <c r="J107" s="13"/>
      <c r="K107" s="13"/>
      <c r="L107" s="13"/>
      <c r="M107" s="13"/>
      <c r="N107" s="13"/>
      <c r="O107" s="13"/>
      <c r="P107" s="13"/>
      <c r="Q107" s="13"/>
      <c r="R107" s="13"/>
      <c r="S107" s="14">
        <f t="shared" si="17"/>
        <v>0</v>
      </c>
      <c r="T107" s="14">
        <f t="shared" si="18"/>
        <v>0</v>
      </c>
      <c r="U107" s="14">
        <f t="shared" si="19"/>
        <v>0</v>
      </c>
      <c r="V107" s="14">
        <f t="shared" si="20"/>
        <v>0</v>
      </c>
      <c r="W107" s="14">
        <f t="shared" si="15"/>
        <v>1</v>
      </c>
      <c r="X107" s="15">
        <f t="shared" si="21"/>
        <v>0</v>
      </c>
      <c r="Y107" s="16"/>
    </row>
    <row r="108" spans="1:25" ht="30" customHeight="1">
      <c r="A108" s="11">
        <v>106</v>
      </c>
      <c r="B108" s="46" t="s">
        <v>352</v>
      </c>
      <c r="C108" s="46" t="s">
        <v>692</v>
      </c>
      <c r="D108" s="12"/>
      <c r="E108" s="13"/>
      <c r="F108" s="13"/>
      <c r="G108" s="13"/>
      <c r="H108" s="13"/>
      <c r="I108" s="13"/>
      <c r="J108" s="13"/>
      <c r="K108" s="13"/>
      <c r="L108" s="13"/>
      <c r="M108" s="13"/>
      <c r="N108" s="13"/>
      <c r="O108" s="13"/>
      <c r="P108" s="13"/>
      <c r="Q108" s="13"/>
      <c r="R108" s="13"/>
      <c r="S108" s="14">
        <f t="shared" si="17"/>
        <v>0</v>
      </c>
      <c r="T108" s="14">
        <f t="shared" si="18"/>
        <v>0</v>
      </c>
      <c r="U108" s="14">
        <f t="shared" si="19"/>
        <v>0</v>
      </c>
      <c r="V108" s="14">
        <f t="shared" si="20"/>
        <v>0</v>
      </c>
      <c r="W108" s="14">
        <f t="shared" si="15"/>
        <v>1</v>
      </c>
      <c r="X108" s="15">
        <f t="shared" si="21"/>
        <v>0</v>
      </c>
      <c r="Y108" s="16" t="s">
        <v>976</v>
      </c>
    </row>
    <row r="109" spans="1:25" ht="30" customHeight="1">
      <c r="A109" s="11">
        <v>107</v>
      </c>
      <c r="B109" s="46" t="s">
        <v>353</v>
      </c>
      <c r="C109" s="46" t="s">
        <v>693</v>
      </c>
      <c r="D109" s="12"/>
      <c r="E109" s="13"/>
      <c r="F109" s="13"/>
      <c r="G109" s="13"/>
      <c r="H109" s="13"/>
      <c r="I109" s="13"/>
      <c r="J109" s="13"/>
      <c r="K109" s="13"/>
      <c r="L109" s="13"/>
      <c r="M109" s="13"/>
      <c r="N109" s="13"/>
      <c r="O109" s="13"/>
      <c r="P109" s="13"/>
      <c r="Q109" s="13"/>
      <c r="R109" s="13"/>
      <c r="S109" s="14">
        <f t="shared" si="17"/>
        <v>0</v>
      </c>
      <c r="T109" s="14">
        <f t="shared" si="18"/>
        <v>0</v>
      </c>
      <c r="U109" s="14">
        <f t="shared" si="19"/>
        <v>0</v>
      </c>
      <c r="V109" s="14">
        <f t="shared" si="20"/>
        <v>0</v>
      </c>
      <c r="W109" s="14">
        <f t="shared" si="15"/>
        <v>1</v>
      </c>
      <c r="X109" s="15">
        <f t="shared" si="21"/>
        <v>0</v>
      </c>
      <c r="Y109" s="16"/>
    </row>
    <row r="110" spans="1:25" ht="52.8">
      <c r="A110" s="11">
        <v>108</v>
      </c>
      <c r="B110" s="46" t="s">
        <v>354</v>
      </c>
      <c r="C110" s="46" t="s">
        <v>694</v>
      </c>
      <c r="D110" s="12"/>
      <c r="E110" s="13"/>
      <c r="F110" s="13"/>
      <c r="G110" s="13"/>
      <c r="H110" s="13"/>
      <c r="I110" s="13"/>
      <c r="J110" s="13"/>
      <c r="K110" s="13"/>
      <c r="L110" s="13"/>
      <c r="M110" s="13"/>
      <c r="N110" s="13"/>
      <c r="O110" s="13"/>
      <c r="P110" s="13"/>
      <c r="Q110" s="13"/>
      <c r="R110" s="13"/>
      <c r="S110" s="14">
        <f t="shared" si="17"/>
        <v>0</v>
      </c>
      <c r="T110" s="14">
        <f t="shared" si="18"/>
        <v>0</v>
      </c>
      <c r="U110" s="14">
        <f t="shared" si="19"/>
        <v>0</v>
      </c>
      <c r="V110" s="14">
        <f t="shared" si="20"/>
        <v>0</v>
      </c>
      <c r="W110" s="14">
        <f t="shared" si="15"/>
        <v>1</v>
      </c>
      <c r="X110" s="15">
        <f t="shared" si="21"/>
        <v>0</v>
      </c>
      <c r="Y110" s="16" t="s">
        <v>977</v>
      </c>
    </row>
    <row r="111" spans="1:25" ht="30" customHeight="1">
      <c r="A111" s="11">
        <v>109</v>
      </c>
      <c r="B111" s="46" t="s">
        <v>355</v>
      </c>
      <c r="C111" s="46" t="s">
        <v>695</v>
      </c>
      <c r="D111" s="12"/>
      <c r="E111" s="13"/>
      <c r="F111" s="13"/>
      <c r="G111" s="13"/>
      <c r="H111" s="13"/>
      <c r="I111" s="13"/>
      <c r="J111" s="13"/>
      <c r="K111" s="13"/>
      <c r="L111" s="13"/>
      <c r="M111" s="13"/>
      <c r="N111" s="13"/>
      <c r="O111" s="13"/>
      <c r="P111" s="13"/>
      <c r="Q111" s="13"/>
      <c r="R111" s="13"/>
      <c r="S111" s="14">
        <f t="shared" si="17"/>
        <v>0</v>
      </c>
      <c r="T111" s="14">
        <f t="shared" si="18"/>
        <v>0</v>
      </c>
      <c r="U111" s="14">
        <f t="shared" si="19"/>
        <v>0</v>
      </c>
      <c r="V111" s="14">
        <f t="shared" si="20"/>
        <v>0</v>
      </c>
      <c r="W111" s="14">
        <f t="shared" si="15"/>
        <v>1</v>
      </c>
      <c r="X111" s="15">
        <f t="shared" si="21"/>
        <v>0</v>
      </c>
      <c r="Y111" s="16" t="s">
        <v>978</v>
      </c>
    </row>
    <row r="112" spans="1:25" ht="30" customHeight="1">
      <c r="A112" s="11">
        <v>110</v>
      </c>
      <c r="B112" s="46" t="s">
        <v>356</v>
      </c>
      <c r="C112" s="46" t="s">
        <v>696</v>
      </c>
      <c r="D112" s="12"/>
      <c r="E112" s="13"/>
      <c r="F112" s="13"/>
      <c r="G112" s="13"/>
      <c r="H112" s="13"/>
      <c r="I112" s="13"/>
      <c r="J112" s="13"/>
      <c r="K112" s="13"/>
      <c r="L112" s="13"/>
      <c r="M112" s="13"/>
      <c r="N112" s="13"/>
      <c r="O112" s="13"/>
      <c r="P112" s="13"/>
      <c r="Q112" s="13"/>
      <c r="R112" s="13"/>
      <c r="S112" s="14">
        <f t="shared" si="17"/>
        <v>0</v>
      </c>
      <c r="T112" s="14">
        <f t="shared" si="18"/>
        <v>0</v>
      </c>
      <c r="U112" s="14">
        <f t="shared" si="19"/>
        <v>0</v>
      </c>
      <c r="V112" s="14">
        <f t="shared" si="20"/>
        <v>0</v>
      </c>
      <c r="W112" s="14">
        <f t="shared" si="15"/>
        <v>1</v>
      </c>
      <c r="X112" s="15">
        <f t="shared" si="21"/>
        <v>0</v>
      </c>
      <c r="Y112" s="16" t="s">
        <v>979</v>
      </c>
    </row>
    <row r="113" spans="1:25" ht="30" customHeight="1">
      <c r="A113" s="11">
        <v>111</v>
      </c>
      <c r="B113" s="46" t="s">
        <v>357</v>
      </c>
      <c r="C113" s="46" t="s">
        <v>697</v>
      </c>
      <c r="D113" s="12"/>
      <c r="E113" s="13"/>
      <c r="F113" s="13"/>
      <c r="G113" s="13"/>
      <c r="H113" s="13"/>
      <c r="I113" s="13"/>
      <c r="J113" s="13"/>
      <c r="K113" s="13"/>
      <c r="L113" s="13"/>
      <c r="M113" s="13"/>
      <c r="N113" s="13"/>
      <c r="O113" s="13"/>
      <c r="P113" s="13"/>
      <c r="Q113" s="13"/>
      <c r="R113" s="13"/>
      <c r="S113" s="14">
        <f t="shared" si="17"/>
        <v>0</v>
      </c>
      <c r="T113" s="14">
        <f t="shared" si="18"/>
        <v>0</v>
      </c>
      <c r="U113" s="14">
        <f t="shared" si="19"/>
        <v>0</v>
      </c>
      <c r="V113" s="14">
        <f t="shared" si="20"/>
        <v>0</v>
      </c>
      <c r="W113" s="14">
        <f t="shared" si="15"/>
        <v>1</v>
      </c>
      <c r="X113" s="15">
        <f t="shared" si="21"/>
        <v>0</v>
      </c>
      <c r="Y113" s="16" t="s">
        <v>980</v>
      </c>
    </row>
    <row r="114" spans="1:25" ht="52.8">
      <c r="A114" s="11">
        <v>112</v>
      </c>
      <c r="B114" s="46" t="s">
        <v>358</v>
      </c>
      <c r="C114" s="46" t="s">
        <v>698</v>
      </c>
      <c r="D114" s="12"/>
      <c r="E114" s="13"/>
      <c r="F114" s="13"/>
      <c r="G114" s="13"/>
      <c r="H114" s="13"/>
      <c r="I114" s="13"/>
      <c r="J114" s="13"/>
      <c r="K114" s="13"/>
      <c r="L114" s="13"/>
      <c r="M114" s="13"/>
      <c r="N114" s="13"/>
      <c r="O114" s="13"/>
      <c r="P114" s="13"/>
      <c r="Q114" s="13"/>
      <c r="R114" s="13"/>
      <c r="S114" s="14">
        <f t="shared" si="17"/>
        <v>0</v>
      </c>
      <c r="T114" s="14">
        <f t="shared" si="18"/>
        <v>0</v>
      </c>
      <c r="U114" s="14">
        <f t="shared" si="19"/>
        <v>0</v>
      </c>
      <c r="V114" s="14">
        <f t="shared" si="20"/>
        <v>0</v>
      </c>
      <c r="W114" s="14">
        <f t="shared" si="15"/>
        <v>1</v>
      </c>
      <c r="X114" s="15">
        <f t="shared" si="21"/>
        <v>0</v>
      </c>
      <c r="Y114" s="16" t="s">
        <v>981</v>
      </c>
    </row>
    <row r="115" spans="1:25" ht="30" customHeight="1">
      <c r="A115" s="11">
        <v>113</v>
      </c>
      <c r="B115" s="46" t="s">
        <v>359</v>
      </c>
      <c r="C115" s="46" t="s">
        <v>699</v>
      </c>
      <c r="D115" s="12"/>
      <c r="E115" s="13"/>
      <c r="F115" s="13"/>
      <c r="G115" s="13"/>
      <c r="H115" s="13"/>
      <c r="I115" s="13"/>
      <c r="J115" s="13"/>
      <c r="K115" s="13"/>
      <c r="L115" s="13"/>
      <c r="M115" s="13"/>
      <c r="N115" s="13"/>
      <c r="O115" s="13"/>
      <c r="P115" s="13"/>
      <c r="Q115" s="13"/>
      <c r="R115" s="13"/>
      <c r="S115" s="14">
        <f t="shared" si="17"/>
        <v>0</v>
      </c>
      <c r="T115" s="14">
        <f t="shared" si="18"/>
        <v>0</v>
      </c>
      <c r="U115" s="14">
        <f t="shared" si="19"/>
        <v>0</v>
      </c>
      <c r="V115" s="14">
        <f t="shared" si="20"/>
        <v>0</v>
      </c>
      <c r="W115" s="14">
        <f t="shared" si="15"/>
        <v>1</v>
      </c>
      <c r="X115" s="15">
        <f t="shared" si="21"/>
        <v>0</v>
      </c>
      <c r="Y115" s="16" t="s">
        <v>982</v>
      </c>
    </row>
    <row r="116" spans="1:25" ht="30" customHeight="1">
      <c r="A116" s="11">
        <v>114</v>
      </c>
      <c r="B116" s="46" t="s">
        <v>360</v>
      </c>
      <c r="C116" s="46" t="s">
        <v>700</v>
      </c>
      <c r="D116" s="12"/>
      <c r="E116" s="13"/>
      <c r="F116" s="13"/>
      <c r="G116" s="13"/>
      <c r="H116" s="13"/>
      <c r="I116" s="13"/>
      <c r="J116" s="13"/>
      <c r="K116" s="13"/>
      <c r="L116" s="13"/>
      <c r="M116" s="13"/>
      <c r="N116" s="13"/>
      <c r="O116" s="13"/>
      <c r="P116" s="13"/>
      <c r="Q116" s="13"/>
      <c r="R116" s="13"/>
      <c r="S116" s="14">
        <f t="shared" si="17"/>
        <v>0</v>
      </c>
      <c r="T116" s="14">
        <f t="shared" si="18"/>
        <v>0</v>
      </c>
      <c r="U116" s="14">
        <f t="shared" si="19"/>
        <v>0</v>
      </c>
      <c r="V116" s="14">
        <f t="shared" si="20"/>
        <v>0</v>
      </c>
      <c r="W116" s="14">
        <f t="shared" si="15"/>
        <v>1</v>
      </c>
      <c r="X116" s="15">
        <f t="shared" si="21"/>
        <v>0</v>
      </c>
      <c r="Y116" s="16" t="s">
        <v>983</v>
      </c>
    </row>
    <row r="117" spans="1:25" ht="30" customHeight="1">
      <c r="A117" s="11">
        <v>115</v>
      </c>
      <c r="B117" s="46" t="s">
        <v>361</v>
      </c>
      <c r="C117" s="46" t="s">
        <v>701</v>
      </c>
      <c r="D117" s="12"/>
      <c r="E117" s="13"/>
      <c r="F117" s="13"/>
      <c r="G117" s="13"/>
      <c r="H117" s="13"/>
      <c r="I117" s="13"/>
      <c r="J117" s="13"/>
      <c r="K117" s="13"/>
      <c r="L117" s="13"/>
      <c r="M117" s="13"/>
      <c r="N117" s="13"/>
      <c r="O117" s="13"/>
      <c r="P117" s="13"/>
      <c r="Q117" s="13"/>
      <c r="R117" s="13"/>
      <c r="S117" s="14">
        <f t="shared" si="17"/>
        <v>0</v>
      </c>
      <c r="T117" s="14">
        <f t="shared" si="18"/>
        <v>0</v>
      </c>
      <c r="U117" s="14">
        <f t="shared" si="19"/>
        <v>0</v>
      </c>
      <c r="V117" s="14">
        <f t="shared" si="20"/>
        <v>0</v>
      </c>
      <c r="W117" s="14">
        <f t="shared" si="15"/>
        <v>1</v>
      </c>
      <c r="X117" s="15">
        <f t="shared" si="21"/>
        <v>0</v>
      </c>
      <c r="Y117" s="16"/>
    </row>
    <row r="118" spans="1:25" ht="30" customHeight="1">
      <c r="A118" s="11">
        <v>116</v>
      </c>
      <c r="B118" s="46" t="s">
        <v>362</v>
      </c>
      <c r="C118" s="46" t="s">
        <v>702</v>
      </c>
      <c r="D118" s="12"/>
      <c r="E118" s="13"/>
      <c r="F118" s="13"/>
      <c r="G118" s="13"/>
      <c r="H118" s="13"/>
      <c r="I118" s="13"/>
      <c r="J118" s="13"/>
      <c r="K118" s="13"/>
      <c r="L118" s="13"/>
      <c r="M118" s="13"/>
      <c r="N118" s="13"/>
      <c r="O118" s="13"/>
      <c r="P118" s="13"/>
      <c r="Q118" s="13"/>
      <c r="R118" s="13"/>
      <c r="S118" s="14">
        <f t="shared" si="17"/>
        <v>0</v>
      </c>
      <c r="T118" s="14">
        <f t="shared" si="18"/>
        <v>0</v>
      </c>
      <c r="U118" s="14">
        <f t="shared" si="19"/>
        <v>0</v>
      </c>
      <c r="V118" s="14">
        <f t="shared" si="20"/>
        <v>0</v>
      </c>
      <c r="W118" s="14">
        <f t="shared" si="15"/>
        <v>1</v>
      </c>
      <c r="X118" s="15">
        <f t="shared" si="21"/>
        <v>0</v>
      </c>
      <c r="Y118" s="16" t="s">
        <v>984</v>
      </c>
    </row>
    <row r="119" spans="1:25" ht="30" customHeight="1">
      <c r="A119" s="11">
        <v>117</v>
      </c>
      <c r="B119" s="46" t="s">
        <v>363</v>
      </c>
      <c r="C119" s="46" t="s">
        <v>703</v>
      </c>
      <c r="D119" s="12"/>
      <c r="E119" s="13"/>
      <c r="F119" s="13"/>
      <c r="G119" s="13"/>
      <c r="H119" s="13"/>
      <c r="I119" s="13"/>
      <c r="J119" s="13"/>
      <c r="K119" s="13"/>
      <c r="L119" s="13"/>
      <c r="M119" s="13"/>
      <c r="N119" s="13"/>
      <c r="O119" s="13"/>
      <c r="P119" s="13"/>
      <c r="Q119" s="13"/>
      <c r="R119" s="13"/>
      <c r="S119" s="14">
        <f t="shared" si="17"/>
        <v>0</v>
      </c>
      <c r="T119" s="14">
        <f t="shared" si="18"/>
        <v>0</v>
      </c>
      <c r="U119" s="14">
        <f t="shared" si="19"/>
        <v>0</v>
      </c>
      <c r="V119" s="14">
        <f t="shared" si="20"/>
        <v>0</v>
      </c>
      <c r="W119" s="14">
        <f t="shared" si="15"/>
        <v>1</v>
      </c>
      <c r="X119" s="15">
        <f t="shared" si="21"/>
        <v>0</v>
      </c>
      <c r="Y119" s="16" t="s">
        <v>932</v>
      </c>
    </row>
    <row r="120" spans="1:25" ht="30" customHeight="1">
      <c r="A120" s="11">
        <v>118</v>
      </c>
      <c r="B120" s="46" t="s">
        <v>364</v>
      </c>
      <c r="C120" s="46" t="s">
        <v>704</v>
      </c>
      <c r="D120" s="12"/>
      <c r="E120" s="13"/>
      <c r="F120" s="13"/>
      <c r="G120" s="13"/>
      <c r="H120" s="13"/>
      <c r="I120" s="13"/>
      <c r="J120" s="13"/>
      <c r="K120" s="13"/>
      <c r="L120" s="13"/>
      <c r="M120" s="13"/>
      <c r="N120" s="13"/>
      <c r="O120" s="13"/>
      <c r="P120" s="13"/>
      <c r="Q120" s="13"/>
      <c r="R120" s="13"/>
      <c r="S120" s="14">
        <f t="shared" si="17"/>
        <v>0</v>
      </c>
      <c r="T120" s="14">
        <f t="shared" si="18"/>
        <v>0</v>
      </c>
      <c r="U120" s="14">
        <f t="shared" si="19"/>
        <v>0</v>
      </c>
      <c r="V120" s="14">
        <f t="shared" si="20"/>
        <v>0</v>
      </c>
      <c r="W120" s="14">
        <f t="shared" si="15"/>
        <v>1</v>
      </c>
      <c r="X120" s="15">
        <f t="shared" si="21"/>
        <v>0</v>
      </c>
      <c r="Y120" s="16"/>
    </row>
    <row r="121" spans="1:25" ht="30" customHeight="1">
      <c r="A121" s="11">
        <v>119</v>
      </c>
      <c r="B121" s="46" t="s">
        <v>365</v>
      </c>
      <c r="C121" s="46" t="s">
        <v>705</v>
      </c>
      <c r="D121" s="12"/>
      <c r="E121" s="13"/>
      <c r="F121" s="13"/>
      <c r="G121" s="13"/>
      <c r="H121" s="13"/>
      <c r="I121" s="13"/>
      <c r="J121" s="13"/>
      <c r="K121" s="13"/>
      <c r="L121" s="13"/>
      <c r="M121" s="13"/>
      <c r="N121" s="13"/>
      <c r="O121" s="13"/>
      <c r="P121" s="13"/>
      <c r="Q121" s="13"/>
      <c r="R121" s="13"/>
      <c r="S121" s="14">
        <f t="shared" si="17"/>
        <v>0</v>
      </c>
      <c r="T121" s="14">
        <f t="shared" si="18"/>
        <v>0</v>
      </c>
      <c r="U121" s="14">
        <f t="shared" si="19"/>
        <v>0</v>
      </c>
      <c r="V121" s="14">
        <f t="shared" si="20"/>
        <v>0</v>
      </c>
      <c r="W121" s="14">
        <f t="shared" si="15"/>
        <v>1</v>
      </c>
      <c r="X121" s="15">
        <f t="shared" si="21"/>
        <v>0</v>
      </c>
      <c r="Y121" s="16" t="s">
        <v>985</v>
      </c>
    </row>
    <row r="122" spans="1:25" ht="30" customHeight="1">
      <c r="A122" s="11">
        <v>120</v>
      </c>
      <c r="B122" s="46" t="s">
        <v>366</v>
      </c>
      <c r="C122" s="46" t="s">
        <v>706</v>
      </c>
      <c r="D122" s="12"/>
      <c r="E122" s="13"/>
      <c r="F122" s="13"/>
      <c r="G122" s="13"/>
      <c r="H122" s="13"/>
      <c r="I122" s="13"/>
      <c r="J122" s="13"/>
      <c r="K122" s="13"/>
      <c r="L122" s="13"/>
      <c r="M122" s="13"/>
      <c r="N122" s="13"/>
      <c r="O122" s="13"/>
      <c r="P122" s="13"/>
      <c r="Q122" s="13"/>
      <c r="R122" s="13"/>
      <c r="S122" s="14">
        <f t="shared" si="17"/>
        <v>0</v>
      </c>
      <c r="T122" s="14">
        <f t="shared" si="18"/>
        <v>0</v>
      </c>
      <c r="U122" s="14">
        <f t="shared" si="19"/>
        <v>0</v>
      </c>
      <c r="V122" s="14">
        <f t="shared" si="20"/>
        <v>0</v>
      </c>
      <c r="W122" s="14">
        <f t="shared" si="15"/>
        <v>1</v>
      </c>
      <c r="X122" s="15">
        <f t="shared" si="21"/>
        <v>0</v>
      </c>
      <c r="Y122" s="16" t="s">
        <v>986</v>
      </c>
    </row>
    <row r="123" spans="1:25" ht="30" customHeight="1">
      <c r="A123" s="11">
        <v>121</v>
      </c>
      <c r="B123" s="46" t="s">
        <v>367</v>
      </c>
      <c r="C123" s="46" t="s">
        <v>707</v>
      </c>
      <c r="D123" s="12"/>
      <c r="E123" s="13"/>
      <c r="F123" s="13"/>
      <c r="G123" s="13"/>
      <c r="H123" s="13"/>
      <c r="I123" s="13"/>
      <c r="J123" s="13"/>
      <c r="K123" s="13"/>
      <c r="L123" s="13"/>
      <c r="M123" s="13"/>
      <c r="N123" s="13"/>
      <c r="O123" s="13"/>
      <c r="P123" s="13"/>
      <c r="Q123" s="13"/>
      <c r="R123" s="13"/>
      <c r="S123" s="14">
        <f t="shared" si="17"/>
        <v>0</v>
      </c>
      <c r="T123" s="14">
        <f t="shared" si="18"/>
        <v>0</v>
      </c>
      <c r="U123" s="14">
        <f t="shared" si="19"/>
        <v>0</v>
      </c>
      <c r="V123" s="14">
        <f t="shared" si="20"/>
        <v>0</v>
      </c>
      <c r="W123" s="14">
        <f t="shared" si="15"/>
        <v>1</v>
      </c>
      <c r="X123" s="15">
        <f t="shared" si="21"/>
        <v>0</v>
      </c>
      <c r="Y123" s="16"/>
    </row>
    <row r="124" spans="1:25" ht="30" customHeight="1">
      <c r="A124" s="11">
        <v>122</v>
      </c>
      <c r="B124" s="46" t="s">
        <v>368</v>
      </c>
      <c r="C124" s="46" t="s">
        <v>708</v>
      </c>
      <c r="D124" s="12"/>
      <c r="E124" s="13"/>
      <c r="F124" s="13"/>
      <c r="G124" s="13"/>
      <c r="H124" s="13"/>
      <c r="I124" s="13"/>
      <c r="J124" s="13"/>
      <c r="K124" s="13"/>
      <c r="L124" s="13"/>
      <c r="M124" s="13"/>
      <c r="N124" s="13"/>
      <c r="O124" s="13"/>
      <c r="P124" s="13"/>
      <c r="Q124" s="13"/>
      <c r="R124" s="13"/>
      <c r="S124" s="14">
        <f t="shared" si="17"/>
        <v>0</v>
      </c>
      <c r="T124" s="14">
        <f t="shared" si="18"/>
        <v>0</v>
      </c>
      <c r="U124" s="14">
        <f t="shared" si="19"/>
        <v>0</v>
      </c>
      <c r="V124" s="14">
        <f t="shared" si="20"/>
        <v>0</v>
      </c>
      <c r="W124" s="14">
        <f t="shared" si="15"/>
        <v>1</v>
      </c>
      <c r="X124" s="15">
        <f t="shared" si="21"/>
        <v>0</v>
      </c>
      <c r="Y124" s="16"/>
    </row>
    <row r="125" spans="1:25" ht="43.2">
      <c r="A125" s="11">
        <v>123</v>
      </c>
      <c r="B125" s="46" t="s">
        <v>369</v>
      </c>
      <c r="C125" s="46" t="s">
        <v>709</v>
      </c>
      <c r="D125" s="12"/>
      <c r="E125" s="13"/>
      <c r="F125" s="13"/>
      <c r="G125" s="13"/>
      <c r="H125" s="13"/>
      <c r="I125" s="13"/>
      <c r="J125" s="13"/>
      <c r="K125" s="13"/>
      <c r="L125" s="13"/>
      <c r="M125" s="13"/>
      <c r="N125" s="13"/>
      <c r="O125" s="13"/>
      <c r="P125" s="13"/>
      <c r="Q125" s="13"/>
      <c r="R125" s="13"/>
      <c r="S125" s="14">
        <f t="shared" si="17"/>
        <v>0</v>
      </c>
      <c r="T125" s="14">
        <f t="shared" si="18"/>
        <v>0</v>
      </c>
      <c r="U125" s="14">
        <f t="shared" si="19"/>
        <v>0</v>
      </c>
      <c r="V125" s="14">
        <f t="shared" si="20"/>
        <v>0</v>
      </c>
      <c r="W125" s="14">
        <f t="shared" si="15"/>
        <v>1</v>
      </c>
      <c r="X125" s="15">
        <f t="shared" si="21"/>
        <v>0</v>
      </c>
      <c r="Y125" s="16" t="s">
        <v>1007</v>
      </c>
    </row>
    <row r="126" spans="1:25" ht="39.6">
      <c r="A126" s="11">
        <v>124</v>
      </c>
      <c r="B126" s="46" t="s">
        <v>370</v>
      </c>
      <c r="C126" s="46" t="s">
        <v>710</v>
      </c>
      <c r="D126" s="12"/>
      <c r="E126" s="13"/>
      <c r="F126" s="13"/>
      <c r="G126" s="13"/>
      <c r="H126" s="13"/>
      <c r="I126" s="13"/>
      <c r="J126" s="13"/>
      <c r="K126" s="13"/>
      <c r="L126" s="13"/>
      <c r="M126" s="13"/>
      <c r="N126" s="13"/>
      <c r="O126" s="13"/>
      <c r="P126" s="13"/>
      <c r="Q126" s="13"/>
      <c r="R126" s="13"/>
      <c r="S126" s="14">
        <f t="shared" si="17"/>
        <v>0</v>
      </c>
      <c r="T126" s="14">
        <f t="shared" si="18"/>
        <v>0</v>
      </c>
      <c r="U126" s="14">
        <f t="shared" si="19"/>
        <v>0</v>
      </c>
      <c r="V126" s="14">
        <f t="shared" si="20"/>
        <v>0</v>
      </c>
      <c r="W126" s="14">
        <f t="shared" si="15"/>
        <v>1</v>
      </c>
      <c r="X126" s="15">
        <f t="shared" si="21"/>
        <v>0</v>
      </c>
      <c r="Y126" s="16" t="s">
        <v>987</v>
      </c>
    </row>
    <row r="127" spans="1:25" ht="30" customHeight="1">
      <c r="A127" s="11">
        <v>125</v>
      </c>
      <c r="B127" s="46" t="s">
        <v>371</v>
      </c>
      <c r="C127" s="46" t="s">
        <v>711</v>
      </c>
      <c r="D127" s="12"/>
      <c r="E127" s="13"/>
      <c r="F127" s="13"/>
      <c r="G127" s="13"/>
      <c r="H127" s="13"/>
      <c r="I127" s="13"/>
      <c r="J127" s="13"/>
      <c r="K127" s="13"/>
      <c r="L127" s="13"/>
      <c r="M127" s="13"/>
      <c r="N127" s="13"/>
      <c r="O127" s="13"/>
      <c r="P127" s="13"/>
      <c r="Q127" s="13"/>
      <c r="R127" s="13"/>
      <c r="S127" s="14">
        <f t="shared" si="17"/>
        <v>0</v>
      </c>
      <c r="T127" s="14">
        <f t="shared" si="18"/>
        <v>0</v>
      </c>
      <c r="U127" s="14">
        <f t="shared" si="19"/>
        <v>0</v>
      </c>
      <c r="V127" s="14">
        <f t="shared" si="20"/>
        <v>0</v>
      </c>
      <c r="W127" s="14">
        <f t="shared" si="15"/>
        <v>1</v>
      </c>
      <c r="X127" s="15">
        <f t="shared" si="21"/>
        <v>0</v>
      </c>
      <c r="Y127" s="16" t="s">
        <v>988</v>
      </c>
    </row>
    <row r="128" spans="1:25" ht="30" customHeight="1">
      <c r="A128" s="11">
        <v>126</v>
      </c>
      <c r="B128" s="46" t="s">
        <v>372</v>
      </c>
      <c r="C128" s="46" t="s">
        <v>712</v>
      </c>
      <c r="D128" s="12"/>
      <c r="E128" s="13"/>
      <c r="F128" s="13"/>
      <c r="G128" s="13"/>
      <c r="H128" s="13"/>
      <c r="I128" s="13"/>
      <c r="J128" s="13"/>
      <c r="K128" s="13"/>
      <c r="L128" s="13"/>
      <c r="M128" s="13"/>
      <c r="N128" s="13"/>
      <c r="O128" s="13"/>
      <c r="P128" s="13"/>
      <c r="Q128" s="13"/>
      <c r="R128" s="13"/>
      <c r="S128" s="14">
        <f t="shared" si="17"/>
        <v>0</v>
      </c>
      <c r="T128" s="14">
        <f t="shared" si="18"/>
        <v>0</v>
      </c>
      <c r="U128" s="14">
        <f t="shared" si="19"/>
        <v>0</v>
      </c>
      <c r="V128" s="14">
        <f t="shared" si="20"/>
        <v>0</v>
      </c>
      <c r="W128" s="14">
        <f t="shared" si="15"/>
        <v>1</v>
      </c>
      <c r="X128" s="15">
        <f t="shared" si="21"/>
        <v>0</v>
      </c>
      <c r="Y128" s="16" t="s">
        <v>989</v>
      </c>
    </row>
    <row r="129" spans="1:25" ht="30" customHeight="1">
      <c r="A129" s="11">
        <v>127</v>
      </c>
      <c r="B129" s="46" t="s">
        <v>373</v>
      </c>
      <c r="C129" s="46" t="s">
        <v>713</v>
      </c>
      <c r="D129" s="12"/>
      <c r="E129" s="13"/>
      <c r="F129" s="13"/>
      <c r="G129" s="13"/>
      <c r="H129" s="13"/>
      <c r="I129" s="13"/>
      <c r="J129" s="13"/>
      <c r="K129" s="13"/>
      <c r="L129" s="13"/>
      <c r="M129" s="13"/>
      <c r="N129" s="13"/>
      <c r="O129" s="13"/>
      <c r="P129" s="13"/>
      <c r="Q129" s="13"/>
      <c r="R129" s="13"/>
      <c r="S129" s="14">
        <f t="shared" si="17"/>
        <v>0</v>
      </c>
      <c r="T129" s="14">
        <f t="shared" si="18"/>
        <v>0</v>
      </c>
      <c r="U129" s="14">
        <f t="shared" si="19"/>
        <v>0</v>
      </c>
      <c r="V129" s="14">
        <f t="shared" si="20"/>
        <v>0</v>
      </c>
      <c r="W129" s="14">
        <f t="shared" si="15"/>
        <v>1</v>
      </c>
      <c r="X129" s="15">
        <f t="shared" si="21"/>
        <v>0</v>
      </c>
      <c r="Y129" s="16" t="s">
        <v>990</v>
      </c>
    </row>
    <row r="130" spans="1:25" ht="52.8">
      <c r="A130" s="11">
        <v>128</v>
      </c>
      <c r="B130" s="46" t="s">
        <v>374</v>
      </c>
      <c r="C130" s="46" t="s">
        <v>714</v>
      </c>
      <c r="D130" s="12"/>
      <c r="E130" s="13"/>
      <c r="F130" s="13"/>
      <c r="G130" s="13"/>
      <c r="H130" s="13"/>
      <c r="I130" s="13"/>
      <c r="J130" s="13"/>
      <c r="K130" s="13"/>
      <c r="L130" s="13"/>
      <c r="M130" s="13"/>
      <c r="N130" s="13"/>
      <c r="O130" s="13"/>
      <c r="P130" s="13"/>
      <c r="Q130" s="13"/>
      <c r="R130" s="13"/>
      <c r="S130" s="14">
        <f t="shared" si="17"/>
        <v>0</v>
      </c>
      <c r="T130" s="14">
        <f t="shared" si="18"/>
        <v>0</v>
      </c>
      <c r="U130" s="14">
        <f t="shared" si="19"/>
        <v>0</v>
      </c>
      <c r="V130" s="14">
        <f t="shared" si="20"/>
        <v>0</v>
      </c>
      <c r="W130" s="14">
        <f t="shared" si="15"/>
        <v>1</v>
      </c>
      <c r="X130" s="15">
        <f t="shared" si="21"/>
        <v>0</v>
      </c>
      <c r="Y130" s="16" t="s">
        <v>991</v>
      </c>
    </row>
    <row r="131" spans="1:25" ht="30" customHeight="1">
      <c r="A131" s="11">
        <v>129</v>
      </c>
      <c r="B131" s="46" t="s">
        <v>375</v>
      </c>
      <c r="C131" s="46" t="s">
        <v>715</v>
      </c>
      <c r="D131" s="12"/>
      <c r="E131" s="13"/>
      <c r="F131" s="13"/>
      <c r="G131" s="13"/>
      <c r="H131" s="13"/>
      <c r="I131" s="13"/>
      <c r="J131" s="13"/>
      <c r="K131" s="13"/>
      <c r="L131" s="13"/>
      <c r="M131" s="13"/>
      <c r="N131" s="13"/>
      <c r="O131" s="13"/>
      <c r="P131" s="13"/>
      <c r="Q131" s="13"/>
      <c r="R131" s="13"/>
      <c r="S131" s="14">
        <f t="shared" ref="S131:S162" si="22">IF(SUM(E131:R131)&gt;0,1,0)</f>
        <v>0</v>
      </c>
      <c r="T131" s="14">
        <f t="shared" ref="T131:T162" si="23">IF(MAX(G131,H131,I131,J131,K131,M131,N131)&gt;0,1,0)</f>
        <v>0</v>
      </c>
      <c r="U131" s="14">
        <f t="shared" ref="U131:U162" si="24">IF(MAX(E131,F131,L131,O131,Q131)&gt;0,1,0)</f>
        <v>0</v>
      </c>
      <c r="V131" s="14">
        <f t="shared" ref="V131:V162" si="25">IF(P131&gt;0,1,0)</f>
        <v>0</v>
      </c>
      <c r="W131" s="14">
        <f t="shared" ref="W131:W194" si="26">IF(AND(B131&lt;&gt;"",S131=0),1,0)</f>
        <v>1</v>
      </c>
      <c r="X131" s="15">
        <f t="shared" ref="X131:X162" si="27">SUMPRODUCT((E131:R131=1)*0.3)+SUMPRODUCT((E131:R131=2)*0.7)+SUMPRODUCT((E131:R131=3)*1.5)</f>
        <v>0</v>
      </c>
      <c r="Y131" s="16"/>
    </row>
    <row r="132" spans="1:25" ht="30" customHeight="1">
      <c r="A132" s="11">
        <v>130</v>
      </c>
      <c r="B132" s="46" t="s">
        <v>376</v>
      </c>
      <c r="C132" s="46" t="s">
        <v>716</v>
      </c>
      <c r="D132" s="12"/>
      <c r="E132" s="13"/>
      <c r="F132" s="13"/>
      <c r="G132" s="13"/>
      <c r="H132" s="13"/>
      <c r="I132" s="13"/>
      <c r="J132" s="13"/>
      <c r="K132" s="13"/>
      <c r="L132" s="13"/>
      <c r="M132" s="13"/>
      <c r="N132" s="13"/>
      <c r="O132" s="13"/>
      <c r="P132" s="13"/>
      <c r="Q132" s="13"/>
      <c r="R132" s="13"/>
      <c r="S132" s="14">
        <f t="shared" si="22"/>
        <v>0</v>
      </c>
      <c r="T132" s="14">
        <f t="shared" si="23"/>
        <v>0</v>
      </c>
      <c r="U132" s="14">
        <f t="shared" si="24"/>
        <v>0</v>
      </c>
      <c r="V132" s="14">
        <f t="shared" si="25"/>
        <v>0</v>
      </c>
      <c r="W132" s="14">
        <f t="shared" si="26"/>
        <v>1</v>
      </c>
      <c r="X132" s="15">
        <f t="shared" si="27"/>
        <v>0</v>
      </c>
      <c r="Y132" s="16"/>
    </row>
    <row r="133" spans="1:25" ht="30" customHeight="1">
      <c r="A133" s="11">
        <v>131</v>
      </c>
      <c r="B133" s="46" t="s">
        <v>377</v>
      </c>
      <c r="C133" s="46" t="s">
        <v>717</v>
      </c>
      <c r="D133" s="12"/>
      <c r="E133" s="13"/>
      <c r="F133" s="13"/>
      <c r="G133" s="13"/>
      <c r="H133" s="13"/>
      <c r="I133" s="13"/>
      <c r="J133" s="13"/>
      <c r="K133" s="13"/>
      <c r="L133" s="13"/>
      <c r="M133" s="13"/>
      <c r="N133" s="13"/>
      <c r="O133" s="13"/>
      <c r="P133" s="13"/>
      <c r="Q133" s="13"/>
      <c r="R133" s="13"/>
      <c r="S133" s="14">
        <f t="shared" si="22"/>
        <v>0</v>
      </c>
      <c r="T133" s="14">
        <f t="shared" si="23"/>
        <v>0</v>
      </c>
      <c r="U133" s="14">
        <f t="shared" si="24"/>
        <v>0</v>
      </c>
      <c r="V133" s="14">
        <f t="shared" si="25"/>
        <v>0</v>
      </c>
      <c r="W133" s="14">
        <f t="shared" si="26"/>
        <v>1</v>
      </c>
      <c r="X133" s="15">
        <f t="shared" si="27"/>
        <v>0</v>
      </c>
      <c r="Y133" s="16" t="s">
        <v>992</v>
      </c>
    </row>
    <row r="134" spans="1:25" ht="30" customHeight="1">
      <c r="A134" s="11">
        <v>132</v>
      </c>
      <c r="B134" s="46" t="s">
        <v>378</v>
      </c>
      <c r="C134" s="46" t="s">
        <v>718</v>
      </c>
      <c r="D134" s="12"/>
      <c r="E134" s="13"/>
      <c r="F134" s="13"/>
      <c r="G134" s="13"/>
      <c r="H134" s="13"/>
      <c r="I134" s="13"/>
      <c r="J134" s="13"/>
      <c r="K134" s="13"/>
      <c r="L134" s="13"/>
      <c r="M134" s="13"/>
      <c r="N134" s="13"/>
      <c r="O134" s="13"/>
      <c r="P134" s="13"/>
      <c r="Q134" s="13"/>
      <c r="R134" s="13"/>
      <c r="S134" s="14">
        <f t="shared" si="22"/>
        <v>0</v>
      </c>
      <c r="T134" s="14">
        <f t="shared" si="23"/>
        <v>0</v>
      </c>
      <c r="U134" s="14">
        <f t="shared" si="24"/>
        <v>0</v>
      </c>
      <c r="V134" s="14">
        <f t="shared" si="25"/>
        <v>0</v>
      </c>
      <c r="W134" s="14">
        <f t="shared" si="26"/>
        <v>1</v>
      </c>
      <c r="X134" s="15">
        <f t="shared" si="27"/>
        <v>0</v>
      </c>
      <c r="Y134" s="16"/>
    </row>
    <row r="135" spans="1:25" ht="30" customHeight="1">
      <c r="A135" s="11">
        <v>133</v>
      </c>
      <c r="B135" s="46" t="s">
        <v>379</v>
      </c>
      <c r="C135" s="46" t="s">
        <v>719</v>
      </c>
      <c r="D135" s="12"/>
      <c r="E135" s="13"/>
      <c r="F135" s="13"/>
      <c r="G135" s="13"/>
      <c r="H135" s="13"/>
      <c r="I135" s="13"/>
      <c r="J135" s="13"/>
      <c r="K135" s="13"/>
      <c r="L135" s="13"/>
      <c r="M135" s="13"/>
      <c r="N135" s="13"/>
      <c r="O135" s="13"/>
      <c r="P135" s="13"/>
      <c r="Q135" s="13"/>
      <c r="R135" s="13"/>
      <c r="S135" s="14">
        <f t="shared" si="22"/>
        <v>0</v>
      </c>
      <c r="T135" s="14">
        <f t="shared" si="23"/>
        <v>0</v>
      </c>
      <c r="U135" s="14">
        <f t="shared" si="24"/>
        <v>0</v>
      </c>
      <c r="V135" s="14">
        <f t="shared" si="25"/>
        <v>0</v>
      </c>
      <c r="W135" s="14">
        <f t="shared" si="26"/>
        <v>1</v>
      </c>
      <c r="X135" s="15">
        <f t="shared" si="27"/>
        <v>0</v>
      </c>
      <c r="Y135" s="16"/>
    </row>
    <row r="136" spans="1:25" ht="30" customHeight="1">
      <c r="A136" s="11">
        <v>134</v>
      </c>
      <c r="B136" s="46" t="s">
        <v>380</v>
      </c>
      <c r="C136" s="46" t="s">
        <v>720</v>
      </c>
      <c r="D136" s="12"/>
      <c r="E136" s="13"/>
      <c r="F136" s="13"/>
      <c r="G136" s="13"/>
      <c r="H136" s="13"/>
      <c r="I136" s="13"/>
      <c r="J136" s="13"/>
      <c r="K136" s="13"/>
      <c r="L136" s="13"/>
      <c r="M136" s="13"/>
      <c r="N136" s="13"/>
      <c r="O136" s="13"/>
      <c r="P136" s="13"/>
      <c r="Q136" s="13"/>
      <c r="R136" s="13"/>
      <c r="S136" s="14">
        <f t="shared" si="22"/>
        <v>0</v>
      </c>
      <c r="T136" s="14">
        <f t="shared" si="23"/>
        <v>0</v>
      </c>
      <c r="U136" s="14">
        <f t="shared" si="24"/>
        <v>0</v>
      </c>
      <c r="V136" s="14">
        <f t="shared" si="25"/>
        <v>0</v>
      </c>
      <c r="W136" s="14">
        <f t="shared" si="26"/>
        <v>1</v>
      </c>
      <c r="X136" s="15">
        <f t="shared" si="27"/>
        <v>0</v>
      </c>
      <c r="Y136" s="16"/>
    </row>
    <row r="137" spans="1:25" ht="30" customHeight="1">
      <c r="A137" s="11">
        <v>135</v>
      </c>
      <c r="B137" s="46" t="s">
        <v>381</v>
      </c>
      <c r="C137" s="46" t="s">
        <v>721</v>
      </c>
      <c r="D137" s="12"/>
      <c r="E137" s="13"/>
      <c r="F137" s="13"/>
      <c r="G137" s="13"/>
      <c r="H137" s="13"/>
      <c r="I137" s="13"/>
      <c r="J137" s="13"/>
      <c r="K137" s="13"/>
      <c r="L137" s="13"/>
      <c r="M137" s="13"/>
      <c r="N137" s="13"/>
      <c r="O137" s="13"/>
      <c r="P137" s="13"/>
      <c r="Q137" s="13"/>
      <c r="R137" s="13"/>
      <c r="S137" s="14">
        <f t="shared" si="22"/>
        <v>0</v>
      </c>
      <c r="T137" s="14">
        <f t="shared" si="23"/>
        <v>0</v>
      </c>
      <c r="U137" s="14">
        <f t="shared" si="24"/>
        <v>0</v>
      </c>
      <c r="V137" s="14">
        <f t="shared" si="25"/>
        <v>0</v>
      </c>
      <c r="W137" s="14">
        <f t="shared" si="26"/>
        <v>1</v>
      </c>
      <c r="X137" s="15">
        <f t="shared" si="27"/>
        <v>0</v>
      </c>
      <c r="Y137" s="16"/>
    </row>
    <row r="138" spans="1:25" ht="30" customHeight="1">
      <c r="A138" s="11">
        <v>136</v>
      </c>
      <c r="B138" s="46" t="s">
        <v>382</v>
      </c>
      <c r="C138" s="46" t="s">
        <v>722</v>
      </c>
      <c r="D138" s="12"/>
      <c r="E138" s="13"/>
      <c r="F138" s="13"/>
      <c r="G138" s="13"/>
      <c r="H138" s="13"/>
      <c r="I138" s="13"/>
      <c r="J138" s="13"/>
      <c r="K138" s="13"/>
      <c r="L138" s="13"/>
      <c r="M138" s="13"/>
      <c r="N138" s="13"/>
      <c r="O138" s="13"/>
      <c r="P138" s="13"/>
      <c r="Q138" s="13"/>
      <c r="R138" s="13"/>
      <c r="S138" s="14">
        <f t="shared" si="22"/>
        <v>0</v>
      </c>
      <c r="T138" s="14">
        <f t="shared" si="23"/>
        <v>0</v>
      </c>
      <c r="U138" s="14">
        <f t="shared" si="24"/>
        <v>0</v>
      </c>
      <c r="V138" s="14">
        <f t="shared" si="25"/>
        <v>0</v>
      </c>
      <c r="W138" s="14">
        <f t="shared" si="26"/>
        <v>1</v>
      </c>
      <c r="X138" s="15">
        <f t="shared" si="27"/>
        <v>0</v>
      </c>
      <c r="Y138" s="16" t="s">
        <v>993</v>
      </c>
    </row>
    <row r="139" spans="1:25" ht="30" customHeight="1">
      <c r="A139" s="11">
        <v>137</v>
      </c>
      <c r="B139" s="46" t="s">
        <v>383</v>
      </c>
      <c r="C139" s="46" t="s">
        <v>723</v>
      </c>
      <c r="D139" s="12"/>
      <c r="E139" s="13"/>
      <c r="F139" s="13"/>
      <c r="G139" s="13"/>
      <c r="H139" s="13"/>
      <c r="I139" s="13"/>
      <c r="J139" s="13"/>
      <c r="K139" s="13"/>
      <c r="L139" s="13"/>
      <c r="M139" s="13"/>
      <c r="N139" s="13"/>
      <c r="O139" s="13"/>
      <c r="P139" s="13"/>
      <c r="Q139" s="13"/>
      <c r="R139" s="13"/>
      <c r="S139" s="14">
        <f t="shared" si="22"/>
        <v>0</v>
      </c>
      <c r="T139" s="14">
        <f t="shared" si="23"/>
        <v>0</v>
      </c>
      <c r="U139" s="14">
        <f t="shared" si="24"/>
        <v>0</v>
      </c>
      <c r="V139" s="14">
        <f t="shared" si="25"/>
        <v>0</v>
      </c>
      <c r="W139" s="14">
        <f t="shared" si="26"/>
        <v>1</v>
      </c>
      <c r="X139" s="15">
        <f t="shared" si="27"/>
        <v>0</v>
      </c>
      <c r="Y139" s="16" t="s">
        <v>994</v>
      </c>
    </row>
    <row r="140" spans="1:25" ht="30" customHeight="1">
      <c r="A140" s="11">
        <v>138</v>
      </c>
      <c r="B140" s="46" t="s">
        <v>384</v>
      </c>
      <c r="C140" s="46" t="s">
        <v>724</v>
      </c>
      <c r="D140" s="12"/>
      <c r="E140" s="13"/>
      <c r="F140" s="13"/>
      <c r="G140" s="13"/>
      <c r="H140" s="13"/>
      <c r="I140" s="13"/>
      <c r="J140" s="13"/>
      <c r="K140" s="13"/>
      <c r="L140" s="13"/>
      <c r="M140" s="13"/>
      <c r="N140" s="13"/>
      <c r="O140" s="13"/>
      <c r="P140" s="13"/>
      <c r="Q140" s="13"/>
      <c r="R140" s="13"/>
      <c r="S140" s="14">
        <f t="shared" si="22"/>
        <v>0</v>
      </c>
      <c r="T140" s="14">
        <f t="shared" si="23"/>
        <v>0</v>
      </c>
      <c r="U140" s="14">
        <f t="shared" si="24"/>
        <v>0</v>
      </c>
      <c r="V140" s="14">
        <f t="shared" si="25"/>
        <v>0</v>
      </c>
      <c r="W140" s="14">
        <f t="shared" si="26"/>
        <v>1</v>
      </c>
      <c r="X140" s="15">
        <f t="shared" si="27"/>
        <v>0</v>
      </c>
      <c r="Y140" s="16" t="s">
        <v>995</v>
      </c>
    </row>
    <row r="141" spans="1:25" ht="30" customHeight="1">
      <c r="A141" s="11">
        <v>139</v>
      </c>
      <c r="B141" s="46" t="s">
        <v>385</v>
      </c>
      <c r="C141" s="46" t="s">
        <v>725</v>
      </c>
      <c r="D141" s="12"/>
      <c r="E141" s="13"/>
      <c r="F141" s="13"/>
      <c r="G141" s="13"/>
      <c r="H141" s="13"/>
      <c r="I141" s="13"/>
      <c r="J141" s="13"/>
      <c r="K141" s="13"/>
      <c r="L141" s="13"/>
      <c r="M141" s="13"/>
      <c r="N141" s="13"/>
      <c r="O141" s="13"/>
      <c r="P141" s="13"/>
      <c r="Q141" s="13"/>
      <c r="R141" s="13"/>
      <c r="S141" s="14">
        <f t="shared" si="22"/>
        <v>0</v>
      </c>
      <c r="T141" s="14">
        <f t="shared" si="23"/>
        <v>0</v>
      </c>
      <c r="U141" s="14">
        <f t="shared" si="24"/>
        <v>0</v>
      </c>
      <c r="V141" s="14">
        <f t="shared" si="25"/>
        <v>0</v>
      </c>
      <c r="W141" s="14">
        <f t="shared" si="26"/>
        <v>1</v>
      </c>
      <c r="X141" s="15">
        <f t="shared" si="27"/>
        <v>0</v>
      </c>
      <c r="Y141" s="16"/>
    </row>
    <row r="142" spans="1:25" ht="66">
      <c r="A142" s="11">
        <v>140</v>
      </c>
      <c r="B142" s="46" t="s">
        <v>386</v>
      </c>
      <c r="C142" s="46" t="s">
        <v>726</v>
      </c>
      <c r="D142" s="12"/>
      <c r="E142" s="13"/>
      <c r="F142" s="13"/>
      <c r="G142" s="13"/>
      <c r="H142" s="13"/>
      <c r="I142" s="13"/>
      <c r="J142" s="13"/>
      <c r="K142" s="13"/>
      <c r="L142" s="13"/>
      <c r="M142" s="13"/>
      <c r="N142" s="13"/>
      <c r="O142" s="13"/>
      <c r="P142" s="13"/>
      <c r="Q142" s="13"/>
      <c r="R142" s="13"/>
      <c r="S142" s="14">
        <f t="shared" si="22"/>
        <v>0</v>
      </c>
      <c r="T142" s="14">
        <f t="shared" si="23"/>
        <v>0</v>
      </c>
      <c r="U142" s="14">
        <f t="shared" si="24"/>
        <v>0</v>
      </c>
      <c r="V142" s="14">
        <f t="shared" si="25"/>
        <v>0</v>
      </c>
      <c r="W142" s="14">
        <f t="shared" si="26"/>
        <v>1</v>
      </c>
      <c r="X142" s="15">
        <f t="shared" si="27"/>
        <v>0</v>
      </c>
      <c r="Y142" s="16" t="s">
        <v>996</v>
      </c>
    </row>
    <row r="143" spans="1:25" ht="30" customHeight="1">
      <c r="A143" s="11">
        <v>141</v>
      </c>
      <c r="B143" s="46" t="s">
        <v>387</v>
      </c>
      <c r="C143" s="46" t="s">
        <v>727</v>
      </c>
      <c r="D143" s="12"/>
      <c r="E143" s="13"/>
      <c r="F143" s="13"/>
      <c r="G143" s="13"/>
      <c r="H143" s="13"/>
      <c r="I143" s="13"/>
      <c r="J143" s="13"/>
      <c r="K143" s="13"/>
      <c r="L143" s="13"/>
      <c r="M143" s="13"/>
      <c r="N143" s="13"/>
      <c r="O143" s="13"/>
      <c r="P143" s="13"/>
      <c r="Q143" s="13"/>
      <c r="R143" s="13"/>
      <c r="S143" s="14">
        <f t="shared" si="22"/>
        <v>0</v>
      </c>
      <c r="T143" s="14">
        <f t="shared" si="23"/>
        <v>0</v>
      </c>
      <c r="U143" s="14">
        <f t="shared" si="24"/>
        <v>0</v>
      </c>
      <c r="V143" s="14">
        <f t="shared" si="25"/>
        <v>0</v>
      </c>
      <c r="W143" s="14">
        <f t="shared" si="26"/>
        <v>1</v>
      </c>
      <c r="X143" s="15">
        <f t="shared" si="27"/>
        <v>0</v>
      </c>
      <c r="Y143" s="16" t="s">
        <v>997</v>
      </c>
    </row>
    <row r="144" spans="1:25" ht="66">
      <c r="A144" s="11">
        <v>142</v>
      </c>
      <c r="B144" s="46" t="s">
        <v>388</v>
      </c>
      <c r="C144" s="46" t="s">
        <v>728</v>
      </c>
      <c r="D144" s="12"/>
      <c r="E144" s="13"/>
      <c r="F144" s="13"/>
      <c r="G144" s="13"/>
      <c r="H144" s="13"/>
      <c r="I144" s="13"/>
      <c r="J144" s="13"/>
      <c r="K144" s="13"/>
      <c r="L144" s="13"/>
      <c r="M144" s="13"/>
      <c r="N144" s="13"/>
      <c r="O144" s="13"/>
      <c r="P144" s="13"/>
      <c r="Q144" s="13"/>
      <c r="R144" s="13"/>
      <c r="S144" s="14">
        <f t="shared" si="22"/>
        <v>0</v>
      </c>
      <c r="T144" s="14">
        <f t="shared" si="23"/>
        <v>0</v>
      </c>
      <c r="U144" s="14">
        <f t="shared" si="24"/>
        <v>0</v>
      </c>
      <c r="V144" s="14">
        <f t="shared" si="25"/>
        <v>0</v>
      </c>
      <c r="W144" s="14">
        <f t="shared" si="26"/>
        <v>1</v>
      </c>
      <c r="X144" s="15">
        <f t="shared" si="27"/>
        <v>0</v>
      </c>
      <c r="Y144" s="16" t="s">
        <v>998</v>
      </c>
    </row>
    <row r="145" spans="1:25" ht="30" customHeight="1">
      <c r="A145" s="11">
        <v>143</v>
      </c>
      <c r="B145" s="46" t="s">
        <v>389</v>
      </c>
      <c r="C145" s="48" t="s">
        <v>729</v>
      </c>
      <c r="D145" s="12"/>
      <c r="E145" s="13"/>
      <c r="F145" s="13"/>
      <c r="G145" s="13"/>
      <c r="H145" s="13"/>
      <c r="I145" s="13"/>
      <c r="J145" s="13"/>
      <c r="K145" s="13"/>
      <c r="L145" s="13"/>
      <c r="M145" s="13"/>
      <c r="N145" s="13"/>
      <c r="O145" s="13"/>
      <c r="P145" s="13"/>
      <c r="Q145" s="13"/>
      <c r="R145" s="13"/>
      <c r="S145" s="14">
        <f t="shared" si="22"/>
        <v>0</v>
      </c>
      <c r="T145" s="14">
        <f t="shared" si="23"/>
        <v>0</v>
      </c>
      <c r="U145" s="14">
        <f t="shared" si="24"/>
        <v>0</v>
      </c>
      <c r="V145" s="14">
        <f t="shared" si="25"/>
        <v>0</v>
      </c>
      <c r="W145" s="14">
        <f t="shared" si="26"/>
        <v>1</v>
      </c>
      <c r="X145" s="15">
        <f t="shared" si="27"/>
        <v>0</v>
      </c>
      <c r="Y145" s="16"/>
    </row>
    <row r="146" spans="1:25" ht="30" customHeight="1">
      <c r="A146" s="11">
        <v>144</v>
      </c>
      <c r="B146" s="46" t="s">
        <v>390</v>
      </c>
      <c r="C146" s="46" t="s">
        <v>730</v>
      </c>
      <c r="D146" s="12"/>
      <c r="E146" s="13"/>
      <c r="F146" s="13"/>
      <c r="G146" s="13"/>
      <c r="H146" s="13"/>
      <c r="I146" s="13"/>
      <c r="J146" s="13"/>
      <c r="K146" s="13"/>
      <c r="L146" s="13"/>
      <c r="M146" s="13"/>
      <c r="N146" s="13"/>
      <c r="O146" s="13"/>
      <c r="P146" s="13"/>
      <c r="Q146" s="13"/>
      <c r="R146" s="13"/>
      <c r="S146" s="14">
        <f t="shared" si="22"/>
        <v>0</v>
      </c>
      <c r="T146" s="14">
        <f t="shared" si="23"/>
        <v>0</v>
      </c>
      <c r="U146" s="14">
        <f t="shared" si="24"/>
        <v>0</v>
      </c>
      <c r="V146" s="14">
        <f t="shared" si="25"/>
        <v>0</v>
      </c>
      <c r="W146" s="14">
        <f t="shared" si="26"/>
        <v>1</v>
      </c>
      <c r="X146" s="15">
        <f t="shared" si="27"/>
        <v>0</v>
      </c>
      <c r="Y146" s="16"/>
    </row>
    <row r="147" spans="1:25" ht="52.8">
      <c r="A147" s="11">
        <v>145</v>
      </c>
      <c r="B147" s="46" t="s">
        <v>391</v>
      </c>
      <c r="C147" s="46" t="s">
        <v>731</v>
      </c>
      <c r="D147" s="12"/>
      <c r="E147" s="13"/>
      <c r="F147" s="13"/>
      <c r="G147" s="13"/>
      <c r="H147" s="13"/>
      <c r="I147" s="13"/>
      <c r="J147" s="13"/>
      <c r="K147" s="13"/>
      <c r="L147" s="13"/>
      <c r="M147" s="13"/>
      <c r="N147" s="13"/>
      <c r="O147" s="13"/>
      <c r="P147" s="13"/>
      <c r="Q147" s="13"/>
      <c r="R147" s="13"/>
      <c r="S147" s="14">
        <f t="shared" si="22"/>
        <v>0</v>
      </c>
      <c r="T147" s="14">
        <f t="shared" si="23"/>
        <v>0</v>
      </c>
      <c r="U147" s="14">
        <f t="shared" si="24"/>
        <v>0</v>
      </c>
      <c r="V147" s="14">
        <f t="shared" si="25"/>
        <v>0</v>
      </c>
      <c r="W147" s="14">
        <f t="shared" si="26"/>
        <v>1</v>
      </c>
      <c r="X147" s="15">
        <f t="shared" si="27"/>
        <v>0</v>
      </c>
      <c r="Y147" s="16" t="s">
        <v>999</v>
      </c>
    </row>
    <row r="148" spans="1:25" ht="30" customHeight="1">
      <c r="A148" s="11">
        <v>146</v>
      </c>
      <c r="B148" s="46" t="s">
        <v>392</v>
      </c>
      <c r="C148" s="46" t="s">
        <v>732</v>
      </c>
      <c r="D148" s="12"/>
      <c r="E148" s="13"/>
      <c r="F148" s="13"/>
      <c r="G148" s="13"/>
      <c r="H148" s="13"/>
      <c r="I148" s="13"/>
      <c r="J148" s="13"/>
      <c r="K148" s="13"/>
      <c r="L148" s="13"/>
      <c r="M148" s="13"/>
      <c r="N148" s="13"/>
      <c r="O148" s="13"/>
      <c r="P148" s="13"/>
      <c r="Q148" s="13"/>
      <c r="R148" s="13"/>
      <c r="S148" s="14">
        <f t="shared" si="22"/>
        <v>0</v>
      </c>
      <c r="T148" s="14">
        <f t="shared" si="23"/>
        <v>0</v>
      </c>
      <c r="U148" s="14">
        <f t="shared" si="24"/>
        <v>0</v>
      </c>
      <c r="V148" s="14">
        <f t="shared" si="25"/>
        <v>0</v>
      </c>
      <c r="W148" s="14">
        <f t="shared" si="26"/>
        <v>1</v>
      </c>
      <c r="X148" s="15">
        <f t="shared" si="27"/>
        <v>0</v>
      </c>
      <c r="Y148" s="16" t="s">
        <v>1000</v>
      </c>
    </row>
    <row r="149" spans="1:25" ht="30" customHeight="1">
      <c r="A149" s="11">
        <v>147</v>
      </c>
      <c r="B149" s="46" t="s">
        <v>393</v>
      </c>
      <c r="C149" s="46" t="s">
        <v>733</v>
      </c>
      <c r="D149" s="12"/>
      <c r="E149" s="13"/>
      <c r="F149" s="13"/>
      <c r="G149" s="13"/>
      <c r="H149" s="13"/>
      <c r="I149" s="13"/>
      <c r="J149" s="13"/>
      <c r="K149" s="13"/>
      <c r="L149" s="13"/>
      <c r="M149" s="13"/>
      <c r="N149" s="13"/>
      <c r="O149" s="13"/>
      <c r="P149" s="13"/>
      <c r="Q149" s="13"/>
      <c r="R149" s="13"/>
      <c r="S149" s="14">
        <f t="shared" si="22"/>
        <v>0</v>
      </c>
      <c r="T149" s="14">
        <f t="shared" si="23"/>
        <v>0</v>
      </c>
      <c r="U149" s="14">
        <f t="shared" si="24"/>
        <v>0</v>
      </c>
      <c r="V149" s="14">
        <f t="shared" si="25"/>
        <v>0</v>
      </c>
      <c r="W149" s="14">
        <f t="shared" si="26"/>
        <v>1</v>
      </c>
      <c r="X149" s="15">
        <f t="shared" si="27"/>
        <v>0</v>
      </c>
      <c r="Y149" s="16" t="s">
        <v>1001</v>
      </c>
    </row>
    <row r="150" spans="1:25" ht="30" customHeight="1">
      <c r="A150" s="11">
        <v>148</v>
      </c>
      <c r="B150" s="46" t="s">
        <v>394</v>
      </c>
      <c r="C150" s="46" t="s">
        <v>734</v>
      </c>
      <c r="D150" s="12"/>
      <c r="E150" s="13"/>
      <c r="F150" s="13"/>
      <c r="G150" s="13"/>
      <c r="H150" s="13"/>
      <c r="I150" s="13"/>
      <c r="J150" s="13"/>
      <c r="K150" s="13"/>
      <c r="L150" s="13"/>
      <c r="M150" s="13"/>
      <c r="N150" s="13"/>
      <c r="O150" s="13"/>
      <c r="P150" s="13"/>
      <c r="Q150" s="13"/>
      <c r="R150" s="13"/>
      <c r="S150" s="14">
        <f t="shared" si="22"/>
        <v>0</v>
      </c>
      <c r="T150" s="14">
        <f t="shared" si="23"/>
        <v>0</v>
      </c>
      <c r="U150" s="14">
        <f t="shared" si="24"/>
        <v>0</v>
      </c>
      <c r="V150" s="14">
        <f t="shared" si="25"/>
        <v>0</v>
      </c>
      <c r="W150" s="14">
        <f t="shared" si="26"/>
        <v>1</v>
      </c>
      <c r="X150" s="15">
        <f t="shared" si="27"/>
        <v>0</v>
      </c>
      <c r="Y150" s="16" t="s">
        <v>1002</v>
      </c>
    </row>
    <row r="151" spans="1:25" ht="30" customHeight="1">
      <c r="A151" s="11">
        <v>149</v>
      </c>
      <c r="B151" s="46" t="s">
        <v>395</v>
      </c>
      <c r="C151" s="46" t="s">
        <v>735</v>
      </c>
      <c r="D151" s="12"/>
      <c r="E151" s="13"/>
      <c r="F151" s="13"/>
      <c r="G151" s="13"/>
      <c r="H151" s="13"/>
      <c r="I151" s="13"/>
      <c r="J151" s="13"/>
      <c r="K151" s="13"/>
      <c r="L151" s="13"/>
      <c r="M151" s="13"/>
      <c r="N151" s="13"/>
      <c r="O151" s="13"/>
      <c r="P151" s="13"/>
      <c r="Q151" s="13"/>
      <c r="R151" s="13"/>
      <c r="S151" s="14">
        <f t="shared" si="22"/>
        <v>0</v>
      </c>
      <c r="T151" s="14">
        <f t="shared" si="23"/>
        <v>0</v>
      </c>
      <c r="U151" s="14">
        <f t="shared" si="24"/>
        <v>0</v>
      </c>
      <c r="V151" s="14">
        <f t="shared" si="25"/>
        <v>0</v>
      </c>
      <c r="W151" s="14">
        <f t="shared" si="26"/>
        <v>1</v>
      </c>
      <c r="X151" s="15">
        <f t="shared" si="27"/>
        <v>0</v>
      </c>
      <c r="Y151" s="16"/>
    </row>
    <row r="152" spans="1:25" ht="30" customHeight="1">
      <c r="A152" s="11">
        <v>150</v>
      </c>
      <c r="B152" s="46" t="s">
        <v>396</v>
      </c>
      <c r="C152" s="46" t="s">
        <v>736</v>
      </c>
      <c r="D152" s="12"/>
      <c r="E152" s="13"/>
      <c r="F152" s="13"/>
      <c r="G152" s="13"/>
      <c r="H152" s="13"/>
      <c r="I152" s="13"/>
      <c r="J152" s="13"/>
      <c r="K152" s="13"/>
      <c r="L152" s="13"/>
      <c r="M152" s="13"/>
      <c r="N152" s="13"/>
      <c r="O152" s="13"/>
      <c r="P152" s="13"/>
      <c r="Q152" s="13"/>
      <c r="R152" s="13"/>
      <c r="S152" s="14">
        <f t="shared" si="22"/>
        <v>0</v>
      </c>
      <c r="T152" s="14">
        <f t="shared" si="23"/>
        <v>0</v>
      </c>
      <c r="U152" s="14">
        <f t="shared" si="24"/>
        <v>0</v>
      </c>
      <c r="V152" s="14">
        <f t="shared" si="25"/>
        <v>0</v>
      </c>
      <c r="W152" s="14">
        <f t="shared" si="26"/>
        <v>1</v>
      </c>
      <c r="X152" s="15">
        <f t="shared" si="27"/>
        <v>0</v>
      </c>
      <c r="Y152" s="16" t="s">
        <v>1003</v>
      </c>
    </row>
    <row r="153" spans="1:25" ht="30" customHeight="1">
      <c r="A153" s="11">
        <v>151</v>
      </c>
      <c r="B153" s="46" t="s">
        <v>397</v>
      </c>
      <c r="C153" s="46" t="s">
        <v>737</v>
      </c>
      <c r="D153" s="12"/>
      <c r="E153" s="13"/>
      <c r="F153" s="13"/>
      <c r="G153" s="13"/>
      <c r="H153" s="13"/>
      <c r="I153" s="13"/>
      <c r="J153" s="13"/>
      <c r="K153" s="13"/>
      <c r="L153" s="13"/>
      <c r="M153" s="13"/>
      <c r="N153" s="13"/>
      <c r="O153" s="13"/>
      <c r="P153" s="13"/>
      <c r="Q153" s="13"/>
      <c r="R153" s="13"/>
      <c r="S153" s="14">
        <f t="shared" si="22"/>
        <v>0</v>
      </c>
      <c r="T153" s="14">
        <f t="shared" si="23"/>
        <v>0</v>
      </c>
      <c r="U153" s="14">
        <f t="shared" si="24"/>
        <v>0</v>
      </c>
      <c r="V153" s="14">
        <f t="shared" si="25"/>
        <v>0</v>
      </c>
      <c r="W153" s="14">
        <f t="shared" si="26"/>
        <v>1</v>
      </c>
      <c r="X153" s="15">
        <f t="shared" si="27"/>
        <v>0</v>
      </c>
      <c r="Y153" s="16"/>
    </row>
    <row r="154" spans="1:25" ht="30" customHeight="1">
      <c r="A154" s="11">
        <v>152</v>
      </c>
      <c r="B154" s="46" t="s">
        <v>398</v>
      </c>
      <c r="C154" s="46" t="s">
        <v>738</v>
      </c>
      <c r="D154" s="12"/>
      <c r="E154" s="13"/>
      <c r="F154" s="13"/>
      <c r="G154" s="13"/>
      <c r="H154" s="13"/>
      <c r="I154" s="13"/>
      <c r="J154" s="13"/>
      <c r="K154" s="13"/>
      <c r="L154" s="13"/>
      <c r="M154" s="13"/>
      <c r="N154" s="13"/>
      <c r="O154" s="13"/>
      <c r="P154" s="13"/>
      <c r="Q154" s="13"/>
      <c r="R154" s="13"/>
      <c r="S154" s="14">
        <f t="shared" si="22"/>
        <v>0</v>
      </c>
      <c r="T154" s="14">
        <f t="shared" si="23"/>
        <v>0</v>
      </c>
      <c r="U154" s="14">
        <f t="shared" si="24"/>
        <v>0</v>
      </c>
      <c r="V154" s="14">
        <f t="shared" si="25"/>
        <v>0</v>
      </c>
      <c r="W154" s="14">
        <f t="shared" si="26"/>
        <v>1</v>
      </c>
      <c r="X154" s="15">
        <f t="shared" si="27"/>
        <v>0</v>
      </c>
      <c r="Y154" s="16"/>
    </row>
    <row r="155" spans="1:25" ht="30" customHeight="1">
      <c r="A155" s="11">
        <v>153</v>
      </c>
      <c r="B155" s="46" t="s">
        <v>399</v>
      </c>
      <c r="C155" s="46" t="s">
        <v>739</v>
      </c>
      <c r="D155" s="12"/>
      <c r="E155" s="13"/>
      <c r="F155" s="13"/>
      <c r="G155" s="13"/>
      <c r="H155" s="13"/>
      <c r="I155" s="13"/>
      <c r="J155" s="13"/>
      <c r="K155" s="13"/>
      <c r="L155" s="13"/>
      <c r="M155" s="13"/>
      <c r="N155" s="13"/>
      <c r="O155" s="13"/>
      <c r="P155" s="13"/>
      <c r="Q155" s="13"/>
      <c r="R155" s="13"/>
      <c r="S155" s="14">
        <f t="shared" si="22"/>
        <v>0</v>
      </c>
      <c r="T155" s="14">
        <f t="shared" si="23"/>
        <v>0</v>
      </c>
      <c r="U155" s="14">
        <f t="shared" si="24"/>
        <v>0</v>
      </c>
      <c r="V155" s="14">
        <f t="shared" si="25"/>
        <v>0</v>
      </c>
      <c r="W155" s="14">
        <f t="shared" si="26"/>
        <v>1</v>
      </c>
      <c r="X155" s="15">
        <f t="shared" si="27"/>
        <v>0</v>
      </c>
      <c r="Y155" s="16" t="s">
        <v>1004</v>
      </c>
    </row>
    <row r="156" spans="1:25" ht="30" customHeight="1">
      <c r="A156" s="11">
        <v>154</v>
      </c>
      <c r="B156" s="46" t="s">
        <v>400</v>
      </c>
      <c r="C156" s="46" t="s">
        <v>740</v>
      </c>
      <c r="D156" s="12"/>
      <c r="E156" s="13"/>
      <c r="F156" s="13"/>
      <c r="G156" s="13"/>
      <c r="H156" s="13"/>
      <c r="I156" s="13"/>
      <c r="J156" s="13"/>
      <c r="K156" s="13"/>
      <c r="L156" s="13"/>
      <c r="M156" s="13"/>
      <c r="N156" s="13"/>
      <c r="O156" s="13"/>
      <c r="P156" s="13"/>
      <c r="Q156" s="13"/>
      <c r="R156" s="13"/>
      <c r="S156" s="14">
        <f t="shared" si="22"/>
        <v>0</v>
      </c>
      <c r="T156" s="14">
        <f t="shared" si="23"/>
        <v>0</v>
      </c>
      <c r="U156" s="14">
        <f t="shared" si="24"/>
        <v>0</v>
      </c>
      <c r="V156" s="14">
        <f t="shared" si="25"/>
        <v>0</v>
      </c>
      <c r="W156" s="14">
        <f t="shared" si="26"/>
        <v>1</v>
      </c>
      <c r="X156" s="15">
        <f t="shared" si="27"/>
        <v>0</v>
      </c>
      <c r="Y156" s="16" t="s">
        <v>994</v>
      </c>
    </row>
    <row r="157" spans="1:25" ht="30" customHeight="1">
      <c r="A157" s="11">
        <v>155</v>
      </c>
      <c r="B157" s="46" t="s">
        <v>401</v>
      </c>
      <c r="C157" s="46" t="s">
        <v>741</v>
      </c>
      <c r="D157" s="12"/>
      <c r="E157" s="13"/>
      <c r="F157" s="13"/>
      <c r="G157" s="13"/>
      <c r="H157" s="13"/>
      <c r="I157" s="13"/>
      <c r="J157" s="13"/>
      <c r="K157" s="13"/>
      <c r="L157" s="13"/>
      <c r="M157" s="13"/>
      <c r="N157" s="13"/>
      <c r="O157" s="13"/>
      <c r="P157" s="13"/>
      <c r="Q157" s="13"/>
      <c r="R157" s="13"/>
      <c r="S157" s="14">
        <f t="shared" si="22"/>
        <v>0</v>
      </c>
      <c r="T157" s="14">
        <f t="shared" si="23"/>
        <v>0</v>
      </c>
      <c r="U157" s="14">
        <f t="shared" si="24"/>
        <v>0</v>
      </c>
      <c r="V157" s="14">
        <f t="shared" si="25"/>
        <v>0</v>
      </c>
      <c r="W157" s="14">
        <f t="shared" si="26"/>
        <v>1</v>
      </c>
      <c r="X157" s="15">
        <f t="shared" si="27"/>
        <v>0</v>
      </c>
      <c r="Y157" s="16" t="s">
        <v>1005</v>
      </c>
    </row>
    <row r="158" spans="1:25" ht="30" customHeight="1">
      <c r="A158" s="11">
        <v>156</v>
      </c>
      <c r="B158" s="46" t="s">
        <v>402</v>
      </c>
      <c r="C158" s="46" t="s">
        <v>742</v>
      </c>
      <c r="D158" s="12"/>
      <c r="E158" s="13"/>
      <c r="F158" s="13"/>
      <c r="G158" s="13"/>
      <c r="H158" s="13"/>
      <c r="I158" s="13"/>
      <c r="J158" s="13"/>
      <c r="K158" s="13"/>
      <c r="L158" s="13"/>
      <c r="M158" s="13"/>
      <c r="N158" s="13"/>
      <c r="O158" s="13"/>
      <c r="P158" s="13"/>
      <c r="Q158" s="13"/>
      <c r="R158" s="13"/>
      <c r="S158" s="14">
        <f t="shared" si="22"/>
        <v>0</v>
      </c>
      <c r="T158" s="14">
        <f t="shared" si="23"/>
        <v>0</v>
      </c>
      <c r="U158" s="14">
        <f t="shared" si="24"/>
        <v>0</v>
      </c>
      <c r="V158" s="14">
        <f t="shared" si="25"/>
        <v>0</v>
      </c>
      <c r="W158" s="14">
        <f t="shared" si="26"/>
        <v>1</v>
      </c>
      <c r="X158" s="15">
        <f t="shared" si="27"/>
        <v>0</v>
      </c>
      <c r="Y158" s="16" t="s">
        <v>957</v>
      </c>
    </row>
    <row r="159" spans="1:25" ht="30" customHeight="1">
      <c r="A159" s="11">
        <v>157</v>
      </c>
      <c r="B159" s="46" t="s">
        <v>403</v>
      </c>
      <c r="C159" s="46" t="s">
        <v>743</v>
      </c>
      <c r="D159" s="12"/>
      <c r="E159" s="13"/>
      <c r="F159" s="13"/>
      <c r="G159" s="13"/>
      <c r="H159" s="13"/>
      <c r="I159" s="13"/>
      <c r="J159" s="13"/>
      <c r="K159" s="13"/>
      <c r="L159" s="13"/>
      <c r="M159" s="13"/>
      <c r="N159" s="13"/>
      <c r="O159" s="13"/>
      <c r="P159" s="13"/>
      <c r="Q159" s="13"/>
      <c r="R159" s="13"/>
      <c r="S159" s="14">
        <f t="shared" si="22"/>
        <v>0</v>
      </c>
      <c r="T159" s="14">
        <f t="shared" si="23"/>
        <v>0</v>
      </c>
      <c r="U159" s="14">
        <f t="shared" si="24"/>
        <v>0</v>
      </c>
      <c r="V159" s="14">
        <f t="shared" si="25"/>
        <v>0</v>
      </c>
      <c r="W159" s="14">
        <f t="shared" si="26"/>
        <v>1</v>
      </c>
      <c r="X159" s="15">
        <f t="shared" si="27"/>
        <v>0</v>
      </c>
      <c r="Y159" s="16" t="s">
        <v>1006</v>
      </c>
    </row>
    <row r="160" spans="1:25" ht="30" customHeight="1">
      <c r="A160" s="11">
        <v>158</v>
      </c>
      <c r="B160" s="46" t="s">
        <v>404</v>
      </c>
      <c r="C160" s="46" t="s">
        <v>744</v>
      </c>
      <c r="D160" s="12"/>
      <c r="E160" s="13"/>
      <c r="F160" s="13"/>
      <c r="G160" s="13"/>
      <c r="H160" s="13"/>
      <c r="I160" s="13"/>
      <c r="J160" s="13"/>
      <c r="K160" s="13"/>
      <c r="L160" s="13"/>
      <c r="M160" s="13"/>
      <c r="N160" s="13"/>
      <c r="O160" s="13"/>
      <c r="P160" s="13"/>
      <c r="Q160" s="13"/>
      <c r="R160" s="13"/>
      <c r="S160" s="14">
        <f t="shared" si="22"/>
        <v>0</v>
      </c>
      <c r="T160" s="14">
        <f t="shared" si="23"/>
        <v>0</v>
      </c>
      <c r="U160" s="14">
        <f t="shared" si="24"/>
        <v>0</v>
      </c>
      <c r="V160" s="14">
        <f t="shared" si="25"/>
        <v>0</v>
      </c>
      <c r="W160" s="14">
        <f t="shared" si="26"/>
        <v>1</v>
      </c>
      <c r="X160" s="15">
        <f t="shared" si="27"/>
        <v>0</v>
      </c>
      <c r="Y160" s="16" t="s">
        <v>1009</v>
      </c>
    </row>
    <row r="161" spans="1:25" ht="30" customHeight="1">
      <c r="A161" s="11">
        <v>159</v>
      </c>
      <c r="B161" s="46" t="s">
        <v>405</v>
      </c>
      <c r="C161" s="46" t="s">
        <v>745</v>
      </c>
      <c r="D161" s="12"/>
      <c r="E161" s="13"/>
      <c r="F161" s="13"/>
      <c r="G161" s="13"/>
      <c r="H161" s="13"/>
      <c r="I161" s="13"/>
      <c r="J161" s="13"/>
      <c r="K161" s="13"/>
      <c r="L161" s="13"/>
      <c r="M161" s="13"/>
      <c r="N161" s="13"/>
      <c r="O161" s="13"/>
      <c r="P161" s="13"/>
      <c r="Q161" s="13"/>
      <c r="R161" s="13"/>
      <c r="S161" s="14">
        <f t="shared" si="22"/>
        <v>0</v>
      </c>
      <c r="T161" s="14">
        <f t="shared" si="23"/>
        <v>0</v>
      </c>
      <c r="U161" s="14">
        <f t="shared" si="24"/>
        <v>0</v>
      </c>
      <c r="V161" s="14">
        <f t="shared" si="25"/>
        <v>0</v>
      </c>
      <c r="W161" s="14">
        <f t="shared" si="26"/>
        <v>1</v>
      </c>
      <c r="X161" s="15">
        <f t="shared" si="27"/>
        <v>0</v>
      </c>
      <c r="Y161" s="16"/>
    </row>
    <row r="162" spans="1:25" ht="30" customHeight="1">
      <c r="A162" s="11">
        <v>160</v>
      </c>
      <c r="B162" s="46" t="s">
        <v>406</v>
      </c>
      <c r="C162" s="46" t="s">
        <v>746</v>
      </c>
      <c r="D162" s="12"/>
      <c r="E162" s="13"/>
      <c r="F162" s="13"/>
      <c r="G162" s="13"/>
      <c r="H162" s="13"/>
      <c r="I162" s="13"/>
      <c r="J162" s="13"/>
      <c r="K162" s="13"/>
      <c r="L162" s="13"/>
      <c r="M162" s="13"/>
      <c r="N162" s="13"/>
      <c r="O162" s="13"/>
      <c r="P162" s="13"/>
      <c r="Q162" s="13"/>
      <c r="R162" s="13"/>
      <c r="S162" s="14">
        <f t="shared" si="22"/>
        <v>0</v>
      </c>
      <c r="T162" s="14">
        <f t="shared" si="23"/>
        <v>0</v>
      </c>
      <c r="U162" s="14">
        <f t="shared" si="24"/>
        <v>0</v>
      </c>
      <c r="V162" s="14">
        <f t="shared" si="25"/>
        <v>0</v>
      </c>
      <c r="W162" s="14">
        <f t="shared" si="26"/>
        <v>1</v>
      </c>
      <c r="X162" s="15">
        <f t="shared" si="27"/>
        <v>0</v>
      </c>
      <c r="Y162" s="16" t="s">
        <v>1008</v>
      </c>
    </row>
    <row r="163" spans="1:25" ht="30" customHeight="1">
      <c r="A163" s="11">
        <v>161</v>
      </c>
      <c r="B163" s="46" t="s">
        <v>407</v>
      </c>
      <c r="C163" s="46" t="s">
        <v>747</v>
      </c>
      <c r="D163" s="12"/>
      <c r="E163" s="13"/>
      <c r="F163" s="13"/>
      <c r="G163" s="13"/>
      <c r="H163" s="13"/>
      <c r="I163" s="13"/>
      <c r="J163" s="13"/>
      <c r="K163" s="13"/>
      <c r="L163" s="13"/>
      <c r="M163" s="13"/>
      <c r="N163" s="13"/>
      <c r="O163" s="13"/>
      <c r="P163" s="13"/>
      <c r="Q163" s="13"/>
      <c r="R163" s="13"/>
      <c r="S163" s="14">
        <f t="shared" ref="S163:S194" si="28">IF(SUM(E163:R163)&gt;0,1,0)</f>
        <v>0</v>
      </c>
      <c r="T163" s="14">
        <f t="shared" ref="T163:T194" si="29">IF(MAX(G163,H163,I163,J163,K163,M163,N163)&gt;0,1,0)</f>
        <v>0</v>
      </c>
      <c r="U163" s="14">
        <f t="shared" ref="U163:U194" si="30">IF(MAX(E163,F163,L163,O163,Q163)&gt;0,1,0)</f>
        <v>0</v>
      </c>
      <c r="V163" s="14">
        <f t="shared" ref="V163:V194" si="31">IF(P163&gt;0,1,0)</f>
        <v>0</v>
      </c>
      <c r="W163" s="14">
        <f t="shared" si="26"/>
        <v>1</v>
      </c>
      <c r="X163" s="15">
        <f t="shared" ref="X163:X194" si="32">SUMPRODUCT((E163:R163=1)*0.3)+SUMPRODUCT((E163:R163=2)*0.7)+SUMPRODUCT((E163:R163=3)*1.5)</f>
        <v>0</v>
      </c>
      <c r="Y163" s="16" t="s">
        <v>1010</v>
      </c>
    </row>
    <row r="164" spans="1:25" ht="30" customHeight="1">
      <c r="A164" s="11">
        <v>162</v>
      </c>
      <c r="B164" s="46" t="s">
        <v>408</v>
      </c>
      <c r="C164" s="46" t="s">
        <v>748</v>
      </c>
      <c r="D164" s="12"/>
      <c r="E164" s="13"/>
      <c r="F164" s="13"/>
      <c r="G164" s="13"/>
      <c r="H164" s="13"/>
      <c r="I164" s="13"/>
      <c r="J164" s="13"/>
      <c r="K164" s="13"/>
      <c r="L164" s="13"/>
      <c r="M164" s="13"/>
      <c r="N164" s="13"/>
      <c r="O164" s="13"/>
      <c r="P164" s="13"/>
      <c r="Q164" s="13"/>
      <c r="R164" s="13"/>
      <c r="S164" s="14">
        <f t="shared" si="28"/>
        <v>0</v>
      </c>
      <c r="T164" s="14">
        <f t="shared" si="29"/>
        <v>0</v>
      </c>
      <c r="U164" s="14">
        <f t="shared" si="30"/>
        <v>0</v>
      </c>
      <c r="V164" s="14">
        <f t="shared" si="31"/>
        <v>0</v>
      </c>
      <c r="W164" s="14">
        <f t="shared" si="26"/>
        <v>1</v>
      </c>
      <c r="X164" s="15">
        <f t="shared" si="32"/>
        <v>0</v>
      </c>
      <c r="Y164" s="16"/>
    </row>
    <row r="165" spans="1:25" ht="57.6">
      <c r="A165" s="11">
        <v>163</v>
      </c>
      <c r="B165" s="46" t="s">
        <v>409</v>
      </c>
      <c r="C165" s="46" t="s">
        <v>749</v>
      </c>
      <c r="D165" s="12"/>
      <c r="E165" s="13"/>
      <c r="F165" s="13"/>
      <c r="G165" s="13"/>
      <c r="H165" s="13"/>
      <c r="I165" s="13"/>
      <c r="J165" s="13"/>
      <c r="K165" s="13"/>
      <c r="L165" s="13"/>
      <c r="M165" s="13"/>
      <c r="N165" s="13"/>
      <c r="O165" s="13"/>
      <c r="P165" s="13"/>
      <c r="Q165" s="13"/>
      <c r="R165" s="13"/>
      <c r="S165" s="14">
        <f t="shared" si="28"/>
        <v>0</v>
      </c>
      <c r="T165" s="14">
        <f t="shared" si="29"/>
        <v>0</v>
      </c>
      <c r="U165" s="14">
        <f t="shared" si="30"/>
        <v>0</v>
      </c>
      <c r="V165" s="14">
        <f t="shared" si="31"/>
        <v>0</v>
      </c>
      <c r="W165" s="14">
        <f t="shared" si="26"/>
        <v>1</v>
      </c>
      <c r="X165" s="15">
        <f t="shared" si="32"/>
        <v>0</v>
      </c>
      <c r="Y165" s="16" t="s">
        <v>1011</v>
      </c>
    </row>
    <row r="166" spans="1:25" ht="30" customHeight="1">
      <c r="A166" s="11">
        <v>164</v>
      </c>
      <c r="B166" s="46" t="s">
        <v>410</v>
      </c>
      <c r="C166" s="46" t="s">
        <v>750</v>
      </c>
      <c r="D166" s="12"/>
      <c r="E166" s="13"/>
      <c r="F166" s="13"/>
      <c r="G166" s="13"/>
      <c r="H166" s="13"/>
      <c r="I166" s="13"/>
      <c r="J166" s="13"/>
      <c r="K166" s="13"/>
      <c r="L166" s="13"/>
      <c r="M166" s="13"/>
      <c r="N166" s="13"/>
      <c r="O166" s="13"/>
      <c r="P166" s="13"/>
      <c r="Q166" s="13"/>
      <c r="R166" s="13"/>
      <c r="S166" s="14">
        <f t="shared" si="28"/>
        <v>0</v>
      </c>
      <c r="T166" s="14">
        <f t="shared" si="29"/>
        <v>0</v>
      </c>
      <c r="U166" s="14">
        <f t="shared" si="30"/>
        <v>0</v>
      </c>
      <c r="V166" s="14">
        <f t="shared" si="31"/>
        <v>0</v>
      </c>
      <c r="W166" s="14">
        <f t="shared" si="26"/>
        <v>1</v>
      </c>
      <c r="X166" s="15">
        <f t="shared" si="32"/>
        <v>0</v>
      </c>
      <c r="Y166" s="16" t="s">
        <v>1012</v>
      </c>
    </row>
    <row r="167" spans="1:25" ht="30" customHeight="1">
      <c r="A167" s="11">
        <v>165</v>
      </c>
      <c r="B167" s="46" t="s">
        <v>411</v>
      </c>
      <c r="C167" s="46" t="s">
        <v>751</v>
      </c>
      <c r="D167" s="12"/>
      <c r="E167" s="13"/>
      <c r="F167" s="13"/>
      <c r="G167" s="13"/>
      <c r="H167" s="13"/>
      <c r="I167" s="13"/>
      <c r="J167" s="13"/>
      <c r="K167" s="13"/>
      <c r="L167" s="13"/>
      <c r="M167" s="13"/>
      <c r="N167" s="13"/>
      <c r="O167" s="13"/>
      <c r="P167" s="13"/>
      <c r="Q167" s="13"/>
      <c r="R167" s="13"/>
      <c r="S167" s="14">
        <f t="shared" si="28"/>
        <v>0</v>
      </c>
      <c r="T167" s="14">
        <f t="shared" si="29"/>
        <v>0</v>
      </c>
      <c r="U167" s="14">
        <f t="shared" si="30"/>
        <v>0</v>
      </c>
      <c r="V167" s="14">
        <f t="shared" si="31"/>
        <v>0</v>
      </c>
      <c r="W167" s="14">
        <f t="shared" si="26"/>
        <v>1</v>
      </c>
      <c r="X167" s="15">
        <f t="shared" si="32"/>
        <v>0</v>
      </c>
      <c r="Y167" s="16" t="s">
        <v>1013</v>
      </c>
    </row>
    <row r="168" spans="1:25" ht="66">
      <c r="A168" s="11">
        <v>166</v>
      </c>
      <c r="B168" s="46" t="s">
        <v>412</v>
      </c>
      <c r="C168" s="46" t="s">
        <v>752</v>
      </c>
      <c r="D168" s="12"/>
      <c r="E168" s="13"/>
      <c r="F168" s="13"/>
      <c r="G168" s="13"/>
      <c r="H168" s="13"/>
      <c r="I168" s="13"/>
      <c r="J168" s="13"/>
      <c r="K168" s="13"/>
      <c r="L168" s="13"/>
      <c r="M168" s="13"/>
      <c r="N168" s="13"/>
      <c r="O168" s="13"/>
      <c r="P168" s="13"/>
      <c r="Q168" s="13"/>
      <c r="R168" s="13"/>
      <c r="S168" s="14">
        <f t="shared" si="28"/>
        <v>0</v>
      </c>
      <c r="T168" s="14">
        <f t="shared" si="29"/>
        <v>0</v>
      </c>
      <c r="U168" s="14">
        <f t="shared" si="30"/>
        <v>0</v>
      </c>
      <c r="V168" s="14">
        <f t="shared" si="31"/>
        <v>0</v>
      </c>
      <c r="W168" s="14">
        <f t="shared" si="26"/>
        <v>1</v>
      </c>
      <c r="X168" s="15">
        <f t="shared" si="32"/>
        <v>0</v>
      </c>
      <c r="Y168" s="16" t="s">
        <v>957</v>
      </c>
    </row>
    <row r="169" spans="1:25" ht="30" customHeight="1">
      <c r="A169" s="11">
        <v>167</v>
      </c>
      <c r="B169" s="46" t="s">
        <v>413</v>
      </c>
      <c r="C169" s="46" t="s">
        <v>753</v>
      </c>
      <c r="D169" s="12"/>
      <c r="E169" s="13"/>
      <c r="F169" s="13"/>
      <c r="G169" s="13"/>
      <c r="H169" s="13"/>
      <c r="I169" s="13"/>
      <c r="J169" s="13"/>
      <c r="K169" s="13"/>
      <c r="L169" s="13"/>
      <c r="M169" s="13"/>
      <c r="N169" s="13"/>
      <c r="O169" s="13"/>
      <c r="P169" s="13"/>
      <c r="Q169" s="13"/>
      <c r="R169" s="13"/>
      <c r="S169" s="14">
        <f t="shared" si="28"/>
        <v>0</v>
      </c>
      <c r="T169" s="14">
        <f t="shared" si="29"/>
        <v>0</v>
      </c>
      <c r="U169" s="14">
        <f t="shared" si="30"/>
        <v>0</v>
      </c>
      <c r="V169" s="14">
        <f t="shared" si="31"/>
        <v>0</v>
      </c>
      <c r="W169" s="14">
        <f t="shared" si="26"/>
        <v>1</v>
      </c>
      <c r="X169" s="15">
        <f t="shared" si="32"/>
        <v>0</v>
      </c>
      <c r="Y169" s="16"/>
    </row>
    <row r="170" spans="1:25" ht="30" customHeight="1">
      <c r="A170" s="11">
        <v>168</v>
      </c>
      <c r="B170" s="46" t="s">
        <v>414</v>
      </c>
      <c r="C170" s="46" t="s">
        <v>754</v>
      </c>
      <c r="D170" s="12"/>
      <c r="E170" s="13"/>
      <c r="F170" s="13"/>
      <c r="G170" s="13"/>
      <c r="H170" s="13"/>
      <c r="I170" s="13"/>
      <c r="J170" s="13"/>
      <c r="K170" s="13"/>
      <c r="L170" s="13"/>
      <c r="M170" s="13"/>
      <c r="N170" s="13"/>
      <c r="O170" s="13"/>
      <c r="P170" s="13"/>
      <c r="Q170" s="13"/>
      <c r="R170" s="13"/>
      <c r="S170" s="14">
        <f t="shared" si="28"/>
        <v>0</v>
      </c>
      <c r="T170" s="14">
        <f t="shared" si="29"/>
        <v>0</v>
      </c>
      <c r="U170" s="14">
        <f t="shared" si="30"/>
        <v>0</v>
      </c>
      <c r="V170" s="14">
        <f t="shared" si="31"/>
        <v>0</v>
      </c>
      <c r="W170" s="14">
        <f t="shared" si="26"/>
        <v>1</v>
      </c>
      <c r="X170" s="15">
        <f t="shared" si="32"/>
        <v>0</v>
      </c>
      <c r="Y170" s="16"/>
    </row>
    <row r="171" spans="1:25" ht="30" customHeight="1">
      <c r="A171" s="11">
        <v>169</v>
      </c>
      <c r="B171" s="46" t="s">
        <v>415</v>
      </c>
      <c r="C171" s="46" t="s">
        <v>755</v>
      </c>
      <c r="D171" s="12"/>
      <c r="E171" s="13"/>
      <c r="F171" s="13"/>
      <c r="G171" s="13"/>
      <c r="H171" s="13"/>
      <c r="I171" s="13"/>
      <c r="J171" s="13"/>
      <c r="K171" s="13"/>
      <c r="L171" s="13"/>
      <c r="M171" s="13"/>
      <c r="N171" s="13"/>
      <c r="O171" s="13"/>
      <c r="P171" s="13"/>
      <c r="Q171" s="13"/>
      <c r="R171" s="13"/>
      <c r="S171" s="14">
        <f t="shared" si="28"/>
        <v>0</v>
      </c>
      <c r="T171" s="14">
        <f t="shared" si="29"/>
        <v>0</v>
      </c>
      <c r="U171" s="14">
        <f t="shared" si="30"/>
        <v>0</v>
      </c>
      <c r="V171" s="14">
        <f t="shared" si="31"/>
        <v>0</v>
      </c>
      <c r="W171" s="14">
        <f t="shared" si="26"/>
        <v>1</v>
      </c>
      <c r="X171" s="15">
        <f t="shared" si="32"/>
        <v>0</v>
      </c>
      <c r="Y171" s="16"/>
    </row>
    <row r="172" spans="1:25" ht="30" customHeight="1">
      <c r="A172" s="11">
        <v>170</v>
      </c>
      <c r="B172" s="46" t="s">
        <v>416</v>
      </c>
      <c r="C172" s="46" t="s">
        <v>756</v>
      </c>
      <c r="D172" s="12"/>
      <c r="E172" s="13"/>
      <c r="F172" s="13"/>
      <c r="G172" s="13"/>
      <c r="H172" s="13"/>
      <c r="I172" s="13"/>
      <c r="J172" s="13"/>
      <c r="K172" s="13"/>
      <c r="L172" s="13"/>
      <c r="M172" s="13"/>
      <c r="N172" s="13"/>
      <c r="O172" s="13"/>
      <c r="P172" s="13"/>
      <c r="Q172" s="13"/>
      <c r="R172" s="13"/>
      <c r="S172" s="14">
        <f t="shared" si="28"/>
        <v>0</v>
      </c>
      <c r="T172" s="14">
        <f t="shared" si="29"/>
        <v>0</v>
      </c>
      <c r="U172" s="14">
        <f t="shared" si="30"/>
        <v>0</v>
      </c>
      <c r="V172" s="14">
        <f t="shared" si="31"/>
        <v>0</v>
      </c>
      <c r="W172" s="14">
        <f t="shared" si="26"/>
        <v>1</v>
      </c>
      <c r="X172" s="15">
        <f t="shared" si="32"/>
        <v>0</v>
      </c>
      <c r="Y172" s="16"/>
    </row>
    <row r="173" spans="1:25" ht="30" customHeight="1">
      <c r="A173" s="11">
        <v>171</v>
      </c>
      <c r="B173" s="46" t="s">
        <v>417</v>
      </c>
      <c r="C173" s="46" t="s">
        <v>757</v>
      </c>
      <c r="D173" s="12"/>
      <c r="E173" s="13"/>
      <c r="F173" s="13"/>
      <c r="G173" s="13"/>
      <c r="H173" s="13"/>
      <c r="I173" s="13"/>
      <c r="J173" s="13"/>
      <c r="K173" s="13"/>
      <c r="L173" s="13"/>
      <c r="M173" s="13"/>
      <c r="N173" s="13"/>
      <c r="O173" s="13"/>
      <c r="P173" s="13"/>
      <c r="Q173" s="13"/>
      <c r="R173" s="13"/>
      <c r="S173" s="14">
        <f t="shared" si="28"/>
        <v>0</v>
      </c>
      <c r="T173" s="14">
        <f t="shared" si="29"/>
        <v>0</v>
      </c>
      <c r="U173" s="14">
        <f t="shared" si="30"/>
        <v>0</v>
      </c>
      <c r="V173" s="14">
        <f t="shared" si="31"/>
        <v>0</v>
      </c>
      <c r="W173" s="14">
        <f t="shared" si="26"/>
        <v>1</v>
      </c>
      <c r="X173" s="15">
        <f t="shared" si="32"/>
        <v>0</v>
      </c>
      <c r="Y173" s="16"/>
    </row>
    <row r="174" spans="1:25" ht="30" customHeight="1">
      <c r="A174" s="11">
        <v>172</v>
      </c>
      <c r="B174" s="46" t="s">
        <v>418</v>
      </c>
      <c r="C174" s="46" t="s">
        <v>758</v>
      </c>
      <c r="D174" s="12"/>
      <c r="E174" s="13"/>
      <c r="F174" s="13"/>
      <c r="G174" s="13"/>
      <c r="H174" s="13"/>
      <c r="I174" s="13"/>
      <c r="J174" s="13"/>
      <c r="K174" s="13"/>
      <c r="L174" s="13"/>
      <c r="M174" s="13"/>
      <c r="N174" s="13"/>
      <c r="O174" s="13"/>
      <c r="P174" s="13"/>
      <c r="Q174" s="13"/>
      <c r="R174" s="13"/>
      <c r="S174" s="14">
        <f t="shared" si="28"/>
        <v>0</v>
      </c>
      <c r="T174" s="14">
        <f t="shared" si="29"/>
        <v>0</v>
      </c>
      <c r="U174" s="14">
        <f t="shared" si="30"/>
        <v>0</v>
      </c>
      <c r="V174" s="14">
        <f t="shared" si="31"/>
        <v>0</v>
      </c>
      <c r="W174" s="14">
        <f t="shared" si="26"/>
        <v>1</v>
      </c>
      <c r="X174" s="15">
        <f t="shared" si="32"/>
        <v>0</v>
      </c>
      <c r="Y174" s="16" t="s">
        <v>930</v>
      </c>
    </row>
    <row r="175" spans="1:25" ht="30" customHeight="1">
      <c r="A175" s="11">
        <v>173</v>
      </c>
      <c r="B175" s="46" t="s">
        <v>419</v>
      </c>
      <c r="C175" s="46" t="s">
        <v>759</v>
      </c>
      <c r="D175" s="12"/>
      <c r="E175" s="13"/>
      <c r="F175" s="13"/>
      <c r="G175" s="13"/>
      <c r="H175" s="13"/>
      <c r="I175" s="13"/>
      <c r="J175" s="13"/>
      <c r="K175" s="13"/>
      <c r="L175" s="13"/>
      <c r="M175" s="13"/>
      <c r="N175" s="13"/>
      <c r="O175" s="13"/>
      <c r="P175" s="13"/>
      <c r="Q175" s="13"/>
      <c r="R175" s="13"/>
      <c r="S175" s="14">
        <f t="shared" si="28"/>
        <v>0</v>
      </c>
      <c r="T175" s="14">
        <f t="shared" si="29"/>
        <v>0</v>
      </c>
      <c r="U175" s="14">
        <f t="shared" si="30"/>
        <v>0</v>
      </c>
      <c r="V175" s="14">
        <f t="shared" si="31"/>
        <v>0</v>
      </c>
      <c r="W175" s="14">
        <f t="shared" si="26"/>
        <v>1</v>
      </c>
      <c r="X175" s="15">
        <f t="shared" si="32"/>
        <v>0</v>
      </c>
      <c r="Y175" s="16" t="s">
        <v>966</v>
      </c>
    </row>
    <row r="176" spans="1:25" ht="52.8">
      <c r="A176" s="11">
        <v>174</v>
      </c>
      <c r="B176" s="46" t="s">
        <v>420</v>
      </c>
      <c r="C176" s="46" t="s">
        <v>760</v>
      </c>
      <c r="D176" s="12"/>
      <c r="E176" s="13"/>
      <c r="F176" s="13"/>
      <c r="G176" s="13"/>
      <c r="H176" s="13"/>
      <c r="I176" s="13"/>
      <c r="J176" s="13"/>
      <c r="K176" s="13"/>
      <c r="L176" s="13"/>
      <c r="M176" s="13"/>
      <c r="N176" s="13"/>
      <c r="O176" s="13"/>
      <c r="P176" s="13"/>
      <c r="Q176" s="13"/>
      <c r="R176" s="13"/>
      <c r="S176" s="14">
        <f t="shared" si="28"/>
        <v>0</v>
      </c>
      <c r="T176" s="14">
        <f t="shared" si="29"/>
        <v>0</v>
      </c>
      <c r="U176" s="14">
        <f t="shared" si="30"/>
        <v>0</v>
      </c>
      <c r="V176" s="14">
        <f t="shared" si="31"/>
        <v>0</v>
      </c>
      <c r="W176" s="14">
        <f t="shared" si="26"/>
        <v>1</v>
      </c>
      <c r="X176" s="15">
        <f t="shared" si="32"/>
        <v>0</v>
      </c>
      <c r="Y176" s="16" t="s">
        <v>966</v>
      </c>
    </row>
    <row r="177" spans="1:25" ht="30" customHeight="1">
      <c r="A177" s="11">
        <v>175</v>
      </c>
      <c r="B177" s="46" t="s">
        <v>421</v>
      </c>
      <c r="C177" s="46" t="s">
        <v>761</v>
      </c>
      <c r="D177" s="12"/>
      <c r="E177" s="13"/>
      <c r="F177" s="13"/>
      <c r="G177" s="13"/>
      <c r="H177" s="13"/>
      <c r="I177" s="13"/>
      <c r="J177" s="13"/>
      <c r="K177" s="13"/>
      <c r="L177" s="13"/>
      <c r="M177" s="13"/>
      <c r="N177" s="13"/>
      <c r="O177" s="13"/>
      <c r="P177" s="13"/>
      <c r="Q177" s="13"/>
      <c r="R177" s="13"/>
      <c r="S177" s="14">
        <f t="shared" si="28"/>
        <v>0</v>
      </c>
      <c r="T177" s="14">
        <f t="shared" si="29"/>
        <v>0</v>
      </c>
      <c r="U177" s="14">
        <f t="shared" si="30"/>
        <v>0</v>
      </c>
      <c r="V177" s="14">
        <f t="shared" si="31"/>
        <v>0</v>
      </c>
      <c r="W177" s="14">
        <f t="shared" si="26"/>
        <v>1</v>
      </c>
      <c r="X177" s="15">
        <f t="shared" si="32"/>
        <v>0</v>
      </c>
      <c r="Y177" s="16"/>
    </row>
    <row r="178" spans="1:25" ht="30" customHeight="1">
      <c r="A178" s="11">
        <v>176</v>
      </c>
      <c r="B178" s="46" t="s">
        <v>422</v>
      </c>
      <c r="C178" s="46" t="s">
        <v>762</v>
      </c>
      <c r="D178" s="12"/>
      <c r="E178" s="13"/>
      <c r="F178" s="13"/>
      <c r="G178" s="13"/>
      <c r="H178" s="13"/>
      <c r="I178" s="13"/>
      <c r="J178" s="13"/>
      <c r="K178" s="13"/>
      <c r="L178" s="13"/>
      <c r="M178" s="13"/>
      <c r="N178" s="13"/>
      <c r="O178" s="13"/>
      <c r="P178" s="13"/>
      <c r="Q178" s="13"/>
      <c r="R178" s="13"/>
      <c r="S178" s="14">
        <f t="shared" si="28"/>
        <v>0</v>
      </c>
      <c r="T178" s="14">
        <f t="shared" si="29"/>
        <v>0</v>
      </c>
      <c r="U178" s="14">
        <f t="shared" si="30"/>
        <v>0</v>
      </c>
      <c r="V178" s="14">
        <f t="shared" si="31"/>
        <v>0</v>
      </c>
      <c r="W178" s="14">
        <f t="shared" si="26"/>
        <v>1</v>
      </c>
      <c r="X178" s="15">
        <f t="shared" si="32"/>
        <v>0</v>
      </c>
      <c r="Y178" s="16"/>
    </row>
    <row r="179" spans="1:25" ht="30" customHeight="1">
      <c r="A179" s="11">
        <v>177</v>
      </c>
      <c r="B179" s="46" t="s">
        <v>338</v>
      </c>
      <c r="C179" s="46" t="s">
        <v>338</v>
      </c>
      <c r="D179" s="12"/>
      <c r="E179" s="13"/>
      <c r="F179" s="13"/>
      <c r="G179" s="13"/>
      <c r="H179" s="13"/>
      <c r="I179" s="13"/>
      <c r="J179" s="13"/>
      <c r="K179" s="13"/>
      <c r="L179" s="13"/>
      <c r="M179" s="13"/>
      <c r="N179" s="13"/>
      <c r="O179" s="13"/>
      <c r="P179" s="13"/>
      <c r="Q179" s="13"/>
      <c r="R179" s="13"/>
      <c r="S179" s="14">
        <f t="shared" si="28"/>
        <v>0</v>
      </c>
      <c r="T179" s="14">
        <f t="shared" si="29"/>
        <v>0</v>
      </c>
      <c r="U179" s="14">
        <f t="shared" si="30"/>
        <v>0</v>
      </c>
      <c r="V179" s="14">
        <f t="shared" si="31"/>
        <v>0</v>
      </c>
      <c r="W179" s="14">
        <f t="shared" si="26"/>
        <v>1</v>
      </c>
      <c r="X179" s="15">
        <f t="shared" si="32"/>
        <v>0</v>
      </c>
      <c r="Y179" s="16"/>
    </row>
    <row r="180" spans="1:25" ht="30" customHeight="1">
      <c r="A180" s="11">
        <v>178</v>
      </c>
      <c r="B180" s="46" t="s">
        <v>423</v>
      </c>
      <c r="C180" s="46" t="s">
        <v>763</v>
      </c>
      <c r="D180" s="12"/>
      <c r="E180" s="13"/>
      <c r="F180" s="13"/>
      <c r="G180" s="13"/>
      <c r="H180" s="13"/>
      <c r="I180" s="13"/>
      <c r="J180" s="13"/>
      <c r="K180" s="13"/>
      <c r="L180" s="13"/>
      <c r="M180" s="13"/>
      <c r="N180" s="13"/>
      <c r="O180" s="13"/>
      <c r="P180" s="13"/>
      <c r="Q180" s="13"/>
      <c r="R180" s="13"/>
      <c r="S180" s="14">
        <f t="shared" si="28"/>
        <v>0</v>
      </c>
      <c r="T180" s="14">
        <f t="shared" si="29"/>
        <v>0</v>
      </c>
      <c r="U180" s="14">
        <f t="shared" si="30"/>
        <v>0</v>
      </c>
      <c r="V180" s="14">
        <f t="shared" si="31"/>
        <v>0</v>
      </c>
      <c r="W180" s="14">
        <f t="shared" si="26"/>
        <v>1</v>
      </c>
      <c r="X180" s="15">
        <f t="shared" si="32"/>
        <v>0</v>
      </c>
      <c r="Y180" s="16" t="s">
        <v>1014</v>
      </c>
    </row>
    <row r="181" spans="1:25" ht="30" customHeight="1">
      <c r="A181" s="11">
        <v>179</v>
      </c>
      <c r="B181" s="46" t="s">
        <v>424</v>
      </c>
      <c r="C181" s="46" t="s">
        <v>764</v>
      </c>
      <c r="D181" s="12"/>
      <c r="E181" s="13"/>
      <c r="F181" s="13"/>
      <c r="G181" s="13"/>
      <c r="H181" s="13"/>
      <c r="I181" s="13"/>
      <c r="J181" s="13"/>
      <c r="K181" s="13"/>
      <c r="L181" s="13"/>
      <c r="M181" s="13"/>
      <c r="N181" s="13"/>
      <c r="O181" s="13"/>
      <c r="P181" s="13"/>
      <c r="Q181" s="13"/>
      <c r="R181" s="13"/>
      <c r="S181" s="14">
        <f t="shared" si="28"/>
        <v>0</v>
      </c>
      <c r="T181" s="14">
        <f t="shared" si="29"/>
        <v>0</v>
      </c>
      <c r="U181" s="14">
        <f t="shared" si="30"/>
        <v>0</v>
      </c>
      <c r="V181" s="14">
        <f t="shared" si="31"/>
        <v>0</v>
      </c>
      <c r="W181" s="14">
        <f t="shared" si="26"/>
        <v>1</v>
      </c>
      <c r="X181" s="15">
        <f t="shared" si="32"/>
        <v>0</v>
      </c>
      <c r="Y181" s="16" t="s">
        <v>1015</v>
      </c>
    </row>
    <row r="182" spans="1:25" ht="52.8">
      <c r="A182" s="11">
        <v>180</v>
      </c>
      <c r="B182" s="46" t="s">
        <v>425</v>
      </c>
      <c r="C182" s="46" t="s">
        <v>765</v>
      </c>
      <c r="D182" s="12"/>
      <c r="E182" s="13"/>
      <c r="F182" s="13"/>
      <c r="G182" s="13"/>
      <c r="H182" s="13"/>
      <c r="I182" s="13"/>
      <c r="J182" s="13"/>
      <c r="K182" s="13"/>
      <c r="L182" s="13"/>
      <c r="M182" s="13"/>
      <c r="N182" s="13"/>
      <c r="O182" s="13"/>
      <c r="P182" s="13"/>
      <c r="Q182" s="13"/>
      <c r="R182" s="13"/>
      <c r="S182" s="14">
        <f t="shared" si="28"/>
        <v>0</v>
      </c>
      <c r="T182" s="14">
        <f t="shared" si="29"/>
        <v>0</v>
      </c>
      <c r="U182" s="14">
        <f t="shared" si="30"/>
        <v>0</v>
      </c>
      <c r="V182" s="14">
        <f t="shared" si="31"/>
        <v>0</v>
      </c>
      <c r="W182" s="14">
        <f t="shared" si="26"/>
        <v>1</v>
      </c>
      <c r="X182" s="15">
        <f t="shared" si="32"/>
        <v>0</v>
      </c>
      <c r="Y182" s="16" t="s">
        <v>1016</v>
      </c>
    </row>
    <row r="183" spans="1:25" ht="52.8">
      <c r="A183" s="11">
        <v>181</v>
      </c>
      <c r="B183" s="46" t="s">
        <v>426</v>
      </c>
      <c r="C183" s="46" t="s">
        <v>766</v>
      </c>
      <c r="D183" s="12"/>
      <c r="E183" s="13"/>
      <c r="F183" s="13"/>
      <c r="G183" s="13"/>
      <c r="H183" s="13"/>
      <c r="I183" s="13"/>
      <c r="J183" s="13"/>
      <c r="K183" s="13"/>
      <c r="L183" s="13"/>
      <c r="M183" s="13"/>
      <c r="N183" s="13"/>
      <c r="O183" s="13"/>
      <c r="P183" s="13"/>
      <c r="Q183" s="13"/>
      <c r="R183" s="13"/>
      <c r="S183" s="14">
        <f t="shared" si="28"/>
        <v>0</v>
      </c>
      <c r="T183" s="14">
        <f t="shared" si="29"/>
        <v>0</v>
      </c>
      <c r="U183" s="14">
        <f t="shared" si="30"/>
        <v>0</v>
      </c>
      <c r="V183" s="14">
        <f t="shared" si="31"/>
        <v>0</v>
      </c>
      <c r="W183" s="14">
        <f t="shared" si="26"/>
        <v>1</v>
      </c>
      <c r="X183" s="15">
        <f t="shared" si="32"/>
        <v>0</v>
      </c>
      <c r="Y183" s="16" t="s">
        <v>1017</v>
      </c>
    </row>
    <row r="184" spans="1:25" ht="30" customHeight="1">
      <c r="A184" s="11">
        <v>182</v>
      </c>
      <c r="B184" s="46" t="s">
        <v>427</v>
      </c>
      <c r="C184" s="46" t="s">
        <v>1018</v>
      </c>
      <c r="D184" s="12"/>
      <c r="E184" s="13"/>
      <c r="F184" s="13"/>
      <c r="G184" s="13"/>
      <c r="H184" s="13"/>
      <c r="I184" s="13"/>
      <c r="J184" s="13"/>
      <c r="K184" s="13"/>
      <c r="L184" s="13"/>
      <c r="M184" s="13"/>
      <c r="N184" s="13"/>
      <c r="O184" s="13"/>
      <c r="P184" s="13"/>
      <c r="Q184" s="13"/>
      <c r="R184" s="13"/>
      <c r="S184" s="14">
        <f t="shared" si="28"/>
        <v>0</v>
      </c>
      <c r="T184" s="14">
        <f t="shared" si="29"/>
        <v>0</v>
      </c>
      <c r="U184" s="14">
        <f t="shared" si="30"/>
        <v>0</v>
      </c>
      <c r="V184" s="14">
        <f t="shared" si="31"/>
        <v>0</v>
      </c>
      <c r="W184" s="14">
        <f t="shared" si="26"/>
        <v>1</v>
      </c>
      <c r="X184" s="15">
        <f t="shared" si="32"/>
        <v>0</v>
      </c>
      <c r="Y184" s="16" t="s">
        <v>1019</v>
      </c>
    </row>
    <row r="185" spans="1:25" ht="39.6">
      <c r="A185" s="11">
        <v>183</v>
      </c>
      <c r="B185" s="46" t="s">
        <v>428</v>
      </c>
      <c r="C185" s="46" t="s">
        <v>767</v>
      </c>
      <c r="D185" s="12"/>
      <c r="E185" s="13"/>
      <c r="F185" s="13"/>
      <c r="G185" s="13"/>
      <c r="H185" s="13"/>
      <c r="I185" s="13"/>
      <c r="J185" s="13"/>
      <c r="K185" s="13"/>
      <c r="L185" s="13"/>
      <c r="M185" s="13"/>
      <c r="N185" s="13"/>
      <c r="O185" s="13"/>
      <c r="P185" s="13"/>
      <c r="Q185" s="13"/>
      <c r="R185" s="13"/>
      <c r="S185" s="14">
        <f t="shared" si="28"/>
        <v>0</v>
      </c>
      <c r="T185" s="14">
        <f t="shared" si="29"/>
        <v>0</v>
      </c>
      <c r="U185" s="14">
        <f t="shared" si="30"/>
        <v>0</v>
      </c>
      <c r="V185" s="14">
        <f t="shared" si="31"/>
        <v>0</v>
      </c>
      <c r="W185" s="14">
        <f t="shared" si="26"/>
        <v>1</v>
      </c>
      <c r="X185" s="15">
        <f t="shared" si="32"/>
        <v>0</v>
      </c>
      <c r="Y185" s="16" t="s">
        <v>1020</v>
      </c>
    </row>
    <row r="186" spans="1:25" ht="30" customHeight="1">
      <c r="A186" s="11">
        <v>184</v>
      </c>
      <c r="B186" s="46" t="s">
        <v>429</v>
      </c>
      <c r="C186" s="46" t="s">
        <v>768</v>
      </c>
      <c r="D186" s="12"/>
      <c r="E186" s="13"/>
      <c r="F186" s="13"/>
      <c r="G186" s="13"/>
      <c r="H186" s="13"/>
      <c r="I186" s="13"/>
      <c r="J186" s="13"/>
      <c r="K186" s="13"/>
      <c r="L186" s="13"/>
      <c r="M186" s="13"/>
      <c r="N186" s="13"/>
      <c r="O186" s="13"/>
      <c r="P186" s="13"/>
      <c r="Q186" s="13"/>
      <c r="R186" s="13"/>
      <c r="S186" s="14">
        <f t="shared" si="28"/>
        <v>0</v>
      </c>
      <c r="T186" s="14">
        <f t="shared" si="29"/>
        <v>0</v>
      </c>
      <c r="U186" s="14">
        <f t="shared" si="30"/>
        <v>0</v>
      </c>
      <c r="V186" s="14">
        <f t="shared" si="31"/>
        <v>0</v>
      </c>
      <c r="W186" s="14">
        <f t="shared" si="26"/>
        <v>1</v>
      </c>
      <c r="X186" s="15">
        <f t="shared" si="32"/>
        <v>0</v>
      </c>
      <c r="Y186" s="16"/>
    </row>
    <row r="187" spans="1:25" ht="30" customHeight="1">
      <c r="A187" s="11">
        <v>185</v>
      </c>
      <c r="B187" s="46" t="s">
        <v>430</v>
      </c>
      <c r="C187" s="46" t="s">
        <v>769</v>
      </c>
      <c r="D187" s="12"/>
      <c r="E187" s="13"/>
      <c r="F187" s="13"/>
      <c r="G187" s="13"/>
      <c r="H187" s="13"/>
      <c r="I187" s="13"/>
      <c r="J187" s="13"/>
      <c r="K187" s="13"/>
      <c r="L187" s="13"/>
      <c r="M187" s="13"/>
      <c r="N187" s="13"/>
      <c r="O187" s="13"/>
      <c r="P187" s="13"/>
      <c r="Q187" s="13"/>
      <c r="R187" s="13"/>
      <c r="S187" s="14">
        <f t="shared" si="28"/>
        <v>0</v>
      </c>
      <c r="T187" s="14">
        <f t="shared" si="29"/>
        <v>0</v>
      </c>
      <c r="U187" s="14">
        <f t="shared" si="30"/>
        <v>0</v>
      </c>
      <c r="V187" s="14">
        <f t="shared" si="31"/>
        <v>0</v>
      </c>
      <c r="W187" s="14">
        <f t="shared" si="26"/>
        <v>1</v>
      </c>
      <c r="X187" s="15">
        <f t="shared" si="32"/>
        <v>0</v>
      </c>
      <c r="Y187" s="16" t="s">
        <v>1027</v>
      </c>
    </row>
    <row r="188" spans="1:25" ht="30" customHeight="1">
      <c r="A188" s="11">
        <v>186</v>
      </c>
      <c r="B188" s="46" t="s">
        <v>431</v>
      </c>
      <c r="C188" s="46" t="s">
        <v>770</v>
      </c>
      <c r="D188" s="12"/>
      <c r="E188" s="13"/>
      <c r="F188" s="13"/>
      <c r="G188" s="13"/>
      <c r="H188" s="13"/>
      <c r="I188" s="13"/>
      <c r="J188" s="13"/>
      <c r="K188" s="13"/>
      <c r="L188" s="13"/>
      <c r="M188" s="13"/>
      <c r="N188" s="13"/>
      <c r="O188" s="13"/>
      <c r="P188" s="13"/>
      <c r="Q188" s="13"/>
      <c r="R188" s="13"/>
      <c r="S188" s="14">
        <f t="shared" si="28"/>
        <v>0</v>
      </c>
      <c r="T188" s="14">
        <f t="shared" si="29"/>
        <v>0</v>
      </c>
      <c r="U188" s="14">
        <f t="shared" si="30"/>
        <v>0</v>
      </c>
      <c r="V188" s="14">
        <f t="shared" si="31"/>
        <v>0</v>
      </c>
      <c r="W188" s="14">
        <f t="shared" si="26"/>
        <v>1</v>
      </c>
      <c r="X188" s="15">
        <f t="shared" si="32"/>
        <v>0</v>
      </c>
      <c r="Y188" s="16" t="s">
        <v>1021</v>
      </c>
    </row>
    <row r="189" spans="1:25" ht="30" customHeight="1">
      <c r="A189" s="11">
        <v>187</v>
      </c>
      <c r="B189" s="46" t="s">
        <v>432</v>
      </c>
      <c r="C189" s="46" t="s">
        <v>771</v>
      </c>
      <c r="D189" s="12"/>
      <c r="E189" s="13"/>
      <c r="F189" s="13"/>
      <c r="G189" s="13"/>
      <c r="H189" s="13"/>
      <c r="I189" s="13"/>
      <c r="J189" s="13"/>
      <c r="K189" s="13"/>
      <c r="L189" s="13"/>
      <c r="M189" s="13"/>
      <c r="N189" s="13"/>
      <c r="O189" s="13"/>
      <c r="P189" s="13"/>
      <c r="Q189" s="13"/>
      <c r="R189" s="13"/>
      <c r="S189" s="14">
        <f t="shared" si="28"/>
        <v>0</v>
      </c>
      <c r="T189" s="14">
        <f t="shared" si="29"/>
        <v>0</v>
      </c>
      <c r="U189" s="14">
        <f t="shared" si="30"/>
        <v>0</v>
      </c>
      <c r="V189" s="14">
        <f t="shared" si="31"/>
        <v>0</v>
      </c>
      <c r="W189" s="14">
        <f t="shared" si="26"/>
        <v>1</v>
      </c>
      <c r="X189" s="15">
        <f t="shared" si="32"/>
        <v>0</v>
      </c>
      <c r="Y189" s="16"/>
    </row>
    <row r="190" spans="1:25" ht="30" customHeight="1">
      <c r="A190" s="11">
        <v>188</v>
      </c>
      <c r="B190" s="46" t="s">
        <v>433</v>
      </c>
      <c r="C190" s="46" t="s">
        <v>772</v>
      </c>
      <c r="D190" s="12"/>
      <c r="E190" s="13"/>
      <c r="F190" s="13"/>
      <c r="G190" s="13"/>
      <c r="H190" s="13"/>
      <c r="I190" s="13"/>
      <c r="J190" s="13"/>
      <c r="K190" s="13"/>
      <c r="L190" s="13"/>
      <c r="M190" s="13"/>
      <c r="N190" s="13"/>
      <c r="O190" s="13"/>
      <c r="P190" s="13"/>
      <c r="Q190" s="13"/>
      <c r="R190" s="13"/>
      <c r="S190" s="14">
        <f t="shared" si="28"/>
        <v>0</v>
      </c>
      <c r="T190" s="14">
        <f t="shared" si="29"/>
        <v>0</v>
      </c>
      <c r="U190" s="14">
        <f t="shared" si="30"/>
        <v>0</v>
      </c>
      <c r="V190" s="14">
        <f t="shared" si="31"/>
        <v>0</v>
      </c>
      <c r="W190" s="14">
        <f t="shared" si="26"/>
        <v>1</v>
      </c>
      <c r="X190" s="15">
        <f t="shared" si="32"/>
        <v>0</v>
      </c>
      <c r="Y190" s="16" t="s">
        <v>1022</v>
      </c>
    </row>
    <row r="191" spans="1:25" ht="30" customHeight="1">
      <c r="A191" s="11">
        <v>189</v>
      </c>
      <c r="B191" s="46" t="s">
        <v>434</v>
      </c>
      <c r="C191" s="46" t="s">
        <v>773</v>
      </c>
      <c r="D191" s="12"/>
      <c r="E191" s="13"/>
      <c r="F191" s="13"/>
      <c r="G191" s="13"/>
      <c r="H191" s="13"/>
      <c r="I191" s="13"/>
      <c r="J191" s="13"/>
      <c r="K191" s="13"/>
      <c r="L191" s="13"/>
      <c r="M191" s="13"/>
      <c r="N191" s="13"/>
      <c r="O191" s="13"/>
      <c r="P191" s="13"/>
      <c r="Q191" s="13"/>
      <c r="R191" s="13"/>
      <c r="S191" s="14">
        <f t="shared" si="28"/>
        <v>0</v>
      </c>
      <c r="T191" s="14">
        <f t="shared" si="29"/>
        <v>0</v>
      </c>
      <c r="U191" s="14">
        <f t="shared" si="30"/>
        <v>0</v>
      </c>
      <c r="V191" s="14">
        <f t="shared" si="31"/>
        <v>0</v>
      </c>
      <c r="W191" s="14">
        <f t="shared" si="26"/>
        <v>1</v>
      </c>
      <c r="X191" s="15">
        <f t="shared" si="32"/>
        <v>0</v>
      </c>
      <c r="Y191" s="16" t="s">
        <v>1023</v>
      </c>
    </row>
    <row r="192" spans="1:25" ht="30" customHeight="1">
      <c r="A192" s="11">
        <v>190</v>
      </c>
      <c r="B192" s="46" t="s">
        <v>435</v>
      </c>
      <c r="C192" s="46" t="s">
        <v>774</v>
      </c>
      <c r="D192" s="12"/>
      <c r="E192" s="13"/>
      <c r="F192" s="13"/>
      <c r="G192" s="13"/>
      <c r="H192" s="13"/>
      <c r="I192" s="13"/>
      <c r="J192" s="13"/>
      <c r="K192" s="13"/>
      <c r="L192" s="13"/>
      <c r="M192" s="13"/>
      <c r="N192" s="13"/>
      <c r="O192" s="13"/>
      <c r="P192" s="13"/>
      <c r="Q192" s="13"/>
      <c r="R192" s="13"/>
      <c r="S192" s="14">
        <f t="shared" si="28"/>
        <v>0</v>
      </c>
      <c r="T192" s="14">
        <f t="shared" si="29"/>
        <v>0</v>
      </c>
      <c r="U192" s="14">
        <f t="shared" si="30"/>
        <v>0</v>
      </c>
      <c r="V192" s="14">
        <f t="shared" si="31"/>
        <v>0</v>
      </c>
      <c r="W192" s="14">
        <f t="shared" si="26"/>
        <v>1</v>
      </c>
      <c r="X192" s="15">
        <f t="shared" si="32"/>
        <v>0</v>
      </c>
      <c r="Y192" s="16" t="s">
        <v>1024</v>
      </c>
    </row>
    <row r="193" spans="1:25" ht="30" customHeight="1">
      <c r="A193" s="11">
        <v>191</v>
      </c>
      <c r="B193" s="46" t="s">
        <v>436</v>
      </c>
      <c r="C193" s="46" t="s">
        <v>775</v>
      </c>
      <c r="D193" s="12"/>
      <c r="E193" s="13"/>
      <c r="F193" s="13"/>
      <c r="G193" s="13"/>
      <c r="H193" s="13"/>
      <c r="I193" s="13"/>
      <c r="J193" s="13"/>
      <c r="K193" s="13"/>
      <c r="L193" s="13"/>
      <c r="M193" s="13"/>
      <c r="N193" s="13"/>
      <c r="O193" s="13"/>
      <c r="P193" s="13"/>
      <c r="Q193" s="13"/>
      <c r="R193" s="13"/>
      <c r="S193" s="14">
        <f t="shared" si="28"/>
        <v>0</v>
      </c>
      <c r="T193" s="14">
        <f t="shared" si="29"/>
        <v>0</v>
      </c>
      <c r="U193" s="14">
        <f t="shared" si="30"/>
        <v>0</v>
      </c>
      <c r="V193" s="14">
        <f t="shared" si="31"/>
        <v>0</v>
      </c>
      <c r="W193" s="14">
        <f t="shared" si="26"/>
        <v>1</v>
      </c>
      <c r="X193" s="15">
        <f t="shared" si="32"/>
        <v>0</v>
      </c>
      <c r="Y193" s="16"/>
    </row>
    <row r="194" spans="1:25" ht="30" customHeight="1">
      <c r="A194" s="11">
        <v>192</v>
      </c>
      <c r="B194" s="46" t="s">
        <v>437</v>
      </c>
      <c r="C194" s="46" t="s">
        <v>776</v>
      </c>
      <c r="D194" s="12"/>
      <c r="E194" s="13"/>
      <c r="F194" s="13"/>
      <c r="G194" s="13"/>
      <c r="H194" s="13"/>
      <c r="I194" s="13"/>
      <c r="J194" s="13"/>
      <c r="K194" s="13"/>
      <c r="L194" s="13"/>
      <c r="M194" s="13"/>
      <c r="N194" s="13"/>
      <c r="O194" s="13"/>
      <c r="P194" s="13"/>
      <c r="Q194" s="13"/>
      <c r="R194" s="13"/>
      <c r="S194" s="14">
        <f t="shared" si="28"/>
        <v>0</v>
      </c>
      <c r="T194" s="14">
        <f t="shared" si="29"/>
        <v>0</v>
      </c>
      <c r="U194" s="14">
        <f t="shared" si="30"/>
        <v>0</v>
      </c>
      <c r="V194" s="14">
        <f t="shared" si="31"/>
        <v>0</v>
      </c>
      <c r="W194" s="14">
        <f t="shared" si="26"/>
        <v>1</v>
      </c>
      <c r="X194" s="15">
        <f t="shared" si="32"/>
        <v>0</v>
      </c>
      <c r="Y194" s="16" t="s">
        <v>994</v>
      </c>
    </row>
    <row r="195" spans="1:25" ht="30" customHeight="1">
      <c r="A195" s="11">
        <v>193</v>
      </c>
      <c r="B195" s="46" t="s">
        <v>438</v>
      </c>
      <c r="C195" s="46" t="s">
        <v>777</v>
      </c>
      <c r="D195" s="12"/>
      <c r="E195" s="13"/>
      <c r="F195" s="13"/>
      <c r="G195" s="13"/>
      <c r="H195" s="13"/>
      <c r="I195" s="13"/>
      <c r="J195" s="13"/>
      <c r="K195" s="13"/>
      <c r="L195" s="13"/>
      <c r="M195" s="13"/>
      <c r="N195" s="13"/>
      <c r="O195" s="13"/>
      <c r="P195" s="13"/>
      <c r="Q195" s="13"/>
      <c r="R195" s="13"/>
      <c r="S195" s="14">
        <f t="shared" ref="S195:S203" si="33">IF(SUM(E195:R195)&gt;0,1,0)</f>
        <v>0</v>
      </c>
      <c r="T195" s="14">
        <f t="shared" ref="T195:T203" si="34">IF(MAX(G195,H195,I195,J195,K195,M195,N195)&gt;0,1,0)</f>
        <v>0</v>
      </c>
      <c r="U195" s="14">
        <f t="shared" ref="U195:U203" si="35">IF(MAX(E195,F195,L195,O195,Q195)&gt;0,1,0)</f>
        <v>0</v>
      </c>
      <c r="V195" s="14">
        <f t="shared" ref="V195:V203" si="36">IF(P195&gt;0,1,0)</f>
        <v>0</v>
      </c>
      <c r="W195" s="14">
        <f t="shared" ref="W195:W258" si="37">IF(AND(B195&lt;&gt;"",S195=0),1,0)</f>
        <v>1</v>
      </c>
      <c r="X195" s="15">
        <f t="shared" ref="X195:X203" si="38">SUMPRODUCT((E195:R195=1)*0.3)+SUMPRODUCT((E195:R195=2)*0.7)+SUMPRODUCT((E195:R195=3)*1.5)</f>
        <v>0</v>
      </c>
      <c r="Y195" s="16"/>
    </row>
    <row r="196" spans="1:25" ht="30" customHeight="1">
      <c r="A196" s="11">
        <v>194</v>
      </c>
      <c r="B196" s="46" t="s">
        <v>439</v>
      </c>
      <c r="C196" s="46" t="s">
        <v>778</v>
      </c>
      <c r="D196" s="12"/>
      <c r="E196" s="13"/>
      <c r="F196" s="13"/>
      <c r="G196" s="13"/>
      <c r="H196" s="13"/>
      <c r="I196" s="13"/>
      <c r="J196" s="13"/>
      <c r="K196" s="13"/>
      <c r="L196" s="13"/>
      <c r="M196" s="13"/>
      <c r="N196" s="13"/>
      <c r="O196" s="13"/>
      <c r="P196" s="13"/>
      <c r="Q196" s="13"/>
      <c r="R196" s="13"/>
      <c r="S196" s="14">
        <f t="shared" si="33"/>
        <v>0</v>
      </c>
      <c r="T196" s="14">
        <f t="shared" si="34"/>
        <v>0</v>
      </c>
      <c r="U196" s="14">
        <f t="shared" si="35"/>
        <v>0</v>
      </c>
      <c r="V196" s="14">
        <f t="shared" si="36"/>
        <v>0</v>
      </c>
      <c r="W196" s="14">
        <f t="shared" si="37"/>
        <v>1</v>
      </c>
      <c r="X196" s="15">
        <f t="shared" si="38"/>
        <v>0</v>
      </c>
      <c r="Y196" s="16" t="s">
        <v>1025</v>
      </c>
    </row>
    <row r="197" spans="1:25" ht="30" customHeight="1">
      <c r="A197" s="11">
        <v>195</v>
      </c>
      <c r="B197" s="46" t="s">
        <v>440</v>
      </c>
      <c r="C197" s="46" t="s">
        <v>779</v>
      </c>
      <c r="D197" s="12"/>
      <c r="E197" s="13"/>
      <c r="F197" s="13"/>
      <c r="G197" s="13"/>
      <c r="H197" s="13"/>
      <c r="I197" s="13"/>
      <c r="J197" s="13"/>
      <c r="K197" s="13"/>
      <c r="L197" s="13"/>
      <c r="M197" s="13"/>
      <c r="N197" s="13"/>
      <c r="O197" s="13"/>
      <c r="P197" s="13"/>
      <c r="Q197" s="13"/>
      <c r="R197" s="13"/>
      <c r="S197" s="14">
        <f t="shared" si="33"/>
        <v>0</v>
      </c>
      <c r="T197" s="14">
        <f t="shared" si="34"/>
        <v>0</v>
      </c>
      <c r="U197" s="14">
        <f t="shared" si="35"/>
        <v>0</v>
      </c>
      <c r="V197" s="14">
        <f t="shared" si="36"/>
        <v>0</v>
      </c>
      <c r="W197" s="14">
        <f t="shared" si="37"/>
        <v>1</v>
      </c>
      <c r="X197" s="15">
        <f t="shared" si="38"/>
        <v>0</v>
      </c>
      <c r="Y197" s="16" t="s">
        <v>1026</v>
      </c>
    </row>
    <row r="198" spans="1:25" ht="52.8">
      <c r="A198" s="11">
        <v>196</v>
      </c>
      <c r="B198" s="46" t="s">
        <v>441</v>
      </c>
      <c r="C198" s="46" t="s">
        <v>780</v>
      </c>
      <c r="D198" s="12"/>
      <c r="E198" s="13"/>
      <c r="F198" s="13"/>
      <c r="G198" s="13"/>
      <c r="H198" s="13"/>
      <c r="I198" s="13"/>
      <c r="J198" s="13"/>
      <c r="K198" s="13"/>
      <c r="L198" s="13"/>
      <c r="M198" s="13"/>
      <c r="N198" s="13"/>
      <c r="O198" s="13"/>
      <c r="P198" s="13"/>
      <c r="Q198" s="13"/>
      <c r="R198" s="13"/>
      <c r="S198" s="14">
        <f t="shared" si="33"/>
        <v>0</v>
      </c>
      <c r="T198" s="14">
        <f t="shared" si="34"/>
        <v>0</v>
      </c>
      <c r="U198" s="14">
        <f t="shared" si="35"/>
        <v>0</v>
      </c>
      <c r="V198" s="14">
        <f t="shared" si="36"/>
        <v>0</v>
      </c>
      <c r="W198" s="14">
        <f t="shared" si="37"/>
        <v>1</v>
      </c>
      <c r="X198" s="15">
        <f t="shared" si="38"/>
        <v>0</v>
      </c>
      <c r="Y198" s="16"/>
    </row>
    <row r="199" spans="1:25" ht="30" customHeight="1">
      <c r="A199" s="11">
        <v>197</v>
      </c>
      <c r="B199" s="46" t="s">
        <v>442</v>
      </c>
      <c r="C199" s="46" t="s">
        <v>781</v>
      </c>
      <c r="D199" s="12"/>
      <c r="E199" s="13"/>
      <c r="F199" s="13"/>
      <c r="G199" s="13"/>
      <c r="H199" s="13"/>
      <c r="I199" s="13"/>
      <c r="J199" s="13"/>
      <c r="K199" s="13"/>
      <c r="L199" s="13"/>
      <c r="M199" s="13"/>
      <c r="N199" s="13"/>
      <c r="O199" s="13"/>
      <c r="P199" s="13"/>
      <c r="Q199" s="13"/>
      <c r="R199" s="13"/>
      <c r="S199" s="14">
        <f t="shared" si="33"/>
        <v>0</v>
      </c>
      <c r="T199" s="14">
        <f t="shared" si="34"/>
        <v>0</v>
      </c>
      <c r="U199" s="14">
        <f t="shared" si="35"/>
        <v>0</v>
      </c>
      <c r="V199" s="14">
        <f t="shared" si="36"/>
        <v>0</v>
      </c>
      <c r="W199" s="14">
        <f t="shared" si="37"/>
        <v>1</v>
      </c>
      <c r="X199" s="15">
        <f t="shared" si="38"/>
        <v>0</v>
      </c>
      <c r="Y199" s="16" t="s">
        <v>1027</v>
      </c>
    </row>
    <row r="200" spans="1:25" ht="30" customHeight="1">
      <c r="A200" s="11">
        <v>198</v>
      </c>
      <c r="B200" s="46" t="s">
        <v>443</v>
      </c>
      <c r="C200" s="46" t="s">
        <v>782</v>
      </c>
      <c r="D200" s="12"/>
      <c r="E200" s="13"/>
      <c r="F200" s="13"/>
      <c r="G200" s="13"/>
      <c r="H200" s="13"/>
      <c r="I200" s="13"/>
      <c r="J200" s="13"/>
      <c r="K200" s="13"/>
      <c r="L200" s="13"/>
      <c r="M200" s="13"/>
      <c r="N200" s="13"/>
      <c r="O200" s="13"/>
      <c r="P200" s="13"/>
      <c r="Q200" s="13"/>
      <c r="R200" s="13"/>
      <c r="S200" s="14">
        <f t="shared" si="33"/>
        <v>0</v>
      </c>
      <c r="T200" s="14">
        <f t="shared" si="34"/>
        <v>0</v>
      </c>
      <c r="U200" s="14">
        <f t="shared" si="35"/>
        <v>0</v>
      </c>
      <c r="V200" s="14">
        <f t="shared" si="36"/>
        <v>0</v>
      </c>
      <c r="W200" s="14">
        <f t="shared" si="37"/>
        <v>1</v>
      </c>
      <c r="X200" s="15">
        <f t="shared" si="38"/>
        <v>0</v>
      </c>
      <c r="Y200" s="16"/>
    </row>
    <row r="201" spans="1:25" ht="30" customHeight="1">
      <c r="A201" s="11">
        <v>199</v>
      </c>
      <c r="B201" s="46" t="s">
        <v>444</v>
      </c>
      <c r="C201" s="46" t="s">
        <v>783</v>
      </c>
      <c r="D201" s="12"/>
      <c r="E201" s="13"/>
      <c r="F201" s="13"/>
      <c r="G201" s="13"/>
      <c r="H201" s="13"/>
      <c r="I201" s="13"/>
      <c r="J201" s="13"/>
      <c r="K201" s="13"/>
      <c r="L201" s="13"/>
      <c r="M201" s="13"/>
      <c r="N201" s="13"/>
      <c r="O201" s="13"/>
      <c r="P201" s="13"/>
      <c r="Q201" s="13"/>
      <c r="R201" s="13"/>
      <c r="S201" s="14">
        <f t="shared" si="33"/>
        <v>0</v>
      </c>
      <c r="T201" s="14">
        <f t="shared" si="34"/>
        <v>0</v>
      </c>
      <c r="U201" s="14">
        <f t="shared" si="35"/>
        <v>0</v>
      </c>
      <c r="V201" s="14">
        <f t="shared" si="36"/>
        <v>0</v>
      </c>
      <c r="W201" s="14">
        <f t="shared" si="37"/>
        <v>1</v>
      </c>
      <c r="X201" s="15">
        <f t="shared" si="38"/>
        <v>0</v>
      </c>
      <c r="Y201" s="16" t="s">
        <v>1028</v>
      </c>
    </row>
    <row r="202" spans="1:25" ht="30" customHeight="1">
      <c r="A202" s="11">
        <v>200</v>
      </c>
      <c r="B202" s="46" t="s">
        <v>445</v>
      </c>
      <c r="C202" s="46" t="s">
        <v>784</v>
      </c>
      <c r="D202" s="12"/>
      <c r="E202" s="13"/>
      <c r="F202" s="13"/>
      <c r="G202" s="13"/>
      <c r="H202" s="13"/>
      <c r="I202" s="13"/>
      <c r="J202" s="13"/>
      <c r="K202" s="13"/>
      <c r="L202" s="13"/>
      <c r="M202" s="13"/>
      <c r="N202" s="13"/>
      <c r="O202" s="13"/>
      <c r="P202" s="13"/>
      <c r="Q202" s="13"/>
      <c r="R202" s="13"/>
      <c r="S202" s="14">
        <f t="shared" si="33"/>
        <v>0</v>
      </c>
      <c r="T202" s="14">
        <f t="shared" si="34"/>
        <v>0</v>
      </c>
      <c r="U202" s="14">
        <f t="shared" si="35"/>
        <v>0</v>
      </c>
      <c r="V202" s="14">
        <f t="shared" si="36"/>
        <v>0</v>
      </c>
      <c r="W202" s="14">
        <f t="shared" si="37"/>
        <v>1</v>
      </c>
      <c r="X202" s="15">
        <f t="shared" si="38"/>
        <v>0</v>
      </c>
      <c r="Y202" s="16" t="s">
        <v>1029</v>
      </c>
    </row>
    <row r="203" spans="1:25" ht="30" customHeight="1">
      <c r="A203" s="11">
        <v>201</v>
      </c>
      <c r="B203" s="46" t="s">
        <v>446</v>
      </c>
      <c r="C203" s="46" t="s">
        <v>785</v>
      </c>
      <c r="D203" s="12"/>
      <c r="E203" s="13"/>
      <c r="F203" s="13"/>
      <c r="G203" s="13"/>
      <c r="H203" s="13"/>
      <c r="I203" s="13"/>
      <c r="J203" s="13"/>
      <c r="K203" s="13"/>
      <c r="L203" s="13"/>
      <c r="M203" s="13"/>
      <c r="N203" s="13"/>
      <c r="O203" s="13"/>
      <c r="P203" s="13"/>
      <c r="Q203" s="13"/>
      <c r="R203" s="13"/>
      <c r="S203" s="14">
        <f t="shared" si="33"/>
        <v>0</v>
      </c>
      <c r="T203" s="14">
        <f t="shared" si="34"/>
        <v>0</v>
      </c>
      <c r="U203" s="14">
        <f t="shared" si="35"/>
        <v>0</v>
      </c>
      <c r="V203" s="14">
        <f t="shared" si="36"/>
        <v>0</v>
      </c>
      <c r="W203" s="14">
        <f t="shared" si="37"/>
        <v>1</v>
      </c>
      <c r="X203" s="15">
        <f t="shared" si="38"/>
        <v>0</v>
      </c>
      <c r="Y203" s="16"/>
    </row>
    <row r="204" spans="1:25" ht="30" customHeight="1">
      <c r="A204" s="11">
        <v>202</v>
      </c>
      <c r="B204" s="46" t="s">
        <v>447</v>
      </c>
      <c r="C204" s="46" t="s">
        <v>786</v>
      </c>
      <c r="D204" s="12"/>
      <c r="E204" s="13"/>
      <c r="F204" s="13"/>
      <c r="G204" s="13"/>
      <c r="H204" s="13"/>
      <c r="I204" s="13"/>
      <c r="J204" s="13"/>
      <c r="K204" s="13"/>
      <c r="L204" s="13"/>
      <c r="M204" s="13"/>
      <c r="N204" s="13"/>
      <c r="O204" s="13"/>
      <c r="P204" s="13"/>
      <c r="Q204" s="13"/>
      <c r="R204" s="13"/>
      <c r="S204" s="14">
        <f t="shared" ref="S204" si="39">IF(SUM(E204:R204)&gt;0,1,0)</f>
        <v>0</v>
      </c>
      <c r="T204" s="14">
        <f t="shared" ref="T204" si="40">IF(MAX(G204,H204,I204,J204,K204,M204,N204)&gt;0,1,0)</f>
        <v>0</v>
      </c>
      <c r="U204" s="14">
        <f t="shared" ref="U204" si="41">IF(MAX(E204,F204,L204,O204,Q204)&gt;0,1,0)</f>
        <v>0</v>
      </c>
      <c r="V204" s="14">
        <f t="shared" ref="V204" si="42">IF(P204&gt;0,1,0)</f>
        <v>0</v>
      </c>
      <c r="W204" s="14">
        <f t="shared" si="37"/>
        <v>1</v>
      </c>
      <c r="X204" s="15">
        <f t="shared" ref="X204" si="43">SUMPRODUCT((E204:R204=1)*0.3)+SUMPRODUCT((E204:R204=2)*0.7)+SUMPRODUCT((E204:R204=3)*1.5)</f>
        <v>0</v>
      </c>
      <c r="Y204" s="16" t="s">
        <v>1030</v>
      </c>
    </row>
    <row r="205" spans="1:25" ht="30" customHeight="1">
      <c r="A205" s="11">
        <v>203</v>
      </c>
      <c r="B205" s="46" t="s">
        <v>448</v>
      </c>
      <c r="C205" s="46" t="s">
        <v>787</v>
      </c>
      <c r="D205" s="12"/>
      <c r="E205" s="13"/>
      <c r="F205" s="13"/>
      <c r="G205" s="13"/>
      <c r="H205" s="13"/>
      <c r="I205" s="13"/>
      <c r="J205" s="13"/>
      <c r="K205" s="13"/>
      <c r="L205" s="13"/>
      <c r="M205" s="13"/>
      <c r="N205" s="13"/>
      <c r="O205" s="13"/>
      <c r="P205" s="13"/>
      <c r="Q205" s="13"/>
      <c r="R205" s="13"/>
      <c r="S205" s="14">
        <f t="shared" ref="S205:S225" si="44">IF(SUM(E205:R205)&gt;0,1,0)</f>
        <v>0</v>
      </c>
      <c r="T205" s="14">
        <f t="shared" ref="T205:T225" si="45">IF(MAX(G205,H205,I205,J205,K205,M205,N205)&gt;0,1,0)</f>
        <v>0</v>
      </c>
      <c r="U205" s="14">
        <f t="shared" ref="U205:U225" si="46">IF(MAX(E205,F205,L205,O205,Q205)&gt;0,1,0)</f>
        <v>0</v>
      </c>
      <c r="V205" s="14">
        <f t="shared" ref="V205:V225" si="47">IF(P205&gt;0,1,0)</f>
        <v>0</v>
      </c>
      <c r="W205" s="14">
        <f t="shared" si="37"/>
        <v>1</v>
      </c>
      <c r="X205" s="15">
        <f t="shared" ref="X205:X225" si="48">SUMPRODUCT((E205:R205=1)*0.3)+SUMPRODUCT((E205:R205=2)*0.7)+SUMPRODUCT((E205:R205=3)*1.5)</f>
        <v>0</v>
      </c>
      <c r="Y205" s="16" t="s">
        <v>1031</v>
      </c>
    </row>
    <row r="206" spans="1:25" ht="66">
      <c r="A206" s="11">
        <v>204</v>
      </c>
      <c r="B206" s="46" t="s">
        <v>449</v>
      </c>
      <c r="C206" s="46" t="s">
        <v>788</v>
      </c>
      <c r="D206" s="12"/>
      <c r="E206" s="13"/>
      <c r="F206" s="13"/>
      <c r="G206" s="13"/>
      <c r="H206" s="13"/>
      <c r="I206" s="13"/>
      <c r="J206" s="13"/>
      <c r="K206" s="13"/>
      <c r="L206" s="13"/>
      <c r="M206" s="13"/>
      <c r="N206" s="13"/>
      <c r="O206" s="13"/>
      <c r="P206" s="13"/>
      <c r="Q206" s="13"/>
      <c r="R206" s="13"/>
      <c r="S206" s="14">
        <f t="shared" si="44"/>
        <v>0</v>
      </c>
      <c r="T206" s="14">
        <f t="shared" si="45"/>
        <v>0</v>
      </c>
      <c r="U206" s="14">
        <f t="shared" si="46"/>
        <v>0</v>
      </c>
      <c r="V206" s="14">
        <f t="shared" si="47"/>
        <v>0</v>
      </c>
      <c r="W206" s="14">
        <f t="shared" si="37"/>
        <v>1</v>
      </c>
      <c r="X206" s="15">
        <f t="shared" si="48"/>
        <v>0</v>
      </c>
      <c r="Y206" s="16"/>
    </row>
    <row r="207" spans="1:25" ht="30" customHeight="1">
      <c r="A207" s="11">
        <v>205</v>
      </c>
      <c r="B207" s="46" t="s">
        <v>450</v>
      </c>
      <c r="C207" s="46" t="s">
        <v>789</v>
      </c>
      <c r="D207" s="12"/>
      <c r="E207" s="13"/>
      <c r="F207" s="13"/>
      <c r="G207" s="13"/>
      <c r="H207" s="13"/>
      <c r="I207" s="13"/>
      <c r="J207" s="13"/>
      <c r="K207" s="13"/>
      <c r="L207" s="13"/>
      <c r="M207" s="13"/>
      <c r="N207" s="13"/>
      <c r="O207" s="13"/>
      <c r="P207" s="13"/>
      <c r="Q207" s="13"/>
      <c r="R207" s="13"/>
      <c r="S207" s="14">
        <f t="shared" si="44"/>
        <v>0</v>
      </c>
      <c r="T207" s="14">
        <f t="shared" si="45"/>
        <v>0</v>
      </c>
      <c r="U207" s="14">
        <f t="shared" si="46"/>
        <v>0</v>
      </c>
      <c r="V207" s="14">
        <f t="shared" si="47"/>
        <v>0</v>
      </c>
      <c r="W207" s="14">
        <f t="shared" si="37"/>
        <v>1</v>
      </c>
      <c r="X207" s="15">
        <f t="shared" si="48"/>
        <v>0</v>
      </c>
      <c r="Y207" s="16" t="s">
        <v>1032</v>
      </c>
    </row>
    <row r="208" spans="1:25" ht="30" customHeight="1">
      <c r="A208" s="11">
        <v>206</v>
      </c>
      <c r="B208" s="46" t="s">
        <v>451</v>
      </c>
      <c r="C208" s="46" t="s">
        <v>790</v>
      </c>
      <c r="D208" s="12"/>
      <c r="E208" s="13"/>
      <c r="F208" s="13"/>
      <c r="G208" s="13"/>
      <c r="H208" s="13"/>
      <c r="I208" s="13"/>
      <c r="J208" s="13"/>
      <c r="K208" s="13"/>
      <c r="L208" s="13"/>
      <c r="M208" s="13"/>
      <c r="N208" s="13"/>
      <c r="O208" s="13"/>
      <c r="P208" s="13"/>
      <c r="Q208" s="13"/>
      <c r="R208" s="13"/>
      <c r="S208" s="14">
        <f t="shared" si="44"/>
        <v>0</v>
      </c>
      <c r="T208" s="14">
        <f t="shared" si="45"/>
        <v>0</v>
      </c>
      <c r="U208" s="14">
        <f t="shared" si="46"/>
        <v>0</v>
      </c>
      <c r="V208" s="14">
        <f t="shared" si="47"/>
        <v>0</v>
      </c>
      <c r="W208" s="14">
        <f t="shared" si="37"/>
        <v>1</v>
      </c>
      <c r="X208" s="15">
        <f t="shared" si="48"/>
        <v>0</v>
      </c>
      <c r="Y208" s="16"/>
    </row>
    <row r="209" spans="1:25" ht="30" customHeight="1">
      <c r="A209" s="11">
        <v>207</v>
      </c>
      <c r="B209" s="46" t="s">
        <v>452</v>
      </c>
      <c r="C209" s="45"/>
      <c r="D209" s="12"/>
      <c r="E209" s="13"/>
      <c r="F209" s="13"/>
      <c r="G209" s="13"/>
      <c r="H209" s="13"/>
      <c r="I209" s="13"/>
      <c r="J209" s="13"/>
      <c r="K209" s="13"/>
      <c r="L209" s="13"/>
      <c r="M209" s="13"/>
      <c r="N209" s="13"/>
      <c r="O209" s="13"/>
      <c r="P209" s="13"/>
      <c r="Q209" s="13"/>
      <c r="R209" s="13"/>
      <c r="S209" s="14">
        <f t="shared" si="44"/>
        <v>0</v>
      </c>
      <c r="T209" s="14">
        <f t="shared" si="45"/>
        <v>0</v>
      </c>
      <c r="U209" s="14">
        <f t="shared" si="46"/>
        <v>0</v>
      </c>
      <c r="V209" s="14">
        <f t="shared" si="47"/>
        <v>0</v>
      </c>
      <c r="W209" s="14">
        <f t="shared" si="37"/>
        <v>1</v>
      </c>
      <c r="X209" s="15">
        <f t="shared" si="48"/>
        <v>0</v>
      </c>
      <c r="Y209" s="16"/>
    </row>
    <row r="210" spans="1:25" ht="43.2">
      <c r="A210" s="11">
        <v>208</v>
      </c>
      <c r="B210" s="46" t="s">
        <v>453</v>
      </c>
      <c r="C210" s="46" t="s">
        <v>791</v>
      </c>
      <c r="D210" s="12"/>
      <c r="E210" s="13"/>
      <c r="F210" s="13"/>
      <c r="G210" s="13"/>
      <c r="H210" s="13"/>
      <c r="I210" s="13"/>
      <c r="J210" s="13"/>
      <c r="K210" s="13"/>
      <c r="L210" s="13"/>
      <c r="M210" s="13"/>
      <c r="N210" s="13"/>
      <c r="O210" s="13"/>
      <c r="P210" s="13"/>
      <c r="Q210" s="13"/>
      <c r="R210" s="13"/>
      <c r="S210" s="14">
        <f t="shared" si="44"/>
        <v>0</v>
      </c>
      <c r="T210" s="14">
        <f t="shared" si="45"/>
        <v>0</v>
      </c>
      <c r="U210" s="14">
        <f t="shared" si="46"/>
        <v>0</v>
      </c>
      <c r="V210" s="14">
        <f t="shared" si="47"/>
        <v>0</v>
      </c>
      <c r="W210" s="14">
        <f t="shared" si="37"/>
        <v>1</v>
      </c>
      <c r="X210" s="15">
        <f t="shared" si="48"/>
        <v>0</v>
      </c>
      <c r="Y210" s="16" t="s">
        <v>1033</v>
      </c>
    </row>
    <row r="211" spans="1:25" ht="48.45" customHeight="1">
      <c r="A211" s="11">
        <v>209</v>
      </c>
      <c r="B211" s="46" t="s">
        <v>454</v>
      </c>
      <c r="C211" s="46" t="s">
        <v>792</v>
      </c>
      <c r="D211" s="12"/>
      <c r="E211" s="13"/>
      <c r="F211" s="13"/>
      <c r="G211" s="13"/>
      <c r="H211" s="13"/>
      <c r="I211" s="13"/>
      <c r="J211" s="13"/>
      <c r="K211" s="13"/>
      <c r="L211" s="13"/>
      <c r="M211" s="13"/>
      <c r="N211" s="13"/>
      <c r="O211" s="13"/>
      <c r="P211" s="13"/>
      <c r="Q211" s="13"/>
      <c r="R211" s="13"/>
      <c r="S211" s="14">
        <f t="shared" si="44"/>
        <v>0</v>
      </c>
      <c r="T211" s="14">
        <f t="shared" si="45"/>
        <v>0</v>
      </c>
      <c r="U211" s="14">
        <f t="shared" si="46"/>
        <v>0</v>
      </c>
      <c r="V211" s="14">
        <f t="shared" si="47"/>
        <v>0</v>
      </c>
      <c r="W211" s="14">
        <f t="shared" si="37"/>
        <v>1</v>
      </c>
      <c r="X211" s="15">
        <f t="shared" si="48"/>
        <v>0</v>
      </c>
      <c r="Y211" s="16" t="s">
        <v>1034</v>
      </c>
    </row>
    <row r="212" spans="1:25" ht="52.8">
      <c r="A212" s="11">
        <v>210</v>
      </c>
      <c r="B212" s="46" t="s">
        <v>455</v>
      </c>
      <c r="C212" s="46" t="s">
        <v>793</v>
      </c>
      <c r="D212" s="12"/>
      <c r="E212" s="13"/>
      <c r="F212" s="13"/>
      <c r="G212" s="13"/>
      <c r="H212" s="13"/>
      <c r="I212" s="13"/>
      <c r="J212" s="13"/>
      <c r="K212" s="13"/>
      <c r="L212" s="13"/>
      <c r="M212" s="13"/>
      <c r="N212" s="13"/>
      <c r="O212" s="13"/>
      <c r="P212" s="13"/>
      <c r="Q212" s="13"/>
      <c r="R212" s="13"/>
      <c r="S212" s="14">
        <f t="shared" si="44"/>
        <v>0</v>
      </c>
      <c r="T212" s="14">
        <f t="shared" si="45"/>
        <v>0</v>
      </c>
      <c r="U212" s="14">
        <f t="shared" si="46"/>
        <v>0</v>
      </c>
      <c r="V212" s="14">
        <f t="shared" si="47"/>
        <v>0</v>
      </c>
      <c r="W212" s="14">
        <f t="shared" si="37"/>
        <v>1</v>
      </c>
      <c r="X212" s="15">
        <f t="shared" si="48"/>
        <v>0</v>
      </c>
      <c r="Y212" s="16" t="s">
        <v>1035</v>
      </c>
    </row>
    <row r="213" spans="1:25" ht="30" customHeight="1">
      <c r="A213" s="11">
        <v>211</v>
      </c>
      <c r="B213" s="46" t="s">
        <v>456</v>
      </c>
      <c r="C213" s="46" t="s">
        <v>794</v>
      </c>
      <c r="D213" s="12"/>
      <c r="E213" s="13"/>
      <c r="F213" s="13"/>
      <c r="G213" s="13"/>
      <c r="H213" s="13"/>
      <c r="I213" s="13"/>
      <c r="J213" s="13"/>
      <c r="K213" s="13"/>
      <c r="L213" s="13"/>
      <c r="M213" s="13"/>
      <c r="N213" s="13"/>
      <c r="O213" s="13"/>
      <c r="P213" s="13"/>
      <c r="Q213" s="13"/>
      <c r="R213" s="13"/>
      <c r="S213" s="14">
        <f t="shared" si="44"/>
        <v>0</v>
      </c>
      <c r="T213" s="14">
        <f t="shared" si="45"/>
        <v>0</v>
      </c>
      <c r="U213" s="14">
        <f t="shared" si="46"/>
        <v>0</v>
      </c>
      <c r="V213" s="14">
        <f t="shared" si="47"/>
        <v>0</v>
      </c>
      <c r="W213" s="14">
        <f t="shared" si="37"/>
        <v>1</v>
      </c>
      <c r="X213" s="15">
        <f t="shared" si="48"/>
        <v>0</v>
      </c>
      <c r="Y213" s="16" t="s">
        <v>1036</v>
      </c>
    </row>
    <row r="214" spans="1:25" ht="30" customHeight="1">
      <c r="A214" s="11">
        <v>212</v>
      </c>
      <c r="B214" s="46" t="s">
        <v>457</v>
      </c>
      <c r="C214" s="46" t="s">
        <v>795</v>
      </c>
      <c r="D214" s="12"/>
      <c r="E214" s="13"/>
      <c r="F214" s="13"/>
      <c r="G214" s="13"/>
      <c r="H214" s="13"/>
      <c r="I214" s="13"/>
      <c r="J214" s="13"/>
      <c r="K214" s="13"/>
      <c r="L214" s="13"/>
      <c r="M214" s="13"/>
      <c r="N214" s="13"/>
      <c r="O214" s="13"/>
      <c r="P214" s="13"/>
      <c r="Q214" s="13"/>
      <c r="R214" s="13"/>
      <c r="S214" s="14">
        <f t="shared" si="44"/>
        <v>0</v>
      </c>
      <c r="T214" s="14">
        <f t="shared" si="45"/>
        <v>0</v>
      </c>
      <c r="U214" s="14">
        <f t="shared" si="46"/>
        <v>0</v>
      </c>
      <c r="V214" s="14">
        <f t="shared" si="47"/>
        <v>0</v>
      </c>
      <c r="W214" s="14">
        <f t="shared" si="37"/>
        <v>1</v>
      </c>
      <c r="X214" s="15">
        <f t="shared" si="48"/>
        <v>0</v>
      </c>
      <c r="Y214" s="16" t="s">
        <v>1037</v>
      </c>
    </row>
    <row r="215" spans="1:25" ht="37.950000000000003" customHeight="1">
      <c r="A215" s="11">
        <v>213</v>
      </c>
      <c r="B215" s="46" t="s">
        <v>458</v>
      </c>
      <c r="C215" s="46" t="s">
        <v>796</v>
      </c>
      <c r="D215" s="12"/>
      <c r="E215" s="13"/>
      <c r="F215" s="13"/>
      <c r="G215" s="13"/>
      <c r="H215" s="13"/>
      <c r="I215" s="13"/>
      <c r="J215" s="13"/>
      <c r="K215" s="13"/>
      <c r="L215" s="13"/>
      <c r="M215" s="13"/>
      <c r="N215" s="13"/>
      <c r="O215" s="13"/>
      <c r="P215" s="13"/>
      <c r="Q215" s="13"/>
      <c r="R215" s="13"/>
      <c r="S215" s="14">
        <f t="shared" si="44"/>
        <v>0</v>
      </c>
      <c r="T215" s="14">
        <f t="shared" si="45"/>
        <v>0</v>
      </c>
      <c r="U215" s="14">
        <f t="shared" si="46"/>
        <v>0</v>
      </c>
      <c r="V215" s="14">
        <f t="shared" si="47"/>
        <v>0</v>
      </c>
      <c r="W215" s="14">
        <f t="shared" si="37"/>
        <v>1</v>
      </c>
      <c r="X215" s="15">
        <f t="shared" si="48"/>
        <v>0</v>
      </c>
      <c r="Y215" s="16" t="s">
        <v>1038</v>
      </c>
    </row>
    <row r="216" spans="1:25" ht="41.55" customHeight="1">
      <c r="A216" s="11">
        <v>214</v>
      </c>
      <c r="B216" s="46" t="s">
        <v>459</v>
      </c>
      <c r="C216" s="46" t="s">
        <v>797</v>
      </c>
      <c r="D216" s="12"/>
      <c r="E216" s="13"/>
      <c r="F216" s="13"/>
      <c r="G216" s="13"/>
      <c r="H216" s="13"/>
      <c r="I216" s="13"/>
      <c r="J216" s="13"/>
      <c r="K216" s="13"/>
      <c r="L216" s="13"/>
      <c r="M216" s="13"/>
      <c r="N216" s="13"/>
      <c r="O216" s="13"/>
      <c r="P216" s="13"/>
      <c r="Q216" s="13"/>
      <c r="R216" s="13"/>
      <c r="S216" s="14">
        <f t="shared" si="44"/>
        <v>0</v>
      </c>
      <c r="T216" s="14">
        <f t="shared" si="45"/>
        <v>0</v>
      </c>
      <c r="U216" s="14">
        <f t="shared" si="46"/>
        <v>0</v>
      </c>
      <c r="V216" s="14">
        <f t="shared" si="47"/>
        <v>0</v>
      </c>
      <c r="W216" s="14">
        <f t="shared" si="37"/>
        <v>1</v>
      </c>
      <c r="X216" s="15">
        <f t="shared" si="48"/>
        <v>0</v>
      </c>
      <c r="Y216" s="16" t="s">
        <v>1039</v>
      </c>
    </row>
    <row r="217" spans="1:25" ht="30" customHeight="1">
      <c r="A217" s="11">
        <v>215</v>
      </c>
      <c r="B217" s="46" t="s">
        <v>460</v>
      </c>
      <c r="C217" s="46" t="s">
        <v>798</v>
      </c>
      <c r="D217" s="12"/>
      <c r="E217" s="13"/>
      <c r="F217" s="13"/>
      <c r="G217" s="13"/>
      <c r="H217" s="13"/>
      <c r="I217" s="13"/>
      <c r="J217" s="13"/>
      <c r="K217" s="13"/>
      <c r="L217" s="13"/>
      <c r="M217" s="13"/>
      <c r="N217" s="13"/>
      <c r="O217" s="13"/>
      <c r="P217" s="13"/>
      <c r="Q217" s="13"/>
      <c r="R217" s="13"/>
      <c r="S217" s="14">
        <f t="shared" si="44"/>
        <v>0</v>
      </c>
      <c r="T217" s="14">
        <f t="shared" si="45"/>
        <v>0</v>
      </c>
      <c r="U217" s="14">
        <f t="shared" si="46"/>
        <v>0</v>
      </c>
      <c r="V217" s="14">
        <f t="shared" si="47"/>
        <v>0</v>
      </c>
      <c r="W217" s="14">
        <f t="shared" si="37"/>
        <v>1</v>
      </c>
      <c r="X217" s="15">
        <f t="shared" si="48"/>
        <v>0</v>
      </c>
      <c r="Y217" s="16"/>
    </row>
    <row r="218" spans="1:25" ht="52.95" customHeight="1">
      <c r="A218" s="11">
        <v>216</v>
      </c>
      <c r="B218" s="46" t="s">
        <v>461</v>
      </c>
      <c r="C218" s="46" t="s">
        <v>799</v>
      </c>
      <c r="D218" s="12"/>
      <c r="E218" s="13"/>
      <c r="F218" s="13"/>
      <c r="G218" s="13"/>
      <c r="H218" s="13"/>
      <c r="I218" s="13"/>
      <c r="J218" s="13"/>
      <c r="K218" s="13"/>
      <c r="L218" s="13"/>
      <c r="M218" s="13"/>
      <c r="N218" s="13"/>
      <c r="O218" s="13"/>
      <c r="P218" s="13"/>
      <c r="Q218" s="13"/>
      <c r="R218" s="13"/>
      <c r="S218" s="14">
        <f t="shared" si="44"/>
        <v>0</v>
      </c>
      <c r="T218" s="14">
        <f t="shared" si="45"/>
        <v>0</v>
      </c>
      <c r="U218" s="14">
        <f t="shared" si="46"/>
        <v>0</v>
      </c>
      <c r="V218" s="14">
        <f t="shared" si="47"/>
        <v>0</v>
      </c>
      <c r="W218" s="14">
        <f t="shared" si="37"/>
        <v>1</v>
      </c>
      <c r="X218" s="15">
        <f t="shared" si="48"/>
        <v>0</v>
      </c>
      <c r="Y218" s="16" t="s">
        <v>1040</v>
      </c>
    </row>
    <row r="219" spans="1:25" ht="30" customHeight="1">
      <c r="A219" s="11">
        <v>217</v>
      </c>
      <c r="B219" s="46" t="s">
        <v>462</v>
      </c>
      <c r="C219" s="46" t="s">
        <v>800</v>
      </c>
      <c r="D219" s="12"/>
      <c r="E219" s="13"/>
      <c r="F219" s="13"/>
      <c r="G219" s="13"/>
      <c r="H219" s="13"/>
      <c r="I219" s="13"/>
      <c r="J219" s="13"/>
      <c r="K219" s="13"/>
      <c r="L219" s="13"/>
      <c r="M219" s="13"/>
      <c r="N219" s="13"/>
      <c r="O219" s="13"/>
      <c r="P219" s="13"/>
      <c r="Q219" s="13"/>
      <c r="R219" s="13"/>
      <c r="S219" s="14">
        <f t="shared" si="44"/>
        <v>0</v>
      </c>
      <c r="T219" s="14">
        <f t="shared" si="45"/>
        <v>0</v>
      </c>
      <c r="U219" s="14">
        <f t="shared" si="46"/>
        <v>0</v>
      </c>
      <c r="V219" s="14">
        <f t="shared" si="47"/>
        <v>0</v>
      </c>
      <c r="W219" s="14">
        <f t="shared" si="37"/>
        <v>1</v>
      </c>
      <c r="X219" s="15">
        <f t="shared" si="48"/>
        <v>0</v>
      </c>
      <c r="Y219" s="16"/>
    </row>
    <row r="220" spans="1:25" ht="30" customHeight="1">
      <c r="A220" s="11">
        <v>218</v>
      </c>
      <c r="B220" s="46" t="s">
        <v>463</v>
      </c>
      <c r="C220" s="46" t="s">
        <v>801</v>
      </c>
      <c r="D220" s="12"/>
      <c r="E220" s="13"/>
      <c r="F220" s="13"/>
      <c r="G220" s="13"/>
      <c r="H220" s="13"/>
      <c r="I220" s="13"/>
      <c r="J220" s="13"/>
      <c r="K220" s="13"/>
      <c r="L220" s="13"/>
      <c r="M220" s="13"/>
      <c r="N220" s="13"/>
      <c r="O220" s="13"/>
      <c r="P220" s="13"/>
      <c r="Q220" s="13"/>
      <c r="R220" s="13"/>
      <c r="S220" s="14">
        <f t="shared" si="44"/>
        <v>0</v>
      </c>
      <c r="T220" s="14">
        <f t="shared" si="45"/>
        <v>0</v>
      </c>
      <c r="U220" s="14">
        <f t="shared" si="46"/>
        <v>0</v>
      </c>
      <c r="V220" s="14">
        <f t="shared" si="47"/>
        <v>0</v>
      </c>
      <c r="W220" s="14">
        <f t="shared" si="37"/>
        <v>1</v>
      </c>
      <c r="X220" s="15">
        <f t="shared" si="48"/>
        <v>0</v>
      </c>
      <c r="Y220" s="16" t="s">
        <v>1041</v>
      </c>
    </row>
    <row r="221" spans="1:25" ht="46.05" customHeight="1">
      <c r="A221" s="11">
        <v>219</v>
      </c>
      <c r="B221" s="46" t="s">
        <v>464</v>
      </c>
      <c r="C221" s="46" t="s">
        <v>802</v>
      </c>
      <c r="D221" s="12"/>
      <c r="E221" s="13"/>
      <c r="F221" s="13"/>
      <c r="G221" s="13"/>
      <c r="H221" s="13"/>
      <c r="I221" s="13"/>
      <c r="J221" s="13"/>
      <c r="K221" s="13"/>
      <c r="L221" s="13"/>
      <c r="M221" s="13"/>
      <c r="N221" s="13"/>
      <c r="O221" s="13"/>
      <c r="P221" s="13"/>
      <c r="Q221" s="13"/>
      <c r="R221" s="13"/>
      <c r="S221" s="14">
        <f t="shared" si="44"/>
        <v>0</v>
      </c>
      <c r="T221" s="14">
        <f t="shared" si="45"/>
        <v>0</v>
      </c>
      <c r="U221" s="14">
        <f t="shared" si="46"/>
        <v>0</v>
      </c>
      <c r="V221" s="14">
        <f t="shared" si="47"/>
        <v>0</v>
      </c>
      <c r="W221" s="14">
        <f t="shared" si="37"/>
        <v>1</v>
      </c>
      <c r="X221" s="15">
        <f t="shared" si="48"/>
        <v>0</v>
      </c>
      <c r="Y221" s="16"/>
    </row>
    <row r="222" spans="1:25" ht="30" customHeight="1">
      <c r="A222" s="11">
        <v>220</v>
      </c>
      <c r="B222" s="46" t="s">
        <v>465</v>
      </c>
      <c r="C222" s="46" t="s">
        <v>803</v>
      </c>
      <c r="D222" s="12"/>
      <c r="E222" s="13"/>
      <c r="F222" s="13"/>
      <c r="G222" s="13"/>
      <c r="H222" s="13"/>
      <c r="I222" s="13"/>
      <c r="J222" s="13"/>
      <c r="K222" s="13"/>
      <c r="L222" s="13"/>
      <c r="M222" s="13"/>
      <c r="N222" s="13"/>
      <c r="O222" s="13"/>
      <c r="P222" s="13"/>
      <c r="Q222" s="13"/>
      <c r="R222" s="13"/>
      <c r="S222" s="14">
        <f t="shared" si="44"/>
        <v>0</v>
      </c>
      <c r="T222" s="14">
        <f t="shared" si="45"/>
        <v>0</v>
      </c>
      <c r="U222" s="14">
        <f t="shared" si="46"/>
        <v>0</v>
      </c>
      <c r="V222" s="14">
        <f t="shared" si="47"/>
        <v>0</v>
      </c>
      <c r="W222" s="14">
        <f t="shared" si="37"/>
        <v>1</v>
      </c>
      <c r="X222" s="15">
        <f t="shared" si="48"/>
        <v>0</v>
      </c>
      <c r="Y222" s="16"/>
    </row>
    <row r="223" spans="1:25" ht="52.8">
      <c r="A223" s="11">
        <v>221</v>
      </c>
      <c r="B223" s="46" t="s">
        <v>466</v>
      </c>
      <c r="C223" s="46" t="s">
        <v>804</v>
      </c>
      <c r="D223" s="12"/>
      <c r="E223" s="13"/>
      <c r="F223" s="13"/>
      <c r="G223" s="13"/>
      <c r="H223" s="13"/>
      <c r="I223" s="13"/>
      <c r="J223" s="13"/>
      <c r="K223" s="13"/>
      <c r="L223" s="13"/>
      <c r="M223" s="13"/>
      <c r="N223" s="13"/>
      <c r="O223" s="13"/>
      <c r="P223" s="13"/>
      <c r="Q223" s="13"/>
      <c r="R223" s="13"/>
      <c r="S223" s="14">
        <f t="shared" si="44"/>
        <v>0</v>
      </c>
      <c r="T223" s="14">
        <f t="shared" si="45"/>
        <v>0</v>
      </c>
      <c r="U223" s="14">
        <f t="shared" si="46"/>
        <v>0</v>
      </c>
      <c r="V223" s="14">
        <f t="shared" si="47"/>
        <v>0</v>
      </c>
      <c r="W223" s="14">
        <f t="shared" si="37"/>
        <v>1</v>
      </c>
      <c r="X223" s="15">
        <f t="shared" si="48"/>
        <v>0</v>
      </c>
      <c r="Y223" s="16"/>
    </row>
    <row r="224" spans="1:25" ht="30" customHeight="1">
      <c r="A224" s="11">
        <v>222</v>
      </c>
      <c r="B224" s="46" t="s">
        <v>467</v>
      </c>
      <c r="C224" s="46" t="s">
        <v>805</v>
      </c>
      <c r="D224" s="12"/>
      <c r="E224" s="13"/>
      <c r="F224" s="13"/>
      <c r="G224" s="13"/>
      <c r="H224" s="13"/>
      <c r="I224" s="13"/>
      <c r="J224" s="13"/>
      <c r="K224" s="13"/>
      <c r="L224" s="13"/>
      <c r="M224" s="13"/>
      <c r="N224" s="13"/>
      <c r="O224" s="13"/>
      <c r="P224" s="13"/>
      <c r="Q224" s="13"/>
      <c r="R224" s="13"/>
      <c r="S224" s="14">
        <f t="shared" si="44"/>
        <v>0</v>
      </c>
      <c r="T224" s="14">
        <f t="shared" si="45"/>
        <v>0</v>
      </c>
      <c r="U224" s="14">
        <f t="shared" si="46"/>
        <v>0</v>
      </c>
      <c r="V224" s="14">
        <f t="shared" si="47"/>
        <v>0</v>
      </c>
      <c r="W224" s="14">
        <f t="shared" si="37"/>
        <v>1</v>
      </c>
      <c r="X224" s="15">
        <f t="shared" si="48"/>
        <v>0</v>
      </c>
      <c r="Y224" s="16"/>
    </row>
    <row r="225" spans="1:25" ht="30" customHeight="1">
      <c r="A225" s="11">
        <v>223</v>
      </c>
      <c r="B225" s="46" t="s">
        <v>468</v>
      </c>
      <c r="C225" s="46" t="s">
        <v>806</v>
      </c>
      <c r="D225" s="12"/>
      <c r="E225" s="13"/>
      <c r="F225" s="13"/>
      <c r="G225" s="13"/>
      <c r="H225" s="13"/>
      <c r="I225" s="13"/>
      <c r="J225" s="13"/>
      <c r="K225" s="13"/>
      <c r="L225" s="13"/>
      <c r="M225" s="13"/>
      <c r="N225" s="13"/>
      <c r="O225" s="13"/>
      <c r="P225" s="13"/>
      <c r="Q225" s="13"/>
      <c r="R225" s="13"/>
      <c r="S225" s="14">
        <f t="shared" si="44"/>
        <v>0</v>
      </c>
      <c r="T225" s="14">
        <f t="shared" si="45"/>
        <v>0</v>
      </c>
      <c r="U225" s="14">
        <f t="shared" si="46"/>
        <v>0</v>
      </c>
      <c r="V225" s="14">
        <f t="shared" si="47"/>
        <v>0</v>
      </c>
      <c r="W225" s="14">
        <f t="shared" si="37"/>
        <v>1</v>
      </c>
      <c r="X225" s="15">
        <f t="shared" si="48"/>
        <v>0</v>
      </c>
      <c r="Y225" s="16" t="s">
        <v>1042</v>
      </c>
    </row>
    <row r="226" spans="1:25" ht="43.05" customHeight="1">
      <c r="A226" s="11">
        <v>224</v>
      </c>
      <c r="B226" s="46" t="s">
        <v>469</v>
      </c>
      <c r="C226" s="46" t="s">
        <v>807</v>
      </c>
      <c r="D226" s="12"/>
      <c r="E226" s="13"/>
      <c r="F226" s="13"/>
      <c r="G226" s="13"/>
      <c r="H226" s="13"/>
      <c r="I226" s="13"/>
      <c r="J226" s="13"/>
      <c r="K226" s="13"/>
      <c r="L226" s="13"/>
      <c r="M226" s="13"/>
      <c r="N226" s="13"/>
      <c r="O226" s="13"/>
      <c r="P226" s="13"/>
      <c r="Q226" s="13"/>
      <c r="R226" s="13"/>
      <c r="S226" s="14">
        <f t="shared" ref="S226:S289" si="49">IF(SUM(E226:R226)&gt;0,1,0)</f>
        <v>0</v>
      </c>
      <c r="T226" s="14">
        <f t="shared" ref="T226:T289" si="50">IF(MAX(G226,H226,I226,J226,K226,M226,N226)&gt;0,1,0)</f>
        <v>0</v>
      </c>
      <c r="U226" s="14">
        <f t="shared" ref="U226:U289" si="51">IF(MAX(E226,F226,L226,O226,Q226)&gt;0,1,0)</f>
        <v>0</v>
      </c>
      <c r="V226" s="14">
        <f t="shared" ref="V226:V289" si="52">IF(P226&gt;0,1,0)</f>
        <v>0</v>
      </c>
      <c r="W226" s="14">
        <f t="shared" si="37"/>
        <v>1</v>
      </c>
      <c r="X226" s="15">
        <f t="shared" ref="X226:X289" si="53">SUMPRODUCT((E226:R226=1)*0.3)+SUMPRODUCT((E226:R226=2)*0.7)+SUMPRODUCT((E226:R226=3)*1.5)</f>
        <v>0</v>
      </c>
      <c r="Y226" s="16" t="s">
        <v>1043</v>
      </c>
    </row>
    <row r="227" spans="1:25" ht="39" customHeight="1">
      <c r="A227" s="11">
        <v>225</v>
      </c>
      <c r="B227" s="46" t="s">
        <v>470</v>
      </c>
      <c r="C227" s="46" t="s">
        <v>808</v>
      </c>
      <c r="D227" s="12"/>
      <c r="E227" s="13"/>
      <c r="F227" s="13"/>
      <c r="G227" s="13"/>
      <c r="H227" s="13"/>
      <c r="I227" s="13"/>
      <c r="J227" s="13"/>
      <c r="K227" s="13"/>
      <c r="L227" s="13"/>
      <c r="M227" s="13"/>
      <c r="N227" s="13"/>
      <c r="O227" s="13"/>
      <c r="P227" s="13"/>
      <c r="Q227" s="13"/>
      <c r="R227" s="13"/>
      <c r="S227" s="14">
        <f t="shared" si="49"/>
        <v>0</v>
      </c>
      <c r="T227" s="14">
        <f t="shared" si="50"/>
        <v>0</v>
      </c>
      <c r="U227" s="14">
        <f t="shared" si="51"/>
        <v>0</v>
      </c>
      <c r="V227" s="14">
        <f t="shared" si="52"/>
        <v>0</v>
      </c>
      <c r="W227" s="14">
        <f t="shared" si="37"/>
        <v>1</v>
      </c>
      <c r="X227" s="15">
        <f t="shared" si="53"/>
        <v>0</v>
      </c>
      <c r="Y227" s="16"/>
    </row>
    <row r="228" spans="1:25" ht="30" customHeight="1">
      <c r="A228" s="11">
        <v>226</v>
      </c>
      <c r="B228" s="46" t="s">
        <v>471</v>
      </c>
      <c r="C228" s="46" t="s">
        <v>809</v>
      </c>
      <c r="D228" s="12"/>
      <c r="E228" s="13"/>
      <c r="F228" s="13"/>
      <c r="G228" s="13"/>
      <c r="H228" s="13"/>
      <c r="I228" s="13"/>
      <c r="J228" s="13"/>
      <c r="K228" s="13"/>
      <c r="L228" s="13"/>
      <c r="M228" s="13"/>
      <c r="N228" s="13"/>
      <c r="O228" s="13"/>
      <c r="P228" s="13"/>
      <c r="Q228" s="13"/>
      <c r="R228" s="13"/>
      <c r="S228" s="14">
        <f t="shared" si="49"/>
        <v>0</v>
      </c>
      <c r="T228" s="14">
        <f t="shared" si="50"/>
        <v>0</v>
      </c>
      <c r="U228" s="14">
        <f t="shared" si="51"/>
        <v>0</v>
      </c>
      <c r="V228" s="14">
        <f t="shared" si="52"/>
        <v>0</v>
      </c>
      <c r="W228" s="14">
        <f t="shared" si="37"/>
        <v>1</v>
      </c>
      <c r="X228" s="15">
        <f t="shared" si="53"/>
        <v>0</v>
      </c>
      <c r="Y228" s="16" t="s">
        <v>1044</v>
      </c>
    </row>
    <row r="229" spans="1:25" ht="30" customHeight="1">
      <c r="A229" s="11">
        <v>227</v>
      </c>
      <c r="B229" s="46" t="s">
        <v>472</v>
      </c>
      <c r="C229" s="46" t="s">
        <v>810</v>
      </c>
      <c r="D229" s="12"/>
      <c r="E229" s="13"/>
      <c r="F229" s="13"/>
      <c r="G229" s="13"/>
      <c r="H229" s="13"/>
      <c r="I229" s="13"/>
      <c r="J229" s="13"/>
      <c r="K229" s="13"/>
      <c r="L229" s="13"/>
      <c r="M229" s="13"/>
      <c r="N229" s="13"/>
      <c r="O229" s="13"/>
      <c r="P229" s="13"/>
      <c r="Q229" s="13"/>
      <c r="R229" s="13"/>
      <c r="S229" s="14">
        <f t="shared" si="49"/>
        <v>0</v>
      </c>
      <c r="T229" s="14">
        <f t="shared" si="50"/>
        <v>0</v>
      </c>
      <c r="U229" s="14">
        <f t="shared" si="51"/>
        <v>0</v>
      </c>
      <c r="V229" s="14">
        <f t="shared" si="52"/>
        <v>0</v>
      </c>
      <c r="W229" s="14">
        <f t="shared" si="37"/>
        <v>1</v>
      </c>
      <c r="X229" s="15">
        <f t="shared" si="53"/>
        <v>0</v>
      </c>
      <c r="Y229" s="16" t="s">
        <v>1045</v>
      </c>
    </row>
    <row r="230" spans="1:25" ht="40.049999999999997" customHeight="1">
      <c r="A230" s="11">
        <v>228</v>
      </c>
      <c r="B230" s="46" t="s">
        <v>473</v>
      </c>
      <c r="C230" s="46" t="s">
        <v>811</v>
      </c>
      <c r="D230" s="12"/>
      <c r="E230" s="13"/>
      <c r="F230" s="13"/>
      <c r="G230" s="13"/>
      <c r="H230" s="13"/>
      <c r="I230" s="13"/>
      <c r="J230" s="13"/>
      <c r="K230" s="13"/>
      <c r="L230" s="13"/>
      <c r="M230" s="13"/>
      <c r="N230" s="13"/>
      <c r="O230" s="13"/>
      <c r="P230" s="13"/>
      <c r="Q230" s="13"/>
      <c r="R230" s="13"/>
      <c r="S230" s="14">
        <f t="shared" si="49"/>
        <v>0</v>
      </c>
      <c r="T230" s="14">
        <f t="shared" si="50"/>
        <v>0</v>
      </c>
      <c r="U230" s="14">
        <f t="shared" si="51"/>
        <v>0</v>
      </c>
      <c r="V230" s="14">
        <f t="shared" si="52"/>
        <v>0</v>
      </c>
      <c r="W230" s="14">
        <f t="shared" si="37"/>
        <v>1</v>
      </c>
      <c r="X230" s="15">
        <f t="shared" si="53"/>
        <v>0</v>
      </c>
      <c r="Y230" s="16" t="s">
        <v>1046</v>
      </c>
    </row>
    <row r="231" spans="1:25" ht="30" customHeight="1">
      <c r="A231" s="11">
        <v>229</v>
      </c>
      <c r="B231" s="46" t="s">
        <v>474</v>
      </c>
      <c r="C231" s="46" t="s">
        <v>812</v>
      </c>
      <c r="D231" s="12"/>
      <c r="E231" s="13"/>
      <c r="F231" s="13"/>
      <c r="G231" s="13"/>
      <c r="H231" s="13"/>
      <c r="I231" s="13"/>
      <c r="J231" s="13"/>
      <c r="K231" s="13"/>
      <c r="L231" s="13"/>
      <c r="M231" s="13"/>
      <c r="N231" s="13"/>
      <c r="O231" s="13"/>
      <c r="P231" s="13"/>
      <c r="Q231" s="13"/>
      <c r="R231" s="13"/>
      <c r="S231" s="14">
        <f t="shared" si="49"/>
        <v>0</v>
      </c>
      <c r="T231" s="14">
        <f t="shared" si="50"/>
        <v>0</v>
      </c>
      <c r="U231" s="14">
        <f t="shared" si="51"/>
        <v>0</v>
      </c>
      <c r="V231" s="14">
        <f t="shared" si="52"/>
        <v>0</v>
      </c>
      <c r="W231" s="14">
        <f t="shared" si="37"/>
        <v>1</v>
      </c>
      <c r="X231" s="15">
        <f t="shared" si="53"/>
        <v>0</v>
      </c>
      <c r="Y231" s="16"/>
    </row>
    <row r="232" spans="1:25" ht="30" customHeight="1">
      <c r="A232" s="11">
        <v>230</v>
      </c>
      <c r="B232" s="46" t="s">
        <v>475</v>
      </c>
      <c r="C232" s="46" t="s">
        <v>813</v>
      </c>
      <c r="D232" s="12"/>
      <c r="E232" s="13"/>
      <c r="F232" s="13"/>
      <c r="G232" s="13"/>
      <c r="H232" s="13"/>
      <c r="I232" s="13"/>
      <c r="J232" s="13"/>
      <c r="K232" s="13"/>
      <c r="L232" s="13"/>
      <c r="M232" s="13"/>
      <c r="N232" s="13"/>
      <c r="O232" s="13"/>
      <c r="P232" s="13"/>
      <c r="Q232" s="13"/>
      <c r="R232" s="13"/>
      <c r="S232" s="14">
        <f t="shared" si="49"/>
        <v>0</v>
      </c>
      <c r="T232" s="14">
        <f t="shared" si="50"/>
        <v>0</v>
      </c>
      <c r="U232" s="14">
        <f t="shared" si="51"/>
        <v>0</v>
      </c>
      <c r="V232" s="14">
        <f t="shared" si="52"/>
        <v>0</v>
      </c>
      <c r="W232" s="14">
        <f t="shared" si="37"/>
        <v>1</v>
      </c>
      <c r="X232" s="15">
        <f t="shared" si="53"/>
        <v>0</v>
      </c>
      <c r="Y232" s="16" t="s">
        <v>1047</v>
      </c>
    </row>
    <row r="233" spans="1:25" ht="30" customHeight="1">
      <c r="A233" s="11">
        <v>231</v>
      </c>
      <c r="B233" s="46" t="s">
        <v>476</v>
      </c>
      <c r="C233" s="46" t="s">
        <v>814</v>
      </c>
      <c r="D233" s="12"/>
      <c r="E233" s="13"/>
      <c r="F233" s="13"/>
      <c r="G233" s="13"/>
      <c r="H233" s="13"/>
      <c r="I233" s="13"/>
      <c r="J233" s="13"/>
      <c r="K233" s="13"/>
      <c r="L233" s="13"/>
      <c r="M233" s="13"/>
      <c r="N233" s="13"/>
      <c r="O233" s="13"/>
      <c r="P233" s="13"/>
      <c r="Q233" s="13"/>
      <c r="R233" s="13"/>
      <c r="S233" s="14">
        <f t="shared" si="49"/>
        <v>0</v>
      </c>
      <c r="T233" s="14">
        <f t="shared" si="50"/>
        <v>0</v>
      </c>
      <c r="U233" s="14">
        <f t="shared" si="51"/>
        <v>0</v>
      </c>
      <c r="V233" s="14">
        <f t="shared" si="52"/>
        <v>0</v>
      </c>
      <c r="W233" s="14">
        <f t="shared" si="37"/>
        <v>1</v>
      </c>
      <c r="X233" s="15">
        <f t="shared" si="53"/>
        <v>0</v>
      </c>
      <c r="Y233" s="16" t="s">
        <v>1048</v>
      </c>
    </row>
    <row r="234" spans="1:25" ht="40.5" customHeight="1">
      <c r="A234" s="11">
        <v>232</v>
      </c>
      <c r="B234" s="46" t="s">
        <v>477</v>
      </c>
      <c r="C234" s="46" t="s">
        <v>815</v>
      </c>
      <c r="D234" s="12"/>
      <c r="E234" s="13"/>
      <c r="F234" s="13"/>
      <c r="G234" s="13"/>
      <c r="H234" s="13"/>
      <c r="I234" s="13"/>
      <c r="J234" s="13"/>
      <c r="K234" s="13"/>
      <c r="L234" s="13"/>
      <c r="M234" s="13"/>
      <c r="N234" s="13"/>
      <c r="O234" s="13"/>
      <c r="P234" s="13"/>
      <c r="Q234" s="13"/>
      <c r="R234" s="13"/>
      <c r="S234" s="14">
        <f t="shared" si="49"/>
        <v>0</v>
      </c>
      <c r="T234" s="14">
        <f t="shared" si="50"/>
        <v>0</v>
      </c>
      <c r="U234" s="14">
        <f t="shared" si="51"/>
        <v>0</v>
      </c>
      <c r="V234" s="14">
        <f t="shared" si="52"/>
        <v>0</v>
      </c>
      <c r="W234" s="14">
        <f t="shared" si="37"/>
        <v>1</v>
      </c>
      <c r="X234" s="15">
        <f t="shared" si="53"/>
        <v>0</v>
      </c>
      <c r="Y234" s="16"/>
    </row>
    <row r="235" spans="1:25" ht="30" customHeight="1">
      <c r="A235" s="11">
        <v>233</v>
      </c>
      <c r="B235" s="46" t="s">
        <v>478</v>
      </c>
      <c r="C235" s="46" t="s">
        <v>816</v>
      </c>
      <c r="D235" s="12"/>
      <c r="E235" s="13"/>
      <c r="F235" s="13"/>
      <c r="G235" s="13"/>
      <c r="H235" s="13"/>
      <c r="I235" s="13"/>
      <c r="J235" s="13"/>
      <c r="K235" s="13"/>
      <c r="L235" s="13"/>
      <c r="M235" s="13"/>
      <c r="N235" s="13"/>
      <c r="O235" s="13"/>
      <c r="P235" s="13"/>
      <c r="Q235" s="13"/>
      <c r="R235" s="13"/>
      <c r="S235" s="14">
        <f t="shared" si="49"/>
        <v>0</v>
      </c>
      <c r="T235" s="14">
        <f t="shared" si="50"/>
        <v>0</v>
      </c>
      <c r="U235" s="14">
        <f t="shared" si="51"/>
        <v>0</v>
      </c>
      <c r="V235" s="14">
        <f t="shared" si="52"/>
        <v>0</v>
      </c>
      <c r="W235" s="14">
        <f t="shared" si="37"/>
        <v>1</v>
      </c>
      <c r="X235" s="15">
        <f t="shared" si="53"/>
        <v>0</v>
      </c>
      <c r="Y235" s="16"/>
    </row>
    <row r="236" spans="1:25" ht="30" customHeight="1">
      <c r="A236" s="11">
        <v>234</v>
      </c>
      <c r="B236" s="46" t="s">
        <v>479</v>
      </c>
      <c r="C236" s="46" t="s">
        <v>817</v>
      </c>
      <c r="D236" s="12"/>
      <c r="E236" s="13"/>
      <c r="F236" s="13"/>
      <c r="G236" s="13"/>
      <c r="H236" s="13"/>
      <c r="I236" s="13"/>
      <c r="J236" s="13"/>
      <c r="K236" s="13"/>
      <c r="L236" s="13"/>
      <c r="M236" s="13"/>
      <c r="N236" s="13"/>
      <c r="O236" s="13"/>
      <c r="P236" s="13"/>
      <c r="Q236" s="13"/>
      <c r="R236" s="13"/>
      <c r="S236" s="14">
        <f t="shared" si="49"/>
        <v>0</v>
      </c>
      <c r="T236" s="14">
        <f t="shared" si="50"/>
        <v>0</v>
      </c>
      <c r="U236" s="14">
        <f t="shared" si="51"/>
        <v>0</v>
      </c>
      <c r="V236" s="14">
        <f t="shared" si="52"/>
        <v>0</v>
      </c>
      <c r="W236" s="14">
        <f t="shared" si="37"/>
        <v>1</v>
      </c>
      <c r="X236" s="15">
        <f t="shared" si="53"/>
        <v>0</v>
      </c>
      <c r="Y236" s="16"/>
    </row>
    <row r="237" spans="1:25" ht="30" customHeight="1">
      <c r="A237" s="11">
        <v>235</v>
      </c>
      <c r="B237" s="46" t="s">
        <v>480</v>
      </c>
      <c r="C237" s="46" t="s">
        <v>818</v>
      </c>
      <c r="D237" s="12"/>
      <c r="E237" s="13"/>
      <c r="F237" s="13"/>
      <c r="G237" s="13"/>
      <c r="H237" s="13"/>
      <c r="I237" s="13"/>
      <c r="J237" s="13"/>
      <c r="K237" s="13"/>
      <c r="L237" s="13"/>
      <c r="M237" s="13"/>
      <c r="N237" s="13"/>
      <c r="O237" s="13"/>
      <c r="P237" s="13"/>
      <c r="Q237" s="13"/>
      <c r="R237" s="13"/>
      <c r="S237" s="14">
        <f t="shared" si="49"/>
        <v>0</v>
      </c>
      <c r="T237" s="14">
        <f t="shared" si="50"/>
        <v>0</v>
      </c>
      <c r="U237" s="14">
        <f t="shared" si="51"/>
        <v>0</v>
      </c>
      <c r="V237" s="14">
        <f t="shared" si="52"/>
        <v>0</v>
      </c>
      <c r="W237" s="14">
        <f t="shared" si="37"/>
        <v>1</v>
      </c>
      <c r="X237" s="15">
        <f t="shared" si="53"/>
        <v>0</v>
      </c>
      <c r="Y237" s="16" t="s">
        <v>1049</v>
      </c>
    </row>
    <row r="238" spans="1:25" ht="30" customHeight="1">
      <c r="A238" s="11">
        <v>236</v>
      </c>
      <c r="B238" s="46" t="s">
        <v>481</v>
      </c>
      <c r="C238" s="46" t="s">
        <v>819</v>
      </c>
      <c r="D238" s="12"/>
      <c r="E238" s="13"/>
      <c r="F238" s="13"/>
      <c r="G238" s="13"/>
      <c r="H238" s="13"/>
      <c r="I238" s="13"/>
      <c r="J238" s="13"/>
      <c r="K238" s="13"/>
      <c r="L238" s="13"/>
      <c r="M238" s="13"/>
      <c r="N238" s="13"/>
      <c r="O238" s="13"/>
      <c r="P238" s="13"/>
      <c r="Q238" s="13"/>
      <c r="R238" s="13"/>
      <c r="S238" s="14">
        <f t="shared" si="49"/>
        <v>0</v>
      </c>
      <c r="T238" s="14">
        <f t="shared" si="50"/>
        <v>0</v>
      </c>
      <c r="U238" s="14">
        <f t="shared" si="51"/>
        <v>0</v>
      </c>
      <c r="V238" s="14">
        <f t="shared" si="52"/>
        <v>0</v>
      </c>
      <c r="W238" s="14">
        <f t="shared" si="37"/>
        <v>1</v>
      </c>
      <c r="X238" s="15">
        <f t="shared" si="53"/>
        <v>0</v>
      </c>
      <c r="Y238" s="16"/>
    </row>
    <row r="239" spans="1:25" ht="30" customHeight="1">
      <c r="A239" s="11">
        <v>237</v>
      </c>
      <c r="B239" s="46" t="s">
        <v>482</v>
      </c>
      <c r="C239" s="46" t="s">
        <v>820</v>
      </c>
      <c r="D239" s="12"/>
      <c r="E239" s="13"/>
      <c r="F239" s="13"/>
      <c r="G239" s="13"/>
      <c r="H239" s="13"/>
      <c r="I239" s="13"/>
      <c r="J239" s="13"/>
      <c r="K239" s="13"/>
      <c r="L239" s="13"/>
      <c r="M239" s="13"/>
      <c r="N239" s="13"/>
      <c r="O239" s="13"/>
      <c r="P239" s="13"/>
      <c r="Q239" s="13"/>
      <c r="R239" s="13"/>
      <c r="S239" s="14">
        <f t="shared" si="49"/>
        <v>0</v>
      </c>
      <c r="T239" s="14">
        <f t="shared" si="50"/>
        <v>0</v>
      </c>
      <c r="U239" s="14">
        <f t="shared" si="51"/>
        <v>0</v>
      </c>
      <c r="V239" s="14">
        <f t="shared" si="52"/>
        <v>0</v>
      </c>
      <c r="W239" s="14">
        <f t="shared" si="37"/>
        <v>1</v>
      </c>
      <c r="X239" s="15">
        <f t="shared" si="53"/>
        <v>0</v>
      </c>
      <c r="Y239" s="16" t="s">
        <v>1032</v>
      </c>
    </row>
    <row r="240" spans="1:25" ht="30" customHeight="1">
      <c r="A240" s="11">
        <v>238</v>
      </c>
      <c r="B240" s="46" t="s">
        <v>483</v>
      </c>
      <c r="C240" s="46" t="s">
        <v>821</v>
      </c>
      <c r="D240" s="12"/>
      <c r="E240" s="13"/>
      <c r="F240" s="13"/>
      <c r="G240" s="13"/>
      <c r="H240" s="13"/>
      <c r="I240" s="13"/>
      <c r="J240" s="13"/>
      <c r="K240" s="13"/>
      <c r="L240" s="13"/>
      <c r="M240" s="13"/>
      <c r="N240" s="13"/>
      <c r="O240" s="13"/>
      <c r="P240" s="13"/>
      <c r="Q240" s="13"/>
      <c r="R240" s="13"/>
      <c r="S240" s="14">
        <f t="shared" si="49"/>
        <v>0</v>
      </c>
      <c r="T240" s="14">
        <f t="shared" si="50"/>
        <v>0</v>
      </c>
      <c r="U240" s="14">
        <f t="shared" si="51"/>
        <v>0</v>
      </c>
      <c r="V240" s="14">
        <f t="shared" si="52"/>
        <v>0</v>
      </c>
      <c r="W240" s="14">
        <f t="shared" si="37"/>
        <v>1</v>
      </c>
      <c r="X240" s="15">
        <f t="shared" si="53"/>
        <v>0</v>
      </c>
      <c r="Y240" s="16"/>
    </row>
    <row r="241" spans="1:25" ht="30" customHeight="1">
      <c r="A241" s="11">
        <v>239</v>
      </c>
      <c r="B241" s="46" t="s">
        <v>484</v>
      </c>
      <c r="C241" s="46" t="s">
        <v>822</v>
      </c>
      <c r="D241" s="12"/>
      <c r="E241" s="13"/>
      <c r="F241" s="13"/>
      <c r="G241" s="13"/>
      <c r="H241" s="13"/>
      <c r="I241" s="13"/>
      <c r="J241" s="13"/>
      <c r="K241" s="13"/>
      <c r="L241" s="13"/>
      <c r="M241" s="13"/>
      <c r="N241" s="13"/>
      <c r="O241" s="13"/>
      <c r="P241" s="13"/>
      <c r="Q241" s="13"/>
      <c r="R241" s="13"/>
      <c r="S241" s="14">
        <f t="shared" si="49"/>
        <v>0</v>
      </c>
      <c r="T241" s="14">
        <f t="shared" si="50"/>
        <v>0</v>
      </c>
      <c r="U241" s="14">
        <f t="shared" si="51"/>
        <v>0</v>
      </c>
      <c r="V241" s="14">
        <f t="shared" si="52"/>
        <v>0</v>
      </c>
      <c r="W241" s="14">
        <f t="shared" si="37"/>
        <v>1</v>
      </c>
      <c r="X241" s="15">
        <f t="shared" si="53"/>
        <v>0</v>
      </c>
      <c r="Y241" s="16"/>
    </row>
    <row r="242" spans="1:25" ht="30" customHeight="1">
      <c r="A242" s="11">
        <v>240</v>
      </c>
      <c r="B242" s="46" t="s">
        <v>485</v>
      </c>
      <c r="C242" s="46" t="s">
        <v>823</v>
      </c>
      <c r="D242" s="12"/>
      <c r="E242" s="13"/>
      <c r="F242" s="13"/>
      <c r="G242" s="13"/>
      <c r="H242" s="13"/>
      <c r="I242" s="13"/>
      <c r="J242" s="13"/>
      <c r="K242" s="13"/>
      <c r="L242" s="13"/>
      <c r="M242" s="13"/>
      <c r="N242" s="13"/>
      <c r="O242" s="13"/>
      <c r="P242" s="13"/>
      <c r="Q242" s="13"/>
      <c r="R242" s="13"/>
      <c r="S242" s="14">
        <f t="shared" si="49"/>
        <v>0</v>
      </c>
      <c r="T242" s="14">
        <f t="shared" si="50"/>
        <v>0</v>
      </c>
      <c r="U242" s="14">
        <f t="shared" si="51"/>
        <v>0</v>
      </c>
      <c r="V242" s="14">
        <f t="shared" si="52"/>
        <v>0</v>
      </c>
      <c r="W242" s="14">
        <f t="shared" si="37"/>
        <v>1</v>
      </c>
      <c r="X242" s="15">
        <f t="shared" si="53"/>
        <v>0</v>
      </c>
      <c r="Y242" s="16"/>
    </row>
    <row r="243" spans="1:25" ht="30" customHeight="1">
      <c r="A243" s="11">
        <v>241</v>
      </c>
      <c r="B243" s="46" t="s">
        <v>486</v>
      </c>
      <c r="C243" s="46" t="s">
        <v>824</v>
      </c>
      <c r="D243" s="12"/>
      <c r="E243" s="13"/>
      <c r="F243" s="13"/>
      <c r="G243" s="13"/>
      <c r="H243" s="13"/>
      <c r="I243" s="13"/>
      <c r="J243" s="13"/>
      <c r="K243" s="13"/>
      <c r="L243" s="13"/>
      <c r="M243" s="13"/>
      <c r="N243" s="13"/>
      <c r="O243" s="13"/>
      <c r="P243" s="13"/>
      <c r="Q243" s="13"/>
      <c r="R243" s="13"/>
      <c r="S243" s="14">
        <f t="shared" si="49"/>
        <v>0</v>
      </c>
      <c r="T243" s="14">
        <f t="shared" si="50"/>
        <v>0</v>
      </c>
      <c r="U243" s="14">
        <f t="shared" si="51"/>
        <v>0</v>
      </c>
      <c r="V243" s="14">
        <f t="shared" si="52"/>
        <v>0</v>
      </c>
      <c r="W243" s="14">
        <f t="shared" si="37"/>
        <v>1</v>
      </c>
      <c r="X243" s="15">
        <f t="shared" si="53"/>
        <v>0</v>
      </c>
      <c r="Y243" s="16" t="s">
        <v>1050</v>
      </c>
    </row>
    <row r="244" spans="1:25" ht="30" customHeight="1">
      <c r="A244" s="11">
        <v>242</v>
      </c>
      <c r="B244" s="46" t="s">
        <v>487</v>
      </c>
      <c r="C244" s="46" t="s">
        <v>825</v>
      </c>
      <c r="D244" s="12"/>
      <c r="E244" s="13"/>
      <c r="F244" s="13"/>
      <c r="G244" s="13"/>
      <c r="H244" s="13"/>
      <c r="I244" s="13"/>
      <c r="J244" s="13"/>
      <c r="K244" s="13"/>
      <c r="L244" s="13"/>
      <c r="M244" s="13"/>
      <c r="N244" s="13"/>
      <c r="O244" s="13"/>
      <c r="P244" s="13"/>
      <c r="Q244" s="13"/>
      <c r="R244" s="13"/>
      <c r="S244" s="14">
        <f t="shared" si="49"/>
        <v>0</v>
      </c>
      <c r="T244" s="14">
        <f t="shared" si="50"/>
        <v>0</v>
      </c>
      <c r="U244" s="14">
        <f t="shared" si="51"/>
        <v>0</v>
      </c>
      <c r="V244" s="14">
        <f t="shared" si="52"/>
        <v>0</v>
      </c>
      <c r="W244" s="14">
        <f t="shared" si="37"/>
        <v>1</v>
      </c>
      <c r="X244" s="15">
        <f t="shared" si="53"/>
        <v>0</v>
      </c>
      <c r="Y244" s="16"/>
    </row>
    <row r="245" spans="1:25" ht="30" customHeight="1">
      <c r="A245" s="11">
        <v>243</v>
      </c>
      <c r="B245" s="46" t="s">
        <v>488</v>
      </c>
      <c r="C245" s="46" t="s">
        <v>826</v>
      </c>
      <c r="D245" s="12"/>
      <c r="E245" s="13"/>
      <c r="F245" s="13"/>
      <c r="G245" s="13"/>
      <c r="H245" s="13"/>
      <c r="I245" s="13"/>
      <c r="J245" s="13"/>
      <c r="K245" s="13"/>
      <c r="L245" s="13"/>
      <c r="M245" s="13"/>
      <c r="N245" s="13"/>
      <c r="O245" s="13"/>
      <c r="P245" s="13"/>
      <c r="Q245" s="13"/>
      <c r="R245" s="13"/>
      <c r="S245" s="14">
        <f t="shared" si="49"/>
        <v>0</v>
      </c>
      <c r="T245" s="14">
        <f t="shared" si="50"/>
        <v>0</v>
      </c>
      <c r="U245" s="14">
        <f t="shared" si="51"/>
        <v>0</v>
      </c>
      <c r="V245" s="14">
        <f t="shared" si="52"/>
        <v>0</v>
      </c>
      <c r="W245" s="14">
        <f t="shared" si="37"/>
        <v>1</v>
      </c>
      <c r="X245" s="15">
        <f t="shared" si="53"/>
        <v>0</v>
      </c>
      <c r="Y245" s="16" t="s">
        <v>1051</v>
      </c>
    </row>
    <row r="246" spans="1:25" ht="30" customHeight="1">
      <c r="A246" s="11">
        <v>244</v>
      </c>
      <c r="B246" s="46" t="s">
        <v>489</v>
      </c>
      <c r="C246" s="46" t="s">
        <v>827</v>
      </c>
      <c r="D246" s="12"/>
      <c r="E246" s="13"/>
      <c r="F246" s="13"/>
      <c r="G246" s="13"/>
      <c r="H246" s="13"/>
      <c r="I246" s="13"/>
      <c r="J246" s="13"/>
      <c r="K246" s="13"/>
      <c r="L246" s="13"/>
      <c r="M246" s="13"/>
      <c r="N246" s="13"/>
      <c r="O246" s="13"/>
      <c r="P246" s="13"/>
      <c r="Q246" s="13"/>
      <c r="R246" s="13"/>
      <c r="S246" s="14">
        <f t="shared" si="49"/>
        <v>0</v>
      </c>
      <c r="T246" s="14">
        <f t="shared" si="50"/>
        <v>0</v>
      </c>
      <c r="U246" s="14">
        <f t="shared" si="51"/>
        <v>0</v>
      </c>
      <c r="V246" s="14">
        <f t="shared" si="52"/>
        <v>0</v>
      </c>
      <c r="W246" s="14">
        <f t="shared" si="37"/>
        <v>1</v>
      </c>
      <c r="X246" s="15">
        <f t="shared" si="53"/>
        <v>0</v>
      </c>
      <c r="Y246" s="16" t="s">
        <v>1052</v>
      </c>
    </row>
    <row r="247" spans="1:25" ht="30" customHeight="1">
      <c r="A247" s="11">
        <v>245</v>
      </c>
      <c r="B247" s="46" t="s">
        <v>490</v>
      </c>
      <c r="C247" s="46" t="s">
        <v>828</v>
      </c>
      <c r="D247" s="12"/>
      <c r="E247" s="13"/>
      <c r="F247" s="13"/>
      <c r="G247" s="13"/>
      <c r="H247" s="13"/>
      <c r="I247" s="13"/>
      <c r="J247" s="13"/>
      <c r="K247" s="13"/>
      <c r="L247" s="13"/>
      <c r="M247" s="13"/>
      <c r="N247" s="13"/>
      <c r="O247" s="13"/>
      <c r="P247" s="13"/>
      <c r="Q247" s="13"/>
      <c r="R247" s="13"/>
      <c r="S247" s="14">
        <f t="shared" si="49"/>
        <v>0</v>
      </c>
      <c r="T247" s="14">
        <f t="shared" si="50"/>
        <v>0</v>
      </c>
      <c r="U247" s="14">
        <f t="shared" si="51"/>
        <v>0</v>
      </c>
      <c r="V247" s="14">
        <f t="shared" si="52"/>
        <v>0</v>
      </c>
      <c r="W247" s="14">
        <f t="shared" si="37"/>
        <v>1</v>
      </c>
      <c r="X247" s="15">
        <f t="shared" si="53"/>
        <v>0</v>
      </c>
      <c r="Y247" s="16" t="s">
        <v>1053</v>
      </c>
    </row>
    <row r="248" spans="1:25" ht="30" customHeight="1">
      <c r="A248" s="11">
        <v>246</v>
      </c>
      <c r="B248" s="46" t="s">
        <v>491</v>
      </c>
      <c r="C248" s="46" t="s">
        <v>829</v>
      </c>
      <c r="D248" s="12"/>
      <c r="E248" s="13"/>
      <c r="F248" s="13"/>
      <c r="G248" s="13"/>
      <c r="H248" s="13"/>
      <c r="I248" s="13"/>
      <c r="J248" s="13"/>
      <c r="K248" s="13"/>
      <c r="L248" s="13"/>
      <c r="M248" s="13"/>
      <c r="N248" s="13"/>
      <c r="O248" s="13"/>
      <c r="P248" s="13"/>
      <c r="Q248" s="13"/>
      <c r="R248" s="13"/>
      <c r="S248" s="14">
        <f t="shared" si="49"/>
        <v>0</v>
      </c>
      <c r="T248" s="14">
        <f t="shared" si="50"/>
        <v>0</v>
      </c>
      <c r="U248" s="14">
        <f t="shared" si="51"/>
        <v>0</v>
      </c>
      <c r="V248" s="14">
        <f t="shared" si="52"/>
        <v>0</v>
      </c>
      <c r="W248" s="14">
        <f t="shared" si="37"/>
        <v>1</v>
      </c>
      <c r="X248" s="15">
        <f t="shared" si="53"/>
        <v>0</v>
      </c>
      <c r="Y248" s="16" t="s">
        <v>932</v>
      </c>
    </row>
    <row r="249" spans="1:25" ht="30" customHeight="1">
      <c r="A249" s="11">
        <v>247</v>
      </c>
      <c r="B249" s="46" t="s">
        <v>492</v>
      </c>
      <c r="C249" s="46" t="s">
        <v>830</v>
      </c>
      <c r="D249" s="12"/>
      <c r="E249" s="13"/>
      <c r="F249" s="13"/>
      <c r="G249" s="13"/>
      <c r="H249" s="13"/>
      <c r="I249" s="13"/>
      <c r="J249" s="13"/>
      <c r="K249" s="13"/>
      <c r="L249" s="13"/>
      <c r="M249" s="13"/>
      <c r="N249" s="13"/>
      <c r="O249" s="13"/>
      <c r="P249" s="13"/>
      <c r="Q249" s="13"/>
      <c r="R249" s="13"/>
      <c r="S249" s="14">
        <f t="shared" si="49"/>
        <v>0</v>
      </c>
      <c r="T249" s="14">
        <f t="shared" si="50"/>
        <v>0</v>
      </c>
      <c r="U249" s="14">
        <f t="shared" si="51"/>
        <v>0</v>
      </c>
      <c r="V249" s="14">
        <f t="shared" si="52"/>
        <v>0</v>
      </c>
      <c r="W249" s="14">
        <f t="shared" si="37"/>
        <v>1</v>
      </c>
      <c r="X249" s="15">
        <f t="shared" si="53"/>
        <v>0</v>
      </c>
      <c r="Y249" s="16"/>
    </row>
    <row r="250" spans="1:25" ht="30" customHeight="1">
      <c r="A250" s="11">
        <v>248</v>
      </c>
      <c r="B250" s="46" t="s">
        <v>493</v>
      </c>
      <c r="C250" s="46" t="s">
        <v>831</v>
      </c>
      <c r="D250" s="12"/>
      <c r="E250" s="13"/>
      <c r="F250" s="13"/>
      <c r="G250" s="13"/>
      <c r="H250" s="13"/>
      <c r="I250" s="13"/>
      <c r="J250" s="13"/>
      <c r="K250" s="13"/>
      <c r="L250" s="13"/>
      <c r="M250" s="13"/>
      <c r="N250" s="13"/>
      <c r="O250" s="13"/>
      <c r="P250" s="13"/>
      <c r="Q250" s="13"/>
      <c r="R250" s="13"/>
      <c r="S250" s="14">
        <f t="shared" si="49"/>
        <v>0</v>
      </c>
      <c r="T250" s="14">
        <f t="shared" si="50"/>
        <v>0</v>
      </c>
      <c r="U250" s="14">
        <f t="shared" si="51"/>
        <v>0</v>
      </c>
      <c r="V250" s="14">
        <f t="shared" si="52"/>
        <v>0</v>
      </c>
      <c r="W250" s="14">
        <f t="shared" si="37"/>
        <v>1</v>
      </c>
      <c r="X250" s="15">
        <f t="shared" si="53"/>
        <v>0</v>
      </c>
      <c r="Y250" s="16"/>
    </row>
    <row r="251" spans="1:25" ht="30" customHeight="1">
      <c r="A251" s="11">
        <v>249</v>
      </c>
      <c r="B251" s="46" t="s">
        <v>494</v>
      </c>
      <c r="C251" s="46" t="s">
        <v>832</v>
      </c>
      <c r="D251" s="12"/>
      <c r="E251" s="13"/>
      <c r="F251" s="13"/>
      <c r="G251" s="13"/>
      <c r="H251" s="13"/>
      <c r="I251" s="13"/>
      <c r="J251" s="13"/>
      <c r="K251" s="13"/>
      <c r="L251" s="13"/>
      <c r="M251" s="13"/>
      <c r="N251" s="13"/>
      <c r="O251" s="13"/>
      <c r="P251" s="13"/>
      <c r="Q251" s="13"/>
      <c r="R251" s="13"/>
      <c r="S251" s="14">
        <f t="shared" si="49"/>
        <v>0</v>
      </c>
      <c r="T251" s="14">
        <f t="shared" si="50"/>
        <v>0</v>
      </c>
      <c r="U251" s="14">
        <f t="shared" si="51"/>
        <v>0</v>
      </c>
      <c r="V251" s="14">
        <f t="shared" si="52"/>
        <v>0</v>
      </c>
      <c r="W251" s="14">
        <f t="shared" si="37"/>
        <v>1</v>
      </c>
      <c r="X251" s="15">
        <f t="shared" si="53"/>
        <v>0</v>
      </c>
      <c r="Y251" s="16"/>
    </row>
    <row r="252" spans="1:25" ht="30" customHeight="1">
      <c r="A252" s="11">
        <v>250</v>
      </c>
      <c r="B252" s="46" t="s">
        <v>495</v>
      </c>
      <c r="C252" s="46" t="s">
        <v>833</v>
      </c>
      <c r="D252" s="12"/>
      <c r="E252" s="13"/>
      <c r="F252" s="13"/>
      <c r="G252" s="13"/>
      <c r="H252" s="13"/>
      <c r="I252" s="13"/>
      <c r="J252" s="13"/>
      <c r="K252" s="13"/>
      <c r="L252" s="13"/>
      <c r="M252" s="13"/>
      <c r="N252" s="13"/>
      <c r="O252" s="13"/>
      <c r="P252" s="13"/>
      <c r="Q252" s="13"/>
      <c r="R252" s="13"/>
      <c r="S252" s="14">
        <f t="shared" si="49"/>
        <v>0</v>
      </c>
      <c r="T252" s="14">
        <f t="shared" si="50"/>
        <v>0</v>
      </c>
      <c r="U252" s="14">
        <f t="shared" si="51"/>
        <v>0</v>
      </c>
      <c r="V252" s="14">
        <f t="shared" si="52"/>
        <v>0</v>
      </c>
      <c r="W252" s="14">
        <f t="shared" si="37"/>
        <v>1</v>
      </c>
      <c r="X252" s="15">
        <f t="shared" si="53"/>
        <v>0</v>
      </c>
      <c r="Y252" s="16" t="s">
        <v>1054</v>
      </c>
    </row>
    <row r="253" spans="1:25" ht="30" customHeight="1">
      <c r="A253" s="11">
        <v>251</v>
      </c>
      <c r="B253" s="46" t="s">
        <v>496</v>
      </c>
      <c r="C253" s="46" t="s">
        <v>834</v>
      </c>
      <c r="D253" s="12"/>
      <c r="E253" s="13"/>
      <c r="F253" s="13"/>
      <c r="G253" s="13"/>
      <c r="H253" s="13"/>
      <c r="I253" s="13"/>
      <c r="J253" s="13"/>
      <c r="K253" s="13"/>
      <c r="L253" s="13"/>
      <c r="M253" s="13"/>
      <c r="N253" s="13"/>
      <c r="O253" s="13"/>
      <c r="P253" s="13"/>
      <c r="Q253" s="13"/>
      <c r="R253" s="13"/>
      <c r="S253" s="14">
        <f t="shared" si="49"/>
        <v>0</v>
      </c>
      <c r="T253" s="14">
        <f t="shared" si="50"/>
        <v>0</v>
      </c>
      <c r="U253" s="14">
        <f t="shared" si="51"/>
        <v>0</v>
      </c>
      <c r="V253" s="14">
        <f t="shared" si="52"/>
        <v>0</v>
      </c>
      <c r="W253" s="14">
        <f t="shared" si="37"/>
        <v>1</v>
      </c>
      <c r="X253" s="15">
        <f t="shared" si="53"/>
        <v>0</v>
      </c>
      <c r="Y253" s="16"/>
    </row>
    <row r="254" spans="1:25" ht="30" customHeight="1">
      <c r="A254" s="11">
        <v>252</v>
      </c>
      <c r="B254" s="46" t="s">
        <v>497</v>
      </c>
      <c r="C254" s="46" t="s">
        <v>835</v>
      </c>
      <c r="D254" s="12"/>
      <c r="E254" s="13"/>
      <c r="F254" s="13"/>
      <c r="G254" s="13"/>
      <c r="H254" s="13"/>
      <c r="I254" s="13"/>
      <c r="J254" s="13"/>
      <c r="K254" s="13"/>
      <c r="L254" s="13"/>
      <c r="M254" s="13"/>
      <c r="N254" s="13"/>
      <c r="O254" s="13"/>
      <c r="P254" s="13"/>
      <c r="Q254" s="13"/>
      <c r="R254" s="13"/>
      <c r="S254" s="14">
        <f t="shared" si="49"/>
        <v>0</v>
      </c>
      <c r="T254" s="14">
        <f t="shared" si="50"/>
        <v>0</v>
      </c>
      <c r="U254" s="14">
        <f t="shared" si="51"/>
        <v>0</v>
      </c>
      <c r="V254" s="14">
        <f t="shared" si="52"/>
        <v>0</v>
      </c>
      <c r="W254" s="14">
        <f t="shared" si="37"/>
        <v>1</v>
      </c>
      <c r="X254" s="15">
        <f t="shared" si="53"/>
        <v>0</v>
      </c>
      <c r="Y254" s="16" t="s">
        <v>1055</v>
      </c>
    </row>
    <row r="255" spans="1:25" ht="30" customHeight="1">
      <c r="A255" s="11">
        <v>253</v>
      </c>
      <c r="B255" s="46" t="s">
        <v>498</v>
      </c>
      <c r="C255" s="46" t="s">
        <v>836</v>
      </c>
      <c r="D255" s="12"/>
      <c r="E255" s="13"/>
      <c r="F255" s="13"/>
      <c r="G255" s="13"/>
      <c r="H255" s="13"/>
      <c r="I255" s="13"/>
      <c r="J255" s="13"/>
      <c r="K255" s="13"/>
      <c r="L255" s="13"/>
      <c r="M255" s="13"/>
      <c r="N255" s="13"/>
      <c r="O255" s="13"/>
      <c r="P255" s="13"/>
      <c r="Q255" s="13"/>
      <c r="R255" s="13"/>
      <c r="S255" s="14">
        <f t="shared" si="49"/>
        <v>0</v>
      </c>
      <c r="T255" s="14">
        <f t="shared" si="50"/>
        <v>0</v>
      </c>
      <c r="U255" s="14">
        <f t="shared" si="51"/>
        <v>0</v>
      </c>
      <c r="V255" s="14">
        <f t="shared" si="52"/>
        <v>0</v>
      </c>
      <c r="W255" s="14">
        <f t="shared" si="37"/>
        <v>1</v>
      </c>
      <c r="X255" s="15">
        <f t="shared" si="53"/>
        <v>0</v>
      </c>
      <c r="Y255" s="16"/>
    </row>
    <row r="256" spans="1:25" ht="30" customHeight="1">
      <c r="A256" s="11">
        <v>254</v>
      </c>
      <c r="B256" s="46" t="s">
        <v>499</v>
      </c>
      <c r="C256" s="46" t="s">
        <v>837</v>
      </c>
      <c r="D256" s="12"/>
      <c r="E256" s="13"/>
      <c r="F256" s="13"/>
      <c r="G256" s="13"/>
      <c r="H256" s="13"/>
      <c r="I256" s="13"/>
      <c r="J256" s="13"/>
      <c r="K256" s="13"/>
      <c r="L256" s="13"/>
      <c r="M256" s="13"/>
      <c r="N256" s="13"/>
      <c r="O256" s="13"/>
      <c r="P256" s="13"/>
      <c r="Q256" s="13"/>
      <c r="R256" s="13"/>
      <c r="S256" s="14">
        <f t="shared" si="49"/>
        <v>0</v>
      </c>
      <c r="T256" s="14">
        <f t="shared" si="50"/>
        <v>0</v>
      </c>
      <c r="U256" s="14">
        <f t="shared" si="51"/>
        <v>0</v>
      </c>
      <c r="V256" s="14">
        <f t="shared" si="52"/>
        <v>0</v>
      </c>
      <c r="W256" s="14">
        <f t="shared" si="37"/>
        <v>1</v>
      </c>
      <c r="X256" s="15">
        <f t="shared" si="53"/>
        <v>0</v>
      </c>
      <c r="Y256" s="16"/>
    </row>
    <row r="257" spans="1:25" ht="41.55" customHeight="1">
      <c r="A257" s="11">
        <v>255</v>
      </c>
      <c r="B257" s="46" t="s">
        <v>500</v>
      </c>
      <c r="C257" s="46" t="s">
        <v>838</v>
      </c>
      <c r="D257" s="12"/>
      <c r="E257" s="13"/>
      <c r="F257" s="13"/>
      <c r="G257" s="13"/>
      <c r="H257" s="13"/>
      <c r="I257" s="13"/>
      <c r="J257" s="13"/>
      <c r="K257" s="13"/>
      <c r="L257" s="13"/>
      <c r="M257" s="13"/>
      <c r="N257" s="13"/>
      <c r="O257" s="13"/>
      <c r="P257" s="13"/>
      <c r="Q257" s="13"/>
      <c r="R257" s="13"/>
      <c r="S257" s="14">
        <f t="shared" si="49"/>
        <v>0</v>
      </c>
      <c r="T257" s="14">
        <f t="shared" si="50"/>
        <v>0</v>
      </c>
      <c r="U257" s="14">
        <f t="shared" si="51"/>
        <v>0</v>
      </c>
      <c r="V257" s="14">
        <f t="shared" si="52"/>
        <v>0</v>
      </c>
      <c r="W257" s="14">
        <f t="shared" si="37"/>
        <v>1</v>
      </c>
      <c r="X257" s="15">
        <f t="shared" si="53"/>
        <v>0</v>
      </c>
      <c r="Y257" s="16" t="s">
        <v>1056</v>
      </c>
    </row>
    <row r="258" spans="1:25" ht="30" customHeight="1">
      <c r="A258" s="11">
        <v>256</v>
      </c>
      <c r="B258" s="46" t="s">
        <v>501</v>
      </c>
      <c r="C258" s="46" t="s">
        <v>839</v>
      </c>
      <c r="D258" s="12"/>
      <c r="E258" s="13"/>
      <c r="F258" s="13"/>
      <c r="G258" s="13"/>
      <c r="H258" s="13"/>
      <c r="I258" s="13"/>
      <c r="J258" s="13"/>
      <c r="K258" s="13"/>
      <c r="L258" s="13"/>
      <c r="M258" s="13"/>
      <c r="N258" s="13"/>
      <c r="O258" s="13"/>
      <c r="P258" s="13"/>
      <c r="Q258" s="13"/>
      <c r="R258" s="13"/>
      <c r="S258" s="14">
        <f t="shared" si="49"/>
        <v>0</v>
      </c>
      <c r="T258" s="14">
        <f t="shared" si="50"/>
        <v>0</v>
      </c>
      <c r="U258" s="14">
        <f t="shared" si="51"/>
        <v>0</v>
      </c>
      <c r="V258" s="14">
        <f t="shared" si="52"/>
        <v>0</v>
      </c>
      <c r="W258" s="14">
        <f t="shared" si="37"/>
        <v>1</v>
      </c>
      <c r="X258" s="15">
        <f t="shared" si="53"/>
        <v>0</v>
      </c>
      <c r="Y258" s="16"/>
    </row>
    <row r="259" spans="1:25" ht="30" customHeight="1">
      <c r="A259" s="11">
        <v>257</v>
      </c>
      <c r="B259" s="46" t="s">
        <v>502</v>
      </c>
      <c r="C259" s="46" t="s">
        <v>840</v>
      </c>
      <c r="D259" s="12"/>
      <c r="E259" s="13"/>
      <c r="F259" s="13"/>
      <c r="G259" s="13"/>
      <c r="H259" s="13"/>
      <c r="I259" s="13"/>
      <c r="J259" s="13"/>
      <c r="K259" s="13"/>
      <c r="L259" s="13"/>
      <c r="M259" s="13"/>
      <c r="N259" s="13"/>
      <c r="O259" s="13"/>
      <c r="P259" s="13"/>
      <c r="Q259" s="13"/>
      <c r="R259" s="13"/>
      <c r="S259" s="14">
        <f t="shared" si="49"/>
        <v>0</v>
      </c>
      <c r="T259" s="14">
        <f t="shared" si="50"/>
        <v>0</v>
      </c>
      <c r="U259" s="14">
        <f t="shared" si="51"/>
        <v>0</v>
      </c>
      <c r="V259" s="14">
        <f t="shared" si="52"/>
        <v>0</v>
      </c>
      <c r="W259" s="14">
        <f t="shared" ref="W259:W322" si="54">IF(AND(B259&lt;&gt;"",S259=0),1,0)</f>
        <v>1</v>
      </c>
      <c r="X259" s="15">
        <f t="shared" si="53"/>
        <v>0</v>
      </c>
      <c r="Y259" s="16" t="s">
        <v>1057</v>
      </c>
    </row>
    <row r="260" spans="1:25" ht="30" customHeight="1">
      <c r="A260" s="11">
        <v>258</v>
      </c>
      <c r="B260" s="46" t="s">
        <v>503</v>
      </c>
      <c r="C260" s="46" t="s">
        <v>841</v>
      </c>
      <c r="D260" s="12"/>
      <c r="E260" s="13"/>
      <c r="F260" s="13"/>
      <c r="G260" s="13"/>
      <c r="H260" s="13"/>
      <c r="I260" s="13"/>
      <c r="J260" s="13"/>
      <c r="K260" s="13"/>
      <c r="L260" s="13"/>
      <c r="M260" s="13"/>
      <c r="N260" s="13"/>
      <c r="O260" s="13"/>
      <c r="P260" s="13"/>
      <c r="Q260" s="13"/>
      <c r="R260" s="13"/>
      <c r="S260" s="14">
        <f t="shared" si="49"/>
        <v>0</v>
      </c>
      <c r="T260" s="14">
        <f t="shared" si="50"/>
        <v>0</v>
      </c>
      <c r="U260" s="14">
        <f t="shared" si="51"/>
        <v>0</v>
      </c>
      <c r="V260" s="14">
        <f t="shared" si="52"/>
        <v>0</v>
      </c>
      <c r="W260" s="14">
        <f t="shared" si="54"/>
        <v>1</v>
      </c>
      <c r="X260" s="15">
        <f t="shared" si="53"/>
        <v>0</v>
      </c>
      <c r="Y260" s="16"/>
    </row>
    <row r="261" spans="1:25" ht="30" customHeight="1">
      <c r="A261" s="11">
        <v>259</v>
      </c>
      <c r="B261" s="46" t="s">
        <v>504</v>
      </c>
      <c r="C261" s="46" t="s">
        <v>842</v>
      </c>
      <c r="D261" s="12"/>
      <c r="E261" s="13"/>
      <c r="F261" s="13"/>
      <c r="G261" s="13"/>
      <c r="H261" s="13"/>
      <c r="I261" s="13"/>
      <c r="J261" s="13"/>
      <c r="K261" s="13"/>
      <c r="L261" s="13"/>
      <c r="M261" s="13"/>
      <c r="N261" s="13"/>
      <c r="O261" s="13"/>
      <c r="P261" s="13"/>
      <c r="Q261" s="13"/>
      <c r="R261" s="13"/>
      <c r="S261" s="14">
        <f t="shared" si="49"/>
        <v>0</v>
      </c>
      <c r="T261" s="14">
        <f t="shared" si="50"/>
        <v>0</v>
      </c>
      <c r="U261" s="14">
        <f t="shared" si="51"/>
        <v>0</v>
      </c>
      <c r="V261" s="14">
        <f t="shared" si="52"/>
        <v>0</v>
      </c>
      <c r="W261" s="14">
        <f t="shared" si="54"/>
        <v>1</v>
      </c>
      <c r="X261" s="15">
        <f t="shared" si="53"/>
        <v>0</v>
      </c>
      <c r="Y261" s="16"/>
    </row>
    <row r="262" spans="1:25" ht="52.8">
      <c r="A262" s="11">
        <v>260</v>
      </c>
      <c r="B262" s="46" t="s">
        <v>505</v>
      </c>
      <c r="C262" s="46" t="s">
        <v>843</v>
      </c>
      <c r="D262" s="12"/>
      <c r="E262" s="13"/>
      <c r="F262" s="13"/>
      <c r="G262" s="13"/>
      <c r="H262" s="13"/>
      <c r="I262" s="13"/>
      <c r="J262" s="13"/>
      <c r="K262" s="13"/>
      <c r="L262" s="13"/>
      <c r="M262" s="13"/>
      <c r="N262" s="13"/>
      <c r="O262" s="13"/>
      <c r="P262" s="13"/>
      <c r="Q262" s="13"/>
      <c r="R262" s="13"/>
      <c r="S262" s="14">
        <f t="shared" si="49"/>
        <v>0</v>
      </c>
      <c r="T262" s="14">
        <f t="shared" si="50"/>
        <v>0</v>
      </c>
      <c r="U262" s="14">
        <f t="shared" si="51"/>
        <v>0</v>
      </c>
      <c r="V262" s="14">
        <f t="shared" si="52"/>
        <v>0</v>
      </c>
      <c r="W262" s="14">
        <f t="shared" si="54"/>
        <v>1</v>
      </c>
      <c r="X262" s="15">
        <f t="shared" si="53"/>
        <v>0</v>
      </c>
      <c r="Y262" s="16" t="s">
        <v>1058</v>
      </c>
    </row>
    <row r="263" spans="1:25" ht="30" customHeight="1">
      <c r="A263" s="11">
        <v>261</v>
      </c>
      <c r="B263" s="46" t="s">
        <v>506</v>
      </c>
      <c r="C263" s="46" t="s">
        <v>844</v>
      </c>
      <c r="D263" s="12"/>
      <c r="E263" s="13"/>
      <c r="F263" s="13"/>
      <c r="G263" s="13"/>
      <c r="H263" s="13"/>
      <c r="I263" s="13"/>
      <c r="J263" s="13"/>
      <c r="K263" s="13"/>
      <c r="L263" s="13"/>
      <c r="M263" s="13"/>
      <c r="N263" s="13"/>
      <c r="O263" s="13"/>
      <c r="P263" s="13"/>
      <c r="Q263" s="13"/>
      <c r="R263" s="13"/>
      <c r="S263" s="14">
        <f t="shared" si="49"/>
        <v>0</v>
      </c>
      <c r="T263" s="14">
        <f t="shared" si="50"/>
        <v>0</v>
      </c>
      <c r="U263" s="14">
        <f t="shared" si="51"/>
        <v>0</v>
      </c>
      <c r="V263" s="14">
        <f t="shared" si="52"/>
        <v>0</v>
      </c>
      <c r="W263" s="14">
        <f t="shared" si="54"/>
        <v>1</v>
      </c>
      <c r="X263" s="15">
        <f t="shared" si="53"/>
        <v>0</v>
      </c>
      <c r="Y263" s="16" t="s">
        <v>1059</v>
      </c>
    </row>
    <row r="264" spans="1:25" ht="30" customHeight="1">
      <c r="A264" s="11">
        <v>262</v>
      </c>
      <c r="B264" s="46" t="s">
        <v>507</v>
      </c>
      <c r="C264" s="46" t="s">
        <v>845</v>
      </c>
      <c r="D264" s="12"/>
      <c r="E264" s="13"/>
      <c r="F264" s="13"/>
      <c r="G264" s="13"/>
      <c r="H264" s="13"/>
      <c r="I264" s="13"/>
      <c r="J264" s="13"/>
      <c r="K264" s="13"/>
      <c r="L264" s="13"/>
      <c r="M264" s="13"/>
      <c r="N264" s="13"/>
      <c r="O264" s="13"/>
      <c r="P264" s="13"/>
      <c r="Q264" s="13"/>
      <c r="R264" s="13"/>
      <c r="S264" s="14">
        <f t="shared" si="49"/>
        <v>0</v>
      </c>
      <c r="T264" s="14">
        <f t="shared" si="50"/>
        <v>0</v>
      </c>
      <c r="U264" s="14">
        <f t="shared" si="51"/>
        <v>0</v>
      </c>
      <c r="V264" s="14">
        <f t="shared" si="52"/>
        <v>0</v>
      </c>
      <c r="W264" s="14">
        <f t="shared" si="54"/>
        <v>1</v>
      </c>
      <c r="X264" s="15">
        <f t="shared" si="53"/>
        <v>0</v>
      </c>
      <c r="Y264" s="16"/>
    </row>
    <row r="265" spans="1:25" ht="30" customHeight="1">
      <c r="A265" s="11">
        <v>263</v>
      </c>
      <c r="B265" s="46" t="s">
        <v>508</v>
      </c>
      <c r="C265" s="46" t="s">
        <v>846</v>
      </c>
      <c r="D265" s="12"/>
      <c r="E265" s="13"/>
      <c r="F265" s="13"/>
      <c r="G265" s="13"/>
      <c r="H265" s="13"/>
      <c r="I265" s="13"/>
      <c r="J265" s="13"/>
      <c r="K265" s="13"/>
      <c r="L265" s="13"/>
      <c r="M265" s="13"/>
      <c r="N265" s="13"/>
      <c r="O265" s="13"/>
      <c r="P265" s="13"/>
      <c r="Q265" s="13"/>
      <c r="R265" s="13"/>
      <c r="S265" s="14">
        <f t="shared" si="49"/>
        <v>0</v>
      </c>
      <c r="T265" s="14">
        <f t="shared" si="50"/>
        <v>0</v>
      </c>
      <c r="U265" s="14">
        <f t="shared" si="51"/>
        <v>0</v>
      </c>
      <c r="V265" s="14">
        <f t="shared" si="52"/>
        <v>0</v>
      </c>
      <c r="W265" s="14">
        <f t="shared" si="54"/>
        <v>1</v>
      </c>
      <c r="X265" s="15">
        <f t="shared" si="53"/>
        <v>0</v>
      </c>
      <c r="Y265" s="16"/>
    </row>
    <row r="266" spans="1:25" ht="30" customHeight="1">
      <c r="A266" s="11">
        <v>264</v>
      </c>
      <c r="B266" s="46" t="s">
        <v>509</v>
      </c>
      <c r="C266" s="46" t="s">
        <v>847</v>
      </c>
      <c r="D266" s="12"/>
      <c r="E266" s="13"/>
      <c r="F266" s="13"/>
      <c r="G266" s="13"/>
      <c r="H266" s="13"/>
      <c r="I266" s="13"/>
      <c r="J266" s="13"/>
      <c r="K266" s="13"/>
      <c r="L266" s="13"/>
      <c r="M266" s="13"/>
      <c r="N266" s="13"/>
      <c r="O266" s="13"/>
      <c r="P266" s="13"/>
      <c r="Q266" s="13"/>
      <c r="R266" s="13"/>
      <c r="S266" s="14">
        <f t="shared" si="49"/>
        <v>0</v>
      </c>
      <c r="T266" s="14">
        <f t="shared" si="50"/>
        <v>0</v>
      </c>
      <c r="U266" s="14">
        <f t="shared" si="51"/>
        <v>0</v>
      </c>
      <c r="V266" s="14">
        <f t="shared" si="52"/>
        <v>0</v>
      </c>
      <c r="W266" s="14">
        <f t="shared" si="54"/>
        <v>1</v>
      </c>
      <c r="X266" s="15">
        <f t="shared" si="53"/>
        <v>0</v>
      </c>
      <c r="Y266" s="16" t="s">
        <v>1060</v>
      </c>
    </row>
    <row r="267" spans="1:25" ht="30" customHeight="1">
      <c r="A267" s="11">
        <v>265</v>
      </c>
      <c r="B267" s="46" t="s">
        <v>510</v>
      </c>
      <c r="C267" s="46" t="s">
        <v>848</v>
      </c>
      <c r="D267" s="12"/>
      <c r="E267" s="13"/>
      <c r="F267" s="13"/>
      <c r="G267" s="13"/>
      <c r="H267" s="13"/>
      <c r="I267" s="13"/>
      <c r="J267" s="13"/>
      <c r="K267" s="13"/>
      <c r="L267" s="13"/>
      <c r="M267" s="13"/>
      <c r="N267" s="13"/>
      <c r="O267" s="13"/>
      <c r="P267" s="13"/>
      <c r="Q267" s="13"/>
      <c r="R267" s="13"/>
      <c r="S267" s="14">
        <f t="shared" si="49"/>
        <v>0</v>
      </c>
      <c r="T267" s="14">
        <f t="shared" si="50"/>
        <v>0</v>
      </c>
      <c r="U267" s="14">
        <f t="shared" si="51"/>
        <v>0</v>
      </c>
      <c r="V267" s="14">
        <f t="shared" si="52"/>
        <v>0</v>
      </c>
      <c r="W267" s="14">
        <f t="shared" si="54"/>
        <v>1</v>
      </c>
      <c r="X267" s="15">
        <f t="shared" si="53"/>
        <v>0</v>
      </c>
      <c r="Y267" s="16" t="s">
        <v>1061</v>
      </c>
    </row>
    <row r="268" spans="1:25" ht="30" customHeight="1">
      <c r="A268" s="11">
        <v>266</v>
      </c>
      <c r="B268" s="46" t="s">
        <v>511</v>
      </c>
      <c r="C268" s="46" t="s">
        <v>849</v>
      </c>
      <c r="D268" s="12"/>
      <c r="E268" s="13"/>
      <c r="F268" s="13"/>
      <c r="G268" s="13"/>
      <c r="H268" s="13"/>
      <c r="I268" s="13"/>
      <c r="J268" s="13"/>
      <c r="K268" s="13"/>
      <c r="L268" s="13"/>
      <c r="M268" s="13"/>
      <c r="N268" s="13"/>
      <c r="O268" s="13"/>
      <c r="P268" s="13"/>
      <c r="Q268" s="13"/>
      <c r="R268" s="13"/>
      <c r="S268" s="14">
        <f t="shared" si="49"/>
        <v>0</v>
      </c>
      <c r="T268" s="14">
        <f t="shared" si="50"/>
        <v>0</v>
      </c>
      <c r="U268" s="14">
        <f t="shared" si="51"/>
        <v>0</v>
      </c>
      <c r="V268" s="14">
        <f t="shared" si="52"/>
        <v>0</v>
      </c>
      <c r="W268" s="14">
        <f t="shared" si="54"/>
        <v>1</v>
      </c>
      <c r="X268" s="15">
        <f t="shared" si="53"/>
        <v>0</v>
      </c>
      <c r="Y268" s="16"/>
    </row>
    <row r="269" spans="1:25" ht="30" customHeight="1">
      <c r="A269" s="11">
        <v>267</v>
      </c>
      <c r="B269" s="46" t="s">
        <v>512</v>
      </c>
      <c r="C269" s="46" t="s">
        <v>850</v>
      </c>
      <c r="D269" s="12"/>
      <c r="E269" s="13"/>
      <c r="F269" s="13"/>
      <c r="G269" s="13"/>
      <c r="H269" s="13"/>
      <c r="I269" s="13"/>
      <c r="J269" s="13"/>
      <c r="K269" s="13"/>
      <c r="L269" s="13"/>
      <c r="M269" s="13"/>
      <c r="N269" s="13"/>
      <c r="O269" s="13"/>
      <c r="P269" s="13"/>
      <c r="Q269" s="13"/>
      <c r="R269" s="13"/>
      <c r="S269" s="14">
        <f t="shared" si="49"/>
        <v>0</v>
      </c>
      <c r="T269" s="14">
        <f t="shared" si="50"/>
        <v>0</v>
      </c>
      <c r="U269" s="14">
        <f t="shared" si="51"/>
        <v>0</v>
      </c>
      <c r="V269" s="14">
        <f t="shared" si="52"/>
        <v>0</v>
      </c>
      <c r="W269" s="14">
        <f t="shared" si="54"/>
        <v>1</v>
      </c>
      <c r="X269" s="15">
        <f t="shared" si="53"/>
        <v>0</v>
      </c>
      <c r="Y269" s="16" t="s">
        <v>1021</v>
      </c>
    </row>
    <row r="270" spans="1:25" ht="30" customHeight="1">
      <c r="A270" s="11">
        <v>268</v>
      </c>
      <c r="B270" s="46" t="s">
        <v>513</v>
      </c>
      <c r="C270" s="46" t="s">
        <v>851</v>
      </c>
      <c r="D270" s="12"/>
      <c r="E270" s="13"/>
      <c r="F270" s="13"/>
      <c r="G270" s="13"/>
      <c r="H270" s="13"/>
      <c r="I270" s="13"/>
      <c r="J270" s="13"/>
      <c r="K270" s="13"/>
      <c r="L270" s="13"/>
      <c r="M270" s="13"/>
      <c r="N270" s="13"/>
      <c r="O270" s="13"/>
      <c r="P270" s="13"/>
      <c r="Q270" s="13"/>
      <c r="R270" s="13"/>
      <c r="S270" s="14">
        <f t="shared" si="49"/>
        <v>0</v>
      </c>
      <c r="T270" s="14">
        <f t="shared" si="50"/>
        <v>0</v>
      </c>
      <c r="U270" s="14">
        <f t="shared" si="51"/>
        <v>0</v>
      </c>
      <c r="V270" s="14">
        <f t="shared" si="52"/>
        <v>0</v>
      </c>
      <c r="W270" s="14">
        <f t="shared" si="54"/>
        <v>1</v>
      </c>
      <c r="X270" s="15">
        <f t="shared" si="53"/>
        <v>0</v>
      </c>
      <c r="Y270" s="16" t="s">
        <v>1062</v>
      </c>
    </row>
    <row r="271" spans="1:25" ht="30" customHeight="1">
      <c r="A271" s="11">
        <v>269</v>
      </c>
      <c r="B271" s="46" t="s">
        <v>514</v>
      </c>
      <c r="C271" s="46" t="s">
        <v>852</v>
      </c>
      <c r="D271" s="12"/>
      <c r="E271" s="13"/>
      <c r="F271" s="13"/>
      <c r="G271" s="13"/>
      <c r="H271" s="13"/>
      <c r="I271" s="13"/>
      <c r="J271" s="13"/>
      <c r="K271" s="13"/>
      <c r="L271" s="13"/>
      <c r="M271" s="13"/>
      <c r="N271" s="13"/>
      <c r="O271" s="13"/>
      <c r="P271" s="13"/>
      <c r="Q271" s="13"/>
      <c r="R271" s="13"/>
      <c r="S271" s="14">
        <f t="shared" si="49"/>
        <v>0</v>
      </c>
      <c r="T271" s="14">
        <f t="shared" si="50"/>
        <v>0</v>
      </c>
      <c r="U271" s="14">
        <f t="shared" si="51"/>
        <v>0</v>
      </c>
      <c r="V271" s="14">
        <f t="shared" si="52"/>
        <v>0</v>
      </c>
      <c r="W271" s="14">
        <f t="shared" si="54"/>
        <v>1</v>
      </c>
      <c r="X271" s="15">
        <f t="shared" si="53"/>
        <v>0</v>
      </c>
      <c r="Y271" s="16" t="s">
        <v>1063</v>
      </c>
    </row>
    <row r="272" spans="1:25" ht="30" customHeight="1">
      <c r="A272" s="11">
        <v>270</v>
      </c>
      <c r="B272" s="46" t="s">
        <v>515</v>
      </c>
      <c r="C272" s="46" t="s">
        <v>853</v>
      </c>
      <c r="D272" s="12"/>
      <c r="E272" s="13"/>
      <c r="F272" s="13"/>
      <c r="G272" s="13"/>
      <c r="H272" s="13"/>
      <c r="I272" s="13"/>
      <c r="J272" s="13"/>
      <c r="K272" s="13"/>
      <c r="L272" s="13"/>
      <c r="M272" s="13"/>
      <c r="N272" s="13"/>
      <c r="O272" s="13"/>
      <c r="P272" s="13"/>
      <c r="Q272" s="13"/>
      <c r="R272" s="13"/>
      <c r="S272" s="14">
        <f t="shared" si="49"/>
        <v>0</v>
      </c>
      <c r="T272" s="14">
        <f t="shared" si="50"/>
        <v>0</v>
      </c>
      <c r="U272" s="14">
        <f t="shared" si="51"/>
        <v>0</v>
      </c>
      <c r="V272" s="14">
        <f t="shared" si="52"/>
        <v>0</v>
      </c>
      <c r="W272" s="14">
        <f t="shared" si="54"/>
        <v>1</v>
      </c>
      <c r="X272" s="15">
        <f t="shared" si="53"/>
        <v>0</v>
      </c>
      <c r="Y272" s="16" t="s">
        <v>1064</v>
      </c>
    </row>
    <row r="273" spans="1:25" ht="30" customHeight="1">
      <c r="A273" s="11">
        <v>271</v>
      </c>
      <c r="B273" s="46" t="s">
        <v>516</v>
      </c>
      <c r="C273" s="46" t="s">
        <v>854</v>
      </c>
      <c r="D273" s="12"/>
      <c r="E273" s="13"/>
      <c r="F273" s="13"/>
      <c r="G273" s="13"/>
      <c r="H273" s="13"/>
      <c r="I273" s="13"/>
      <c r="J273" s="13"/>
      <c r="K273" s="13"/>
      <c r="L273" s="13"/>
      <c r="M273" s="13"/>
      <c r="N273" s="13"/>
      <c r="O273" s="13"/>
      <c r="P273" s="13"/>
      <c r="Q273" s="13"/>
      <c r="R273" s="13"/>
      <c r="S273" s="14">
        <f t="shared" si="49"/>
        <v>0</v>
      </c>
      <c r="T273" s="14">
        <f t="shared" si="50"/>
        <v>0</v>
      </c>
      <c r="U273" s="14">
        <f t="shared" si="51"/>
        <v>0</v>
      </c>
      <c r="V273" s="14">
        <f t="shared" si="52"/>
        <v>0</v>
      </c>
      <c r="W273" s="14">
        <f t="shared" si="54"/>
        <v>1</v>
      </c>
      <c r="X273" s="15">
        <f t="shared" si="53"/>
        <v>0</v>
      </c>
      <c r="Y273" s="16" t="s">
        <v>1065</v>
      </c>
    </row>
    <row r="274" spans="1:25" ht="30" customHeight="1">
      <c r="A274" s="11">
        <v>272</v>
      </c>
      <c r="B274" s="46" t="s">
        <v>517</v>
      </c>
      <c r="C274" s="46" t="s">
        <v>855</v>
      </c>
      <c r="D274" s="12"/>
      <c r="E274" s="13"/>
      <c r="F274" s="13"/>
      <c r="G274" s="13"/>
      <c r="H274" s="13"/>
      <c r="I274" s="13"/>
      <c r="J274" s="13"/>
      <c r="K274" s="13"/>
      <c r="L274" s="13"/>
      <c r="M274" s="13"/>
      <c r="N274" s="13"/>
      <c r="O274" s="13"/>
      <c r="P274" s="13"/>
      <c r="Q274" s="13"/>
      <c r="R274" s="13"/>
      <c r="S274" s="14">
        <f t="shared" si="49"/>
        <v>0</v>
      </c>
      <c r="T274" s="14">
        <f t="shared" si="50"/>
        <v>0</v>
      </c>
      <c r="U274" s="14">
        <f t="shared" si="51"/>
        <v>0</v>
      </c>
      <c r="V274" s="14">
        <f t="shared" si="52"/>
        <v>0</v>
      </c>
      <c r="W274" s="14">
        <f t="shared" si="54"/>
        <v>1</v>
      </c>
      <c r="X274" s="15">
        <f t="shared" si="53"/>
        <v>0</v>
      </c>
      <c r="Y274" s="16"/>
    </row>
    <row r="275" spans="1:25" ht="30" customHeight="1">
      <c r="A275" s="11">
        <v>273</v>
      </c>
      <c r="B275" s="46" t="s">
        <v>518</v>
      </c>
      <c r="C275" s="46" t="s">
        <v>856</v>
      </c>
      <c r="D275" s="12"/>
      <c r="E275" s="13"/>
      <c r="F275" s="13"/>
      <c r="G275" s="13"/>
      <c r="H275" s="13"/>
      <c r="I275" s="13"/>
      <c r="J275" s="13"/>
      <c r="K275" s="13"/>
      <c r="L275" s="13"/>
      <c r="M275" s="13"/>
      <c r="N275" s="13"/>
      <c r="O275" s="13"/>
      <c r="P275" s="13"/>
      <c r="Q275" s="13"/>
      <c r="R275" s="13"/>
      <c r="S275" s="14">
        <f t="shared" si="49"/>
        <v>0</v>
      </c>
      <c r="T275" s="14">
        <f t="shared" si="50"/>
        <v>0</v>
      </c>
      <c r="U275" s="14">
        <f t="shared" si="51"/>
        <v>0</v>
      </c>
      <c r="V275" s="14">
        <f t="shared" si="52"/>
        <v>0</v>
      </c>
      <c r="W275" s="14">
        <f t="shared" si="54"/>
        <v>1</v>
      </c>
      <c r="X275" s="15">
        <f t="shared" si="53"/>
        <v>0</v>
      </c>
      <c r="Y275" s="16"/>
    </row>
    <row r="276" spans="1:25" ht="30" customHeight="1">
      <c r="A276" s="11">
        <v>274</v>
      </c>
      <c r="B276" s="46" t="s">
        <v>519</v>
      </c>
      <c r="C276" s="46" t="s">
        <v>857</v>
      </c>
      <c r="D276" s="12"/>
      <c r="E276" s="13"/>
      <c r="F276" s="13"/>
      <c r="G276" s="13"/>
      <c r="H276" s="13"/>
      <c r="I276" s="13"/>
      <c r="J276" s="13"/>
      <c r="K276" s="13"/>
      <c r="L276" s="13"/>
      <c r="M276" s="13"/>
      <c r="N276" s="13"/>
      <c r="O276" s="13"/>
      <c r="P276" s="13"/>
      <c r="Q276" s="13"/>
      <c r="R276" s="13"/>
      <c r="S276" s="14">
        <f t="shared" si="49"/>
        <v>0</v>
      </c>
      <c r="T276" s="14">
        <f t="shared" si="50"/>
        <v>0</v>
      </c>
      <c r="U276" s="14">
        <f t="shared" si="51"/>
        <v>0</v>
      </c>
      <c r="V276" s="14">
        <f t="shared" si="52"/>
        <v>0</v>
      </c>
      <c r="W276" s="14">
        <f t="shared" si="54"/>
        <v>1</v>
      </c>
      <c r="X276" s="15">
        <f t="shared" si="53"/>
        <v>0</v>
      </c>
      <c r="Y276" s="16" t="s">
        <v>1066</v>
      </c>
    </row>
    <row r="277" spans="1:25" ht="30" customHeight="1">
      <c r="A277" s="11">
        <v>275</v>
      </c>
      <c r="B277" s="46" t="s">
        <v>520</v>
      </c>
      <c r="C277" s="46" t="s">
        <v>858</v>
      </c>
      <c r="D277" s="12"/>
      <c r="E277" s="13"/>
      <c r="F277" s="13"/>
      <c r="G277" s="13"/>
      <c r="H277" s="13"/>
      <c r="I277" s="13"/>
      <c r="J277" s="13"/>
      <c r="K277" s="13"/>
      <c r="L277" s="13"/>
      <c r="M277" s="13"/>
      <c r="N277" s="13"/>
      <c r="O277" s="13"/>
      <c r="P277" s="13"/>
      <c r="Q277" s="13"/>
      <c r="R277" s="13"/>
      <c r="S277" s="14">
        <f t="shared" si="49"/>
        <v>0</v>
      </c>
      <c r="T277" s="14">
        <f t="shared" si="50"/>
        <v>0</v>
      </c>
      <c r="U277" s="14">
        <f t="shared" si="51"/>
        <v>0</v>
      </c>
      <c r="V277" s="14">
        <f t="shared" si="52"/>
        <v>0</v>
      </c>
      <c r="W277" s="14">
        <f t="shared" si="54"/>
        <v>1</v>
      </c>
      <c r="X277" s="15">
        <f t="shared" si="53"/>
        <v>0</v>
      </c>
      <c r="Y277" s="16"/>
    </row>
    <row r="278" spans="1:25" ht="30" customHeight="1">
      <c r="A278" s="11">
        <v>276</v>
      </c>
      <c r="B278" s="46" t="s">
        <v>521</v>
      </c>
      <c r="C278" s="46" t="s">
        <v>859</v>
      </c>
      <c r="D278" s="12"/>
      <c r="E278" s="13"/>
      <c r="F278" s="13"/>
      <c r="G278" s="13"/>
      <c r="H278" s="13"/>
      <c r="I278" s="13"/>
      <c r="J278" s="13"/>
      <c r="K278" s="13"/>
      <c r="L278" s="13"/>
      <c r="M278" s="13"/>
      <c r="N278" s="13"/>
      <c r="O278" s="13"/>
      <c r="P278" s="13"/>
      <c r="Q278" s="13"/>
      <c r="R278" s="13"/>
      <c r="S278" s="14">
        <f t="shared" si="49"/>
        <v>0</v>
      </c>
      <c r="T278" s="14">
        <f t="shared" si="50"/>
        <v>0</v>
      </c>
      <c r="U278" s="14">
        <f t="shared" si="51"/>
        <v>0</v>
      </c>
      <c r="V278" s="14">
        <f t="shared" si="52"/>
        <v>0</v>
      </c>
      <c r="W278" s="14">
        <f t="shared" si="54"/>
        <v>1</v>
      </c>
      <c r="X278" s="15">
        <f t="shared" si="53"/>
        <v>0</v>
      </c>
      <c r="Y278" s="16" t="s">
        <v>1067</v>
      </c>
    </row>
    <row r="279" spans="1:25" ht="30" customHeight="1">
      <c r="A279" s="11">
        <v>277</v>
      </c>
      <c r="B279" s="46" t="s">
        <v>522</v>
      </c>
      <c r="C279" s="46" t="s">
        <v>860</v>
      </c>
      <c r="D279" s="12"/>
      <c r="E279" s="13"/>
      <c r="F279" s="13"/>
      <c r="G279" s="13"/>
      <c r="H279" s="13"/>
      <c r="I279" s="13"/>
      <c r="J279" s="13"/>
      <c r="K279" s="13"/>
      <c r="L279" s="13"/>
      <c r="M279" s="13"/>
      <c r="N279" s="13"/>
      <c r="O279" s="13"/>
      <c r="P279" s="13"/>
      <c r="Q279" s="13"/>
      <c r="R279" s="13"/>
      <c r="S279" s="14">
        <f t="shared" si="49"/>
        <v>0</v>
      </c>
      <c r="T279" s="14">
        <f t="shared" si="50"/>
        <v>0</v>
      </c>
      <c r="U279" s="14">
        <f t="shared" si="51"/>
        <v>0</v>
      </c>
      <c r="V279" s="14">
        <f t="shared" si="52"/>
        <v>0</v>
      </c>
      <c r="W279" s="14">
        <f t="shared" si="54"/>
        <v>1</v>
      </c>
      <c r="X279" s="15">
        <f t="shared" si="53"/>
        <v>0</v>
      </c>
      <c r="Y279" s="16" t="s">
        <v>935</v>
      </c>
    </row>
    <row r="280" spans="1:25" ht="30" customHeight="1">
      <c r="A280" s="11">
        <v>278</v>
      </c>
      <c r="B280" s="46" t="s">
        <v>523</v>
      </c>
      <c r="C280" s="46" t="s">
        <v>861</v>
      </c>
      <c r="D280" s="12"/>
      <c r="E280" s="13"/>
      <c r="F280" s="13"/>
      <c r="G280" s="13"/>
      <c r="H280" s="13"/>
      <c r="I280" s="13"/>
      <c r="J280" s="13"/>
      <c r="K280" s="13"/>
      <c r="L280" s="13"/>
      <c r="M280" s="13"/>
      <c r="N280" s="13"/>
      <c r="O280" s="13"/>
      <c r="P280" s="13"/>
      <c r="Q280" s="13"/>
      <c r="R280" s="13"/>
      <c r="S280" s="14">
        <f t="shared" si="49"/>
        <v>0</v>
      </c>
      <c r="T280" s="14">
        <f t="shared" si="50"/>
        <v>0</v>
      </c>
      <c r="U280" s="14">
        <f t="shared" si="51"/>
        <v>0</v>
      </c>
      <c r="V280" s="14">
        <f t="shared" si="52"/>
        <v>0</v>
      </c>
      <c r="W280" s="14">
        <f t="shared" si="54"/>
        <v>1</v>
      </c>
      <c r="X280" s="15">
        <f t="shared" si="53"/>
        <v>0</v>
      </c>
      <c r="Y280" s="16" t="s">
        <v>1068</v>
      </c>
    </row>
    <row r="281" spans="1:25" ht="30" customHeight="1">
      <c r="A281" s="11">
        <v>279</v>
      </c>
      <c r="B281" s="46" t="s">
        <v>524</v>
      </c>
      <c r="C281" s="46" t="s">
        <v>862</v>
      </c>
      <c r="D281" s="12"/>
      <c r="E281" s="13"/>
      <c r="F281" s="13"/>
      <c r="G281" s="13"/>
      <c r="H281" s="13"/>
      <c r="I281" s="13"/>
      <c r="J281" s="13"/>
      <c r="K281" s="13"/>
      <c r="L281" s="13"/>
      <c r="M281" s="13"/>
      <c r="N281" s="13"/>
      <c r="O281" s="13"/>
      <c r="P281" s="13"/>
      <c r="Q281" s="13"/>
      <c r="R281" s="13"/>
      <c r="S281" s="14">
        <f t="shared" si="49"/>
        <v>0</v>
      </c>
      <c r="T281" s="14">
        <f t="shared" si="50"/>
        <v>0</v>
      </c>
      <c r="U281" s="14">
        <f t="shared" si="51"/>
        <v>0</v>
      </c>
      <c r="V281" s="14">
        <f t="shared" si="52"/>
        <v>0</v>
      </c>
      <c r="W281" s="14">
        <f t="shared" si="54"/>
        <v>1</v>
      </c>
      <c r="X281" s="15">
        <f t="shared" si="53"/>
        <v>0</v>
      </c>
      <c r="Y281" s="16"/>
    </row>
    <row r="282" spans="1:25" ht="30" customHeight="1">
      <c r="A282" s="11">
        <v>280</v>
      </c>
      <c r="B282" s="46" t="s">
        <v>525</v>
      </c>
      <c r="C282" s="46" t="s">
        <v>863</v>
      </c>
      <c r="D282" s="12"/>
      <c r="E282" s="13"/>
      <c r="F282" s="13"/>
      <c r="G282" s="13"/>
      <c r="H282" s="13"/>
      <c r="I282" s="13"/>
      <c r="J282" s="13"/>
      <c r="K282" s="13"/>
      <c r="L282" s="13"/>
      <c r="M282" s="13"/>
      <c r="N282" s="13"/>
      <c r="O282" s="13"/>
      <c r="P282" s="13"/>
      <c r="Q282" s="13"/>
      <c r="R282" s="13"/>
      <c r="S282" s="14">
        <f t="shared" si="49"/>
        <v>0</v>
      </c>
      <c r="T282" s="14">
        <f t="shared" si="50"/>
        <v>0</v>
      </c>
      <c r="U282" s="14">
        <f t="shared" si="51"/>
        <v>0</v>
      </c>
      <c r="V282" s="14">
        <f t="shared" si="52"/>
        <v>0</v>
      </c>
      <c r="W282" s="14">
        <f t="shared" si="54"/>
        <v>1</v>
      </c>
      <c r="X282" s="15">
        <f t="shared" si="53"/>
        <v>0</v>
      </c>
      <c r="Y282" s="16" t="s">
        <v>1069</v>
      </c>
    </row>
    <row r="283" spans="1:25" ht="30" customHeight="1">
      <c r="A283" s="11">
        <v>281</v>
      </c>
      <c r="B283" s="46" t="s">
        <v>528</v>
      </c>
      <c r="C283" s="46" t="s">
        <v>864</v>
      </c>
      <c r="D283" s="12"/>
      <c r="E283" s="13"/>
      <c r="F283" s="13"/>
      <c r="G283" s="13"/>
      <c r="H283" s="13"/>
      <c r="I283" s="13"/>
      <c r="J283" s="13"/>
      <c r="K283" s="13"/>
      <c r="L283" s="13"/>
      <c r="M283" s="13"/>
      <c r="N283" s="13"/>
      <c r="O283" s="13"/>
      <c r="P283" s="13"/>
      <c r="Q283" s="13"/>
      <c r="R283" s="13"/>
      <c r="S283" s="14">
        <f t="shared" si="49"/>
        <v>0</v>
      </c>
      <c r="T283" s="14">
        <f t="shared" si="50"/>
        <v>0</v>
      </c>
      <c r="U283" s="14">
        <f t="shared" si="51"/>
        <v>0</v>
      </c>
      <c r="V283" s="14">
        <f t="shared" si="52"/>
        <v>0</v>
      </c>
      <c r="W283" s="14">
        <f t="shared" si="54"/>
        <v>1</v>
      </c>
      <c r="X283" s="15">
        <f t="shared" si="53"/>
        <v>0</v>
      </c>
      <c r="Y283" s="16" t="s">
        <v>1032</v>
      </c>
    </row>
    <row r="284" spans="1:25" ht="30" customHeight="1">
      <c r="A284" s="11">
        <v>282</v>
      </c>
      <c r="B284" s="46" t="s">
        <v>526</v>
      </c>
      <c r="C284" s="46" t="s">
        <v>865</v>
      </c>
      <c r="D284" s="12"/>
      <c r="E284" s="13"/>
      <c r="F284" s="13"/>
      <c r="G284" s="13"/>
      <c r="H284" s="13"/>
      <c r="I284" s="13"/>
      <c r="J284" s="13"/>
      <c r="K284" s="13"/>
      <c r="L284" s="13"/>
      <c r="M284" s="13"/>
      <c r="N284" s="13"/>
      <c r="O284" s="13"/>
      <c r="P284" s="13"/>
      <c r="Q284" s="13"/>
      <c r="R284" s="13"/>
      <c r="S284" s="14">
        <f t="shared" si="49"/>
        <v>0</v>
      </c>
      <c r="T284" s="14">
        <f t="shared" si="50"/>
        <v>0</v>
      </c>
      <c r="U284" s="14">
        <f t="shared" si="51"/>
        <v>0</v>
      </c>
      <c r="V284" s="14">
        <f t="shared" si="52"/>
        <v>0</v>
      </c>
      <c r="W284" s="14">
        <f t="shared" si="54"/>
        <v>1</v>
      </c>
      <c r="X284" s="15">
        <f t="shared" si="53"/>
        <v>0</v>
      </c>
      <c r="Y284" s="16" t="s">
        <v>1070</v>
      </c>
    </row>
    <row r="285" spans="1:25" ht="30" customHeight="1">
      <c r="A285" s="11">
        <v>283</v>
      </c>
      <c r="B285" s="46" t="s">
        <v>527</v>
      </c>
      <c r="C285" s="46" t="s">
        <v>866</v>
      </c>
      <c r="D285" s="12"/>
      <c r="E285" s="13"/>
      <c r="F285" s="13"/>
      <c r="G285" s="13"/>
      <c r="H285" s="13"/>
      <c r="I285" s="13"/>
      <c r="J285" s="13"/>
      <c r="K285" s="13"/>
      <c r="L285" s="13"/>
      <c r="M285" s="13"/>
      <c r="N285" s="13"/>
      <c r="O285" s="13"/>
      <c r="P285" s="13"/>
      <c r="Q285" s="13"/>
      <c r="R285" s="13"/>
      <c r="S285" s="14">
        <f t="shared" si="49"/>
        <v>0</v>
      </c>
      <c r="T285" s="14">
        <f t="shared" si="50"/>
        <v>0</v>
      </c>
      <c r="U285" s="14">
        <f t="shared" si="51"/>
        <v>0</v>
      </c>
      <c r="V285" s="14">
        <f t="shared" si="52"/>
        <v>0</v>
      </c>
      <c r="W285" s="14">
        <f t="shared" si="54"/>
        <v>1</v>
      </c>
      <c r="X285" s="15">
        <f t="shared" si="53"/>
        <v>0</v>
      </c>
      <c r="Y285" s="16" t="s">
        <v>1064</v>
      </c>
    </row>
    <row r="286" spans="1:25" ht="30" customHeight="1">
      <c r="A286" s="11">
        <v>284</v>
      </c>
      <c r="B286" s="46" t="s">
        <v>529</v>
      </c>
      <c r="C286" s="46" t="s">
        <v>867</v>
      </c>
      <c r="D286" s="12"/>
      <c r="E286" s="13"/>
      <c r="F286" s="13"/>
      <c r="G286" s="13"/>
      <c r="H286" s="13"/>
      <c r="I286" s="13"/>
      <c r="J286" s="13"/>
      <c r="K286" s="13"/>
      <c r="L286" s="13"/>
      <c r="M286" s="13"/>
      <c r="N286" s="13"/>
      <c r="O286" s="13"/>
      <c r="P286" s="13"/>
      <c r="Q286" s="13"/>
      <c r="R286" s="13"/>
      <c r="S286" s="14">
        <f t="shared" si="49"/>
        <v>0</v>
      </c>
      <c r="T286" s="14">
        <f t="shared" si="50"/>
        <v>0</v>
      </c>
      <c r="U286" s="14">
        <f t="shared" si="51"/>
        <v>0</v>
      </c>
      <c r="V286" s="14">
        <f t="shared" si="52"/>
        <v>0</v>
      </c>
      <c r="W286" s="14">
        <f t="shared" si="54"/>
        <v>1</v>
      </c>
      <c r="X286" s="15">
        <f t="shared" si="53"/>
        <v>0</v>
      </c>
      <c r="Y286" s="16" t="s">
        <v>1071</v>
      </c>
    </row>
    <row r="287" spans="1:25" ht="30" customHeight="1">
      <c r="A287" s="11">
        <v>285</v>
      </c>
      <c r="B287" s="46" t="s">
        <v>530</v>
      </c>
      <c r="C287" s="46" t="s">
        <v>868</v>
      </c>
      <c r="D287" s="12"/>
      <c r="E287" s="13"/>
      <c r="F287" s="13"/>
      <c r="G287" s="13"/>
      <c r="H287" s="13"/>
      <c r="I287" s="13"/>
      <c r="J287" s="13"/>
      <c r="K287" s="13"/>
      <c r="L287" s="13"/>
      <c r="M287" s="13"/>
      <c r="N287" s="13"/>
      <c r="O287" s="13"/>
      <c r="P287" s="13"/>
      <c r="Q287" s="13"/>
      <c r="R287" s="13"/>
      <c r="S287" s="14">
        <f t="shared" si="49"/>
        <v>0</v>
      </c>
      <c r="T287" s="14">
        <f t="shared" si="50"/>
        <v>0</v>
      </c>
      <c r="U287" s="14">
        <f t="shared" si="51"/>
        <v>0</v>
      </c>
      <c r="V287" s="14">
        <f t="shared" si="52"/>
        <v>0</v>
      </c>
      <c r="W287" s="14">
        <f t="shared" si="54"/>
        <v>1</v>
      </c>
      <c r="X287" s="15">
        <f t="shared" si="53"/>
        <v>0</v>
      </c>
      <c r="Y287" s="16"/>
    </row>
    <row r="288" spans="1:25" ht="30" customHeight="1">
      <c r="A288" s="11">
        <v>286</v>
      </c>
      <c r="B288" s="46" t="s">
        <v>531</v>
      </c>
      <c r="C288" s="46" t="s">
        <v>869</v>
      </c>
      <c r="D288" s="12"/>
      <c r="E288" s="13"/>
      <c r="F288" s="13"/>
      <c r="G288" s="13"/>
      <c r="H288" s="13"/>
      <c r="I288" s="13"/>
      <c r="J288" s="13"/>
      <c r="K288" s="13"/>
      <c r="L288" s="13"/>
      <c r="M288" s="13"/>
      <c r="N288" s="13"/>
      <c r="O288" s="13"/>
      <c r="P288" s="13"/>
      <c r="Q288" s="13"/>
      <c r="R288" s="13"/>
      <c r="S288" s="14">
        <f t="shared" si="49"/>
        <v>0</v>
      </c>
      <c r="T288" s="14">
        <f t="shared" si="50"/>
        <v>0</v>
      </c>
      <c r="U288" s="14">
        <f t="shared" si="51"/>
        <v>0</v>
      </c>
      <c r="V288" s="14">
        <f t="shared" si="52"/>
        <v>0</v>
      </c>
      <c r="W288" s="14">
        <f t="shared" si="54"/>
        <v>1</v>
      </c>
      <c r="X288" s="15">
        <f t="shared" si="53"/>
        <v>0</v>
      </c>
      <c r="Y288" s="16" t="s">
        <v>1072</v>
      </c>
    </row>
    <row r="289" spans="1:25" ht="52.8">
      <c r="A289" s="11">
        <v>287</v>
      </c>
      <c r="B289" s="46" t="s">
        <v>532</v>
      </c>
      <c r="C289" s="46" t="s">
        <v>870</v>
      </c>
      <c r="D289" s="12"/>
      <c r="E289" s="13"/>
      <c r="F289" s="13"/>
      <c r="G289" s="13"/>
      <c r="H289" s="13"/>
      <c r="I289" s="13"/>
      <c r="J289" s="13"/>
      <c r="K289" s="13"/>
      <c r="L289" s="13"/>
      <c r="M289" s="13"/>
      <c r="N289" s="13"/>
      <c r="O289" s="13"/>
      <c r="P289" s="13"/>
      <c r="Q289" s="13"/>
      <c r="R289" s="13"/>
      <c r="S289" s="14">
        <f t="shared" si="49"/>
        <v>0</v>
      </c>
      <c r="T289" s="14">
        <f t="shared" si="50"/>
        <v>0</v>
      </c>
      <c r="U289" s="14">
        <f t="shared" si="51"/>
        <v>0</v>
      </c>
      <c r="V289" s="14">
        <f t="shared" si="52"/>
        <v>0</v>
      </c>
      <c r="W289" s="14">
        <f t="shared" si="54"/>
        <v>1</v>
      </c>
      <c r="X289" s="15">
        <f t="shared" si="53"/>
        <v>0</v>
      </c>
      <c r="Y289" s="16" t="s">
        <v>1073</v>
      </c>
    </row>
    <row r="290" spans="1:25" ht="30" customHeight="1">
      <c r="A290" s="11">
        <v>288</v>
      </c>
      <c r="B290" s="46" t="s">
        <v>533</v>
      </c>
      <c r="C290" s="46" t="s">
        <v>871</v>
      </c>
      <c r="D290" s="12"/>
      <c r="E290" s="13"/>
      <c r="F290" s="13"/>
      <c r="G290" s="13"/>
      <c r="H290" s="13"/>
      <c r="I290" s="13"/>
      <c r="J290" s="13"/>
      <c r="K290" s="13"/>
      <c r="L290" s="13"/>
      <c r="M290" s="13"/>
      <c r="N290" s="13"/>
      <c r="O290" s="13"/>
      <c r="P290" s="13"/>
      <c r="Q290" s="13"/>
      <c r="R290" s="13"/>
      <c r="S290" s="14">
        <f t="shared" ref="S290:S349" si="55">IF(SUM(E290:R290)&gt;0,1,0)</f>
        <v>0</v>
      </c>
      <c r="T290" s="14">
        <f t="shared" ref="T290:T349" si="56">IF(MAX(G290,H290,I290,J290,K290,M290,N290)&gt;0,1,0)</f>
        <v>0</v>
      </c>
      <c r="U290" s="14">
        <f t="shared" ref="U290:U349" si="57">IF(MAX(E290,F290,L290,O290,Q290)&gt;0,1,0)</f>
        <v>0</v>
      </c>
      <c r="V290" s="14">
        <f t="shared" ref="V290:V349" si="58">IF(P290&gt;0,1,0)</f>
        <v>0</v>
      </c>
      <c r="W290" s="14">
        <f t="shared" si="54"/>
        <v>1</v>
      </c>
      <c r="X290" s="15">
        <f t="shared" ref="X290:X349" si="59">SUMPRODUCT((E290:R290=1)*0.3)+SUMPRODUCT((E290:R290=2)*0.7)+SUMPRODUCT((E290:R290=3)*1.5)</f>
        <v>0</v>
      </c>
      <c r="Y290" s="16"/>
    </row>
    <row r="291" spans="1:25" ht="30" customHeight="1">
      <c r="A291" s="11">
        <v>289</v>
      </c>
      <c r="B291" s="46" t="s">
        <v>534</v>
      </c>
      <c r="C291" s="46" t="s">
        <v>872</v>
      </c>
      <c r="D291" s="12"/>
      <c r="E291" s="13"/>
      <c r="F291" s="13"/>
      <c r="G291" s="13"/>
      <c r="H291" s="13"/>
      <c r="I291" s="13"/>
      <c r="J291" s="13"/>
      <c r="K291" s="13"/>
      <c r="L291" s="13"/>
      <c r="M291" s="13"/>
      <c r="N291" s="13"/>
      <c r="O291" s="13"/>
      <c r="P291" s="13"/>
      <c r="Q291" s="13"/>
      <c r="R291" s="13"/>
      <c r="S291" s="14">
        <f t="shared" si="55"/>
        <v>0</v>
      </c>
      <c r="T291" s="14">
        <f t="shared" si="56"/>
        <v>0</v>
      </c>
      <c r="U291" s="14">
        <f t="shared" si="57"/>
        <v>0</v>
      </c>
      <c r="V291" s="14">
        <f t="shared" si="58"/>
        <v>0</v>
      </c>
      <c r="W291" s="14">
        <f t="shared" si="54"/>
        <v>1</v>
      </c>
      <c r="X291" s="15">
        <f t="shared" si="59"/>
        <v>0</v>
      </c>
      <c r="Y291" s="16"/>
    </row>
    <row r="292" spans="1:25" ht="40.049999999999997" customHeight="1">
      <c r="A292" s="11">
        <v>290</v>
      </c>
      <c r="B292" s="46" t="s">
        <v>535</v>
      </c>
      <c r="C292" s="46" t="s">
        <v>873</v>
      </c>
      <c r="D292" s="12"/>
      <c r="E292" s="13"/>
      <c r="F292" s="13"/>
      <c r="G292" s="13"/>
      <c r="H292" s="13"/>
      <c r="I292" s="13"/>
      <c r="J292" s="13"/>
      <c r="K292" s="13"/>
      <c r="L292" s="13"/>
      <c r="M292" s="13"/>
      <c r="N292" s="13"/>
      <c r="O292" s="13"/>
      <c r="P292" s="13"/>
      <c r="Q292" s="13"/>
      <c r="R292" s="13"/>
      <c r="S292" s="14">
        <f t="shared" si="55"/>
        <v>0</v>
      </c>
      <c r="T292" s="14">
        <f t="shared" si="56"/>
        <v>0</v>
      </c>
      <c r="U292" s="14">
        <f t="shared" si="57"/>
        <v>0</v>
      </c>
      <c r="V292" s="14">
        <f t="shared" si="58"/>
        <v>0</v>
      </c>
      <c r="W292" s="14">
        <f t="shared" si="54"/>
        <v>1</v>
      </c>
      <c r="X292" s="15">
        <f t="shared" si="59"/>
        <v>0</v>
      </c>
      <c r="Y292" s="16" t="s">
        <v>1074</v>
      </c>
    </row>
    <row r="293" spans="1:25" ht="30" customHeight="1">
      <c r="A293" s="11">
        <v>291</v>
      </c>
      <c r="B293" s="46" t="s">
        <v>536</v>
      </c>
      <c r="C293" s="46" t="s">
        <v>874</v>
      </c>
      <c r="D293" s="12"/>
      <c r="E293" s="13"/>
      <c r="F293" s="13"/>
      <c r="G293" s="13"/>
      <c r="H293" s="13"/>
      <c r="I293" s="13"/>
      <c r="J293" s="13"/>
      <c r="K293" s="13"/>
      <c r="L293" s="13"/>
      <c r="M293" s="13"/>
      <c r="N293" s="13"/>
      <c r="O293" s="13"/>
      <c r="P293" s="13"/>
      <c r="Q293" s="13"/>
      <c r="R293" s="13"/>
      <c r="S293" s="14">
        <f t="shared" si="55"/>
        <v>0</v>
      </c>
      <c r="T293" s="14">
        <f t="shared" si="56"/>
        <v>0</v>
      </c>
      <c r="U293" s="14">
        <f t="shared" si="57"/>
        <v>0</v>
      </c>
      <c r="V293" s="14">
        <f t="shared" si="58"/>
        <v>0</v>
      </c>
      <c r="W293" s="14">
        <f t="shared" si="54"/>
        <v>1</v>
      </c>
      <c r="X293" s="15">
        <f t="shared" si="59"/>
        <v>0</v>
      </c>
      <c r="Y293" s="16"/>
    </row>
    <row r="294" spans="1:25" ht="30" customHeight="1">
      <c r="A294" s="11">
        <v>292</v>
      </c>
      <c r="B294" s="46" t="s">
        <v>537</v>
      </c>
      <c r="C294" s="46" t="s">
        <v>875</v>
      </c>
      <c r="D294" s="12"/>
      <c r="E294" s="13"/>
      <c r="F294" s="13"/>
      <c r="G294" s="13"/>
      <c r="H294" s="13"/>
      <c r="I294" s="13"/>
      <c r="J294" s="13"/>
      <c r="K294" s="13"/>
      <c r="L294" s="13"/>
      <c r="M294" s="13"/>
      <c r="N294" s="13"/>
      <c r="O294" s="13"/>
      <c r="P294" s="13"/>
      <c r="Q294" s="13"/>
      <c r="R294" s="13"/>
      <c r="S294" s="14">
        <f t="shared" si="55"/>
        <v>0</v>
      </c>
      <c r="T294" s="14">
        <f t="shared" si="56"/>
        <v>0</v>
      </c>
      <c r="U294" s="14">
        <f t="shared" si="57"/>
        <v>0</v>
      </c>
      <c r="V294" s="14">
        <f t="shared" si="58"/>
        <v>0</v>
      </c>
      <c r="W294" s="14">
        <f t="shared" si="54"/>
        <v>1</v>
      </c>
      <c r="X294" s="15">
        <f t="shared" si="59"/>
        <v>0</v>
      </c>
      <c r="Y294" s="16"/>
    </row>
    <row r="295" spans="1:25" ht="30" customHeight="1">
      <c r="A295" s="11">
        <v>293</v>
      </c>
      <c r="B295" s="46" t="s">
        <v>538</v>
      </c>
      <c r="C295" s="46" t="s">
        <v>876</v>
      </c>
      <c r="D295" s="12"/>
      <c r="E295" s="13"/>
      <c r="F295" s="13"/>
      <c r="G295" s="13"/>
      <c r="H295" s="13"/>
      <c r="I295" s="13"/>
      <c r="J295" s="13"/>
      <c r="K295" s="13"/>
      <c r="L295" s="13"/>
      <c r="M295" s="13"/>
      <c r="N295" s="13"/>
      <c r="O295" s="13"/>
      <c r="P295" s="13"/>
      <c r="Q295" s="13"/>
      <c r="R295" s="13"/>
      <c r="S295" s="14">
        <f t="shared" si="55"/>
        <v>0</v>
      </c>
      <c r="T295" s="14">
        <f t="shared" si="56"/>
        <v>0</v>
      </c>
      <c r="U295" s="14">
        <f t="shared" si="57"/>
        <v>0</v>
      </c>
      <c r="V295" s="14">
        <f t="shared" si="58"/>
        <v>0</v>
      </c>
      <c r="W295" s="14">
        <f t="shared" si="54"/>
        <v>1</v>
      </c>
      <c r="X295" s="15">
        <f t="shared" si="59"/>
        <v>0</v>
      </c>
      <c r="Y295" s="16"/>
    </row>
    <row r="296" spans="1:25" ht="30" customHeight="1">
      <c r="A296" s="11">
        <v>294</v>
      </c>
      <c r="B296" s="46" t="s">
        <v>539</v>
      </c>
      <c r="C296" s="46" t="s">
        <v>877</v>
      </c>
      <c r="D296" s="12"/>
      <c r="E296" s="13"/>
      <c r="F296" s="13"/>
      <c r="G296" s="13"/>
      <c r="H296" s="13"/>
      <c r="I296" s="13"/>
      <c r="J296" s="13"/>
      <c r="K296" s="13"/>
      <c r="L296" s="13"/>
      <c r="M296" s="13"/>
      <c r="N296" s="13"/>
      <c r="O296" s="13"/>
      <c r="P296" s="13"/>
      <c r="Q296" s="13"/>
      <c r="R296" s="13"/>
      <c r="S296" s="14">
        <f t="shared" si="55"/>
        <v>0</v>
      </c>
      <c r="T296" s="14">
        <f t="shared" si="56"/>
        <v>0</v>
      </c>
      <c r="U296" s="14">
        <f t="shared" si="57"/>
        <v>0</v>
      </c>
      <c r="V296" s="14">
        <f t="shared" si="58"/>
        <v>0</v>
      </c>
      <c r="W296" s="14">
        <f t="shared" si="54"/>
        <v>1</v>
      </c>
      <c r="X296" s="15">
        <f t="shared" si="59"/>
        <v>0</v>
      </c>
      <c r="Y296" s="16" t="s">
        <v>1075</v>
      </c>
    </row>
    <row r="297" spans="1:25" ht="30" customHeight="1">
      <c r="A297" s="11">
        <v>295</v>
      </c>
      <c r="B297" s="46" t="s">
        <v>540</v>
      </c>
      <c r="C297" s="46" t="s">
        <v>878</v>
      </c>
      <c r="D297" s="12"/>
      <c r="E297" s="13"/>
      <c r="F297" s="13"/>
      <c r="G297" s="13"/>
      <c r="H297" s="13"/>
      <c r="I297" s="13"/>
      <c r="J297" s="13"/>
      <c r="K297" s="13"/>
      <c r="L297" s="13"/>
      <c r="M297" s="13"/>
      <c r="N297" s="13"/>
      <c r="O297" s="13"/>
      <c r="P297" s="13"/>
      <c r="Q297" s="13"/>
      <c r="R297" s="13"/>
      <c r="S297" s="14">
        <f t="shared" si="55"/>
        <v>0</v>
      </c>
      <c r="T297" s="14">
        <f t="shared" si="56"/>
        <v>0</v>
      </c>
      <c r="U297" s="14">
        <f t="shared" si="57"/>
        <v>0</v>
      </c>
      <c r="V297" s="14">
        <f t="shared" si="58"/>
        <v>0</v>
      </c>
      <c r="W297" s="14">
        <f t="shared" si="54"/>
        <v>1</v>
      </c>
      <c r="X297" s="15">
        <f t="shared" si="59"/>
        <v>0</v>
      </c>
      <c r="Y297" s="16" t="s">
        <v>1076</v>
      </c>
    </row>
    <row r="298" spans="1:25" ht="30" customHeight="1">
      <c r="A298" s="11">
        <v>296</v>
      </c>
      <c r="B298" s="46" t="s">
        <v>541</v>
      </c>
      <c r="C298" s="46" t="s">
        <v>879</v>
      </c>
      <c r="D298" s="12"/>
      <c r="E298" s="13"/>
      <c r="F298" s="13"/>
      <c r="G298" s="13"/>
      <c r="H298" s="13"/>
      <c r="I298" s="13"/>
      <c r="J298" s="13"/>
      <c r="K298" s="13"/>
      <c r="L298" s="13"/>
      <c r="M298" s="13"/>
      <c r="N298" s="13"/>
      <c r="O298" s="13"/>
      <c r="P298" s="13"/>
      <c r="Q298" s="13"/>
      <c r="R298" s="13"/>
      <c r="S298" s="14">
        <f t="shared" si="55"/>
        <v>0</v>
      </c>
      <c r="T298" s="14">
        <f t="shared" si="56"/>
        <v>0</v>
      </c>
      <c r="U298" s="14">
        <f t="shared" si="57"/>
        <v>0</v>
      </c>
      <c r="V298" s="14">
        <f t="shared" si="58"/>
        <v>0</v>
      </c>
      <c r="W298" s="14">
        <f t="shared" si="54"/>
        <v>1</v>
      </c>
      <c r="X298" s="15">
        <f t="shared" si="59"/>
        <v>0</v>
      </c>
      <c r="Y298" s="16"/>
    </row>
    <row r="299" spans="1:25" ht="30" customHeight="1">
      <c r="A299" s="11">
        <v>297</v>
      </c>
      <c r="B299" s="46" t="s">
        <v>542</v>
      </c>
      <c r="C299" s="46" t="s">
        <v>880</v>
      </c>
      <c r="D299" s="12"/>
      <c r="E299" s="13"/>
      <c r="F299" s="13"/>
      <c r="G299" s="13"/>
      <c r="H299" s="13"/>
      <c r="I299" s="13"/>
      <c r="J299" s="13"/>
      <c r="K299" s="13"/>
      <c r="L299" s="13"/>
      <c r="M299" s="13"/>
      <c r="N299" s="13"/>
      <c r="O299" s="13"/>
      <c r="P299" s="13"/>
      <c r="Q299" s="13"/>
      <c r="R299" s="13"/>
      <c r="S299" s="14">
        <f t="shared" si="55"/>
        <v>0</v>
      </c>
      <c r="T299" s="14">
        <f t="shared" si="56"/>
        <v>0</v>
      </c>
      <c r="U299" s="14">
        <f t="shared" si="57"/>
        <v>0</v>
      </c>
      <c r="V299" s="14">
        <f t="shared" si="58"/>
        <v>0</v>
      </c>
      <c r="W299" s="14">
        <f t="shared" si="54"/>
        <v>1</v>
      </c>
      <c r="X299" s="15">
        <f t="shared" si="59"/>
        <v>0</v>
      </c>
      <c r="Y299" s="16"/>
    </row>
    <row r="300" spans="1:25" ht="30" customHeight="1">
      <c r="A300" s="11">
        <v>298</v>
      </c>
      <c r="B300" s="46" t="s">
        <v>543</v>
      </c>
      <c r="C300" s="46" t="s">
        <v>881</v>
      </c>
      <c r="D300" s="12"/>
      <c r="E300" s="13"/>
      <c r="F300" s="13"/>
      <c r="G300" s="13"/>
      <c r="H300" s="13"/>
      <c r="I300" s="13"/>
      <c r="J300" s="13"/>
      <c r="K300" s="13"/>
      <c r="L300" s="13"/>
      <c r="M300" s="13"/>
      <c r="N300" s="13"/>
      <c r="O300" s="13"/>
      <c r="P300" s="13"/>
      <c r="Q300" s="13"/>
      <c r="R300" s="13"/>
      <c r="S300" s="14">
        <f t="shared" si="55"/>
        <v>0</v>
      </c>
      <c r="T300" s="14">
        <f t="shared" si="56"/>
        <v>0</v>
      </c>
      <c r="U300" s="14">
        <f t="shared" si="57"/>
        <v>0</v>
      </c>
      <c r="V300" s="14">
        <f t="shared" si="58"/>
        <v>0</v>
      </c>
      <c r="W300" s="14">
        <f t="shared" si="54"/>
        <v>1</v>
      </c>
      <c r="X300" s="15">
        <f t="shared" si="59"/>
        <v>0</v>
      </c>
      <c r="Y300" s="16" t="s">
        <v>994</v>
      </c>
    </row>
    <row r="301" spans="1:25" ht="30" customHeight="1">
      <c r="A301" s="11">
        <v>299</v>
      </c>
      <c r="B301" s="46" t="s">
        <v>516</v>
      </c>
      <c r="C301" s="46" t="s">
        <v>854</v>
      </c>
      <c r="D301" s="12"/>
      <c r="E301" s="13"/>
      <c r="F301" s="13"/>
      <c r="G301" s="13"/>
      <c r="H301" s="13"/>
      <c r="I301" s="13"/>
      <c r="J301" s="13"/>
      <c r="K301" s="13"/>
      <c r="L301" s="13"/>
      <c r="M301" s="13"/>
      <c r="N301" s="13"/>
      <c r="O301" s="13"/>
      <c r="P301" s="13"/>
      <c r="Q301" s="13"/>
      <c r="R301" s="13"/>
      <c r="S301" s="14">
        <f t="shared" si="55"/>
        <v>0</v>
      </c>
      <c r="T301" s="14">
        <f t="shared" si="56"/>
        <v>0</v>
      </c>
      <c r="U301" s="14">
        <f t="shared" si="57"/>
        <v>0</v>
      </c>
      <c r="V301" s="14">
        <f t="shared" si="58"/>
        <v>0</v>
      </c>
      <c r="W301" s="14">
        <f t="shared" si="54"/>
        <v>1</v>
      </c>
      <c r="X301" s="15">
        <f t="shared" si="59"/>
        <v>0</v>
      </c>
      <c r="Y301" s="16"/>
    </row>
    <row r="302" spans="1:25" ht="30" customHeight="1">
      <c r="A302" s="11">
        <v>300</v>
      </c>
      <c r="B302" s="46" t="s">
        <v>544</v>
      </c>
      <c r="C302" s="46" t="s">
        <v>882</v>
      </c>
      <c r="D302" s="12"/>
      <c r="E302" s="13"/>
      <c r="F302" s="13"/>
      <c r="G302" s="13"/>
      <c r="H302" s="13"/>
      <c r="I302" s="13"/>
      <c r="J302" s="13"/>
      <c r="K302" s="13"/>
      <c r="L302" s="13"/>
      <c r="M302" s="13"/>
      <c r="N302" s="13"/>
      <c r="O302" s="13"/>
      <c r="P302" s="13"/>
      <c r="Q302" s="13"/>
      <c r="R302" s="13"/>
      <c r="S302" s="14">
        <f t="shared" si="55"/>
        <v>0</v>
      </c>
      <c r="T302" s="14">
        <f t="shared" si="56"/>
        <v>0</v>
      </c>
      <c r="U302" s="14">
        <f t="shared" si="57"/>
        <v>0</v>
      </c>
      <c r="V302" s="14">
        <f t="shared" si="58"/>
        <v>0</v>
      </c>
      <c r="W302" s="14">
        <f t="shared" si="54"/>
        <v>1</v>
      </c>
      <c r="X302" s="15">
        <f t="shared" si="59"/>
        <v>0</v>
      </c>
      <c r="Y302" s="16" t="s">
        <v>1077</v>
      </c>
    </row>
    <row r="303" spans="1:25" ht="30" customHeight="1">
      <c r="A303" s="11">
        <v>301</v>
      </c>
      <c r="B303" s="46" t="s">
        <v>545</v>
      </c>
      <c r="C303" s="46" t="s">
        <v>883</v>
      </c>
      <c r="D303" s="12"/>
      <c r="E303" s="13"/>
      <c r="F303" s="13"/>
      <c r="G303" s="13"/>
      <c r="H303" s="13"/>
      <c r="I303" s="13"/>
      <c r="J303" s="13"/>
      <c r="K303" s="13"/>
      <c r="L303" s="13"/>
      <c r="M303" s="13"/>
      <c r="N303" s="13"/>
      <c r="O303" s="13"/>
      <c r="P303" s="13"/>
      <c r="Q303" s="13"/>
      <c r="R303" s="13"/>
      <c r="S303" s="14">
        <f t="shared" si="55"/>
        <v>0</v>
      </c>
      <c r="T303" s="14">
        <f t="shared" si="56"/>
        <v>0</v>
      </c>
      <c r="U303" s="14">
        <f t="shared" si="57"/>
        <v>0</v>
      </c>
      <c r="V303" s="14">
        <f t="shared" si="58"/>
        <v>0</v>
      </c>
      <c r="W303" s="14">
        <f t="shared" si="54"/>
        <v>1</v>
      </c>
      <c r="X303" s="15">
        <f t="shared" si="59"/>
        <v>0</v>
      </c>
      <c r="Y303" s="16" t="s">
        <v>1078</v>
      </c>
    </row>
    <row r="304" spans="1:25" ht="30" customHeight="1">
      <c r="A304" s="11">
        <v>302</v>
      </c>
      <c r="B304" s="46" t="s">
        <v>546</v>
      </c>
      <c r="C304" s="46" t="s">
        <v>884</v>
      </c>
      <c r="D304" s="12"/>
      <c r="E304" s="13"/>
      <c r="F304" s="13"/>
      <c r="G304" s="13"/>
      <c r="H304" s="13"/>
      <c r="I304" s="13"/>
      <c r="J304" s="13"/>
      <c r="K304" s="13"/>
      <c r="L304" s="13"/>
      <c r="M304" s="13"/>
      <c r="N304" s="13"/>
      <c r="O304" s="13"/>
      <c r="P304" s="13"/>
      <c r="Q304" s="13"/>
      <c r="R304" s="13"/>
      <c r="S304" s="14">
        <f t="shared" si="55"/>
        <v>0</v>
      </c>
      <c r="T304" s="14">
        <f t="shared" si="56"/>
        <v>0</v>
      </c>
      <c r="U304" s="14">
        <f t="shared" si="57"/>
        <v>0</v>
      </c>
      <c r="V304" s="14">
        <f t="shared" si="58"/>
        <v>0</v>
      </c>
      <c r="W304" s="14">
        <f t="shared" si="54"/>
        <v>1</v>
      </c>
      <c r="X304" s="15">
        <f t="shared" si="59"/>
        <v>0</v>
      </c>
      <c r="Y304" s="16" t="s">
        <v>1079</v>
      </c>
    </row>
    <row r="305" spans="1:25" ht="30" customHeight="1">
      <c r="A305" s="11">
        <v>303</v>
      </c>
      <c r="B305" s="46" t="s">
        <v>547</v>
      </c>
      <c r="C305" s="45" t="s">
        <v>885</v>
      </c>
      <c r="D305" s="12"/>
      <c r="E305" s="13"/>
      <c r="F305" s="13"/>
      <c r="G305" s="13"/>
      <c r="H305" s="13"/>
      <c r="I305" s="13"/>
      <c r="J305" s="13"/>
      <c r="K305" s="13"/>
      <c r="L305" s="13"/>
      <c r="M305" s="13"/>
      <c r="N305" s="13"/>
      <c r="O305" s="13"/>
      <c r="P305" s="13"/>
      <c r="Q305" s="13"/>
      <c r="R305" s="13"/>
      <c r="S305" s="14">
        <f t="shared" si="55"/>
        <v>0</v>
      </c>
      <c r="T305" s="14">
        <f t="shared" si="56"/>
        <v>0</v>
      </c>
      <c r="U305" s="14">
        <f t="shared" si="57"/>
        <v>0</v>
      </c>
      <c r="V305" s="14">
        <f t="shared" si="58"/>
        <v>0</v>
      </c>
      <c r="W305" s="14">
        <f t="shared" si="54"/>
        <v>1</v>
      </c>
      <c r="X305" s="15">
        <f t="shared" si="59"/>
        <v>0</v>
      </c>
      <c r="Y305" s="16" t="s">
        <v>1080</v>
      </c>
    </row>
    <row r="306" spans="1:25" ht="30" customHeight="1">
      <c r="A306" s="11">
        <v>304</v>
      </c>
      <c r="B306" s="46" t="s">
        <v>548</v>
      </c>
      <c r="C306" s="45" t="s">
        <v>886</v>
      </c>
      <c r="D306" s="12"/>
      <c r="E306" s="13"/>
      <c r="F306" s="13"/>
      <c r="G306" s="13"/>
      <c r="H306" s="13"/>
      <c r="I306" s="13"/>
      <c r="J306" s="13"/>
      <c r="K306" s="13"/>
      <c r="L306" s="13"/>
      <c r="M306" s="13"/>
      <c r="N306" s="13"/>
      <c r="O306" s="13"/>
      <c r="P306" s="13"/>
      <c r="Q306" s="13"/>
      <c r="R306" s="13"/>
      <c r="S306" s="14">
        <f t="shared" si="55"/>
        <v>0</v>
      </c>
      <c r="T306" s="14">
        <f t="shared" si="56"/>
        <v>0</v>
      </c>
      <c r="U306" s="14">
        <f t="shared" si="57"/>
        <v>0</v>
      </c>
      <c r="V306" s="14">
        <f t="shared" si="58"/>
        <v>0</v>
      </c>
      <c r="W306" s="14">
        <f t="shared" si="54"/>
        <v>1</v>
      </c>
      <c r="X306" s="15">
        <f t="shared" si="59"/>
        <v>0</v>
      </c>
      <c r="Y306" s="16" t="s">
        <v>1081</v>
      </c>
    </row>
    <row r="307" spans="1:25" ht="30" customHeight="1">
      <c r="A307" s="11">
        <v>305</v>
      </c>
      <c r="B307" s="46" t="s">
        <v>549</v>
      </c>
      <c r="C307" s="45" t="s">
        <v>887</v>
      </c>
      <c r="D307" s="12"/>
      <c r="E307" s="13"/>
      <c r="F307" s="13"/>
      <c r="G307" s="13"/>
      <c r="H307" s="13"/>
      <c r="I307" s="13"/>
      <c r="J307" s="13"/>
      <c r="K307" s="13"/>
      <c r="L307" s="13"/>
      <c r="M307" s="13"/>
      <c r="N307" s="13"/>
      <c r="O307" s="13"/>
      <c r="P307" s="13"/>
      <c r="Q307" s="13"/>
      <c r="R307" s="13"/>
      <c r="S307" s="14">
        <f t="shared" si="55"/>
        <v>0</v>
      </c>
      <c r="T307" s="14">
        <f t="shared" si="56"/>
        <v>0</v>
      </c>
      <c r="U307" s="14">
        <f t="shared" si="57"/>
        <v>0</v>
      </c>
      <c r="V307" s="14">
        <f t="shared" si="58"/>
        <v>0</v>
      </c>
      <c r="W307" s="14">
        <f t="shared" si="54"/>
        <v>1</v>
      </c>
      <c r="X307" s="15">
        <f t="shared" si="59"/>
        <v>0</v>
      </c>
      <c r="Y307" s="16" t="s">
        <v>1029</v>
      </c>
    </row>
    <row r="308" spans="1:25" ht="30" customHeight="1">
      <c r="A308" s="11">
        <v>306</v>
      </c>
      <c r="B308" s="46" t="s">
        <v>550</v>
      </c>
      <c r="C308" s="45" t="s">
        <v>888</v>
      </c>
      <c r="D308" s="12"/>
      <c r="E308" s="13"/>
      <c r="F308" s="13"/>
      <c r="G308" s="13"/>
      <c r="H308" s="13"/>
      <c r="I308" s="13"/>
      <c r="J308" s="13"/>
      <c r="K308" s="13"/>
      <c r="L308" s="13"/>
      <c r="M308" s="13"/>
      <c r="N308" s="13"/>
      <c r="O308" s="13"/>
      <c r="P308" s="13"/>
      <c r="Q308" s="13"/>
      <c r="R308" s="13"/>
      <c r="S308" s="14">
        <f t="shared" si="55"/>
        <v>0</v>
      </c>
      <c r="T308" s="14">
        <f t="shared" si="56"/>
        <v>0</v>
      </c>
      <c r="U308" s="14">
        <f t="shared" si="57"/>
        <v>0</v>
      </c>
      <c r="V308" s="14">
        <f t="shared" si="58"/>
        <v>0</v>
      </c>
      <c r="W308" s="14">
        <f t="shared" si="54"/>
        <v>1</v>
      </c>
      <c r="X308" s="15">
        <f t="shared" si="59"/>
        <v>0</v>
      </c>
      <c r="Y308" s="16" t="s">
        <v>1082</v>
      </c>
    </row>
    <row r="309" spans="1:25" ht="30" customHeight="1">
      <c r="A309" s="11">
        <v>307</v>
      </c>
      <c r="B309" s="46" t="s">
        <v>551</v>
      </c>
      <c r="C309" s="45" t="s">
        <v>889</v>
      </c>
      <c r="D309" s="12"/>
      <c r="E309" s="13"/>
      <c r="F309" s="13"/>
      <c r="G309" s="13"/>
      <c r="H309" s="13"/>
      <c r="I309" s="13"/>
      <c r="J309" s="13"/>
      <c r="K309" s="13"/>
      <c r="L309" s="13"/>
      <c r="M309" s="13"/>
      <c r="N309" s="13"/>
      <c r="O309" s="13"/>
      <c r="P309" s="13"/>
      <c r="Q309" s="13"/>
      <c r="R309" s="13"/>
      <c r="S309" s="14">
        <f t="shared" si="55"/>
        <v>0</v>
      </c>
      <c r="T309" s="14">
        <f t="shared" si="56"/>
        <v>0</v>
      </c>
      <c r="U309" s="14">
        <f t="shared" si="57"/>
        <v>0</v>
      </c>
      <c r="V309" s="14">
        <f t="shared" si="58"/>
        <v>0</v>
      </c>
      <c r="W309" s="14">
        <f t="shared" si="54"/>
        <v>1</v>
      </c>
      <c r="X309" s="15">
        <f t="shared" si="59"/>
        <v>0</v>
      </c>
      <c r="Y309" s="16" t="s">
        <v>1083</v>
      </c>
    </row>
    <row r="310" spans="1:25" ht="30" customHeight="1">
      <c r="A310" s="11">
        <v>308</v>
      </c>
      <c r="B310" s="46" t="s">
        <v>552</v>
      </c>
      <c r="C310" s="45" t="s">
        <v>890</v>
      </c>
      <c r="D310" s="12"/>
      <c r="E310" s="13"/>
      <c r="F310" s="13"/>
      <c r="G310" s="13"/>
      <c r="H310" s="13"/>
      <c r="I310" s="13"/>
      <c r="J310" s="13"/>
      <c r="K310" s="13"/>
      <c r="L310" s="13"/>
      <c r="M310" s="13"/>
      <c r="N310" s="13"/>
      <c r="O310" s="13"/>
      <c r="P310" s="13"/>
      <c r="Q310" s="13"/>
      <c r="R310" s="13"/>
      <c r="S310" s="14">
        <f t="shared" si="55"/>
        <v>0</v>
      </c>
      <c r="T310" s="14">
        <f t="shared" si="56"/>
        <v>0</v>
      </c>
      <c r="U310" s="14">
        <f t="shared" si="57"/>
        <v>0</v>
      </c>
      <c r="V310" s="14">
        <f t="shared" si="58"/>
        <v>0</v>
      </c>
      <c r="W310" s="14">
        <f t="shared" si="54"/>
        <v>1</v>
      </c>
      <c r="X310" s="15">
        <f t="shared" si="59"/>
        <v>0</v>
      </c>
      <c r="Y310" s="16"/>
    </row>
    <row r="311" spans="1:25" ht="30" customHeight="1">
      <c r="A311" s="11">
        <v>309</v>
      </c>
      <c r="B311" s="46" t="s">
        <v>553</v>
      </c>
      <c r="C311" s="45" t="s">
        <v>891</v>
      </c>
      <c r="D311" s="12"/>
      <c r="E311" s="13"/>
      <c r="F311" s="13"/>
      <c r="G311" s="13"/>
      <c r="H311" s="13"/>
      <c r="I311" s="13"/>
      <c r="J311" s="13"/>
      <c r="K311" s="13"/>
      <c r="L311" s="13"/>
      <c r="M311" s="13"/>
      <c r="N311" s="13"/>
      <c r="O311" s="13"/>
      <c r="P311" s="13"/>
      <c r="Q311" s="13"/>
      <c r="R311" s="13"/>
      <c r="S311" s="14">
        <f t="shared" si="55"/>
        <v>0</v>
      </c>
      <c r="T311" s="14">
        <f t="shared" si="56"/>
        <v>0</v>
      </c>
      <c r="U311" s="14">
        <f t="shared" si="57"/>
        <v>0</v>
      </c>
      <c r="V311" s="14">
        <f t="shared" si="58"/>
        <v>0</v>
      </c>
      <c r="W311" s="14">
        <f t="shared" si="54"/>
        <v>1</v>
      </c>
      <c r="X311" s="15">
        <f t="shared" si="59"/>
        <v>0</v>
      </c>
      <c r="Y311" s="16" t="s">
        <v>1084</v>
      </c>
    </row>
    <row r="312" spans="1:25" ht="30" customHeight="1">
      <c r="A312" s="11">
        <v>310</v>
      </c>
      <c r="B312" s="46" t="s">
        <v>554</v>
      </c>
      <c r="C312" s="45" t="s">
        <v>892</v>
      </c>
      <c r="D312" s="12"/>
      <c r="E312" s="13"/>
      <c r="F312" s="13"/>
      <c r="G312" s="13"/>
      <c r="H312" s="13"/>
      <c r="I312" s="13"/>
      <c r="J312" s="13"/>
      <c r="K312" s="13"/>
      <c r="L312" s="13"/>
      <c r="M312" s="13"/>
      <c r="N312" s="13"/>
      <c r="O312" s="13"/>
      <c r="P312" s="13"/>
      <c r="Q312" s="13"/>
      <c r="R312" s="13"/>
      <c r="S312" s="14">
        <f t="shared" si="55"/>
        <v>0</v>
      </c>
      <c r="T312" s="14">
        <f t="shared" si="56"/>
        <v>0</v>
      </c>
      <c r="U312" s="14">
        <f t="shared" si="57"/>
        <v>0</v>
      </c>
      <c r="V312" s="14">
        <f t="shared" si="58"/>
        <v>0</v>
      </c>
      <c r="W312" s="14">
        <f t="shared" si="54"/>
        <v>1</v>
      </c>
      <c r="X312" s="15">
        <f t="shared" si="59"/>
        <v>0</v>
      </c>
      <c r="Y312" s="16"/>
    </row>
    <row r="313" spans="1:25" ht="30" customHeight="1">
      <c r="A313" s="11">
        <v>311</v>
      </c>
      <c r="B313" s="46" t="s">
        <v>555</v>
      </c>
      <c r="C313" s="46" t="s">
        <v>893</v>
      </c>
      <c r="D313" s="12"/>
      <c r="E313" s="13"/>
      <c r="F313" s="13"/>
      <c r="G313" s="13"/>
      <c r="H313" s="13"/>
      <c r="I313" s="13"/>
      <c r="J313" s="13"/>
      <c r="K313" s="13"/>
      <c r="L313" s="13"/>
      <c r="M313" s="13"/>
      <c r="N313" s="13"/>
      <c r="O313" s="13"/>
      <c r="P313" s="13"/>
      <c r="Q313" s="13"/>
      <c r="R313" s="13"/>
      <c r="S313" s="14">
        <f t="shared" si="55"/>
        <v>0</v>
      </c>
      <c r="T313" s="14">
        <f t="shared" si="56"/>
        <v>0</v>
      </c>
      <c r="U313" s="14">
        <f t="shared" si="57"/>
        <v>0</v>
      </c>
      <c r="V313" s="14">
        <f t="shared" si="58"/>
        <v>0</v>
      </c>
      <c r="W313" s="14">
        <f t="shared" si="54"/>
        <v>1</v>
      </c>
      <c r="X313" s="15">
        <f t="shared" si="59"/>
        <v>0</v>
      </c>
      <c r="Y313" s="16"/>
    </row>
    <row r="314" spans="1:25" ht="30" customHeight="1">
      <c r="A314" s="11">
        <v>312</v>
      </c>
      <c r="B314" s="46" t="s">
        <v>556</v>
      </c>
      <c r="C314" s="46" t="s">
        <v>894</v>
      </c>
      <c r="D314" s="12"/>
      <c r="E314" s="13"/>
      <c r="F314" s="13"/>
      <c r="G314" s="13"/>
      <c r="H314" s="13"/>
      <c r="I314" s="13"/>
      <c r="J314" s="13"/>
      <c r="K314" s="13"/>
      <c r="L314" s="13"/>
      <c r="M314" s="13"/>
      <c r="N314" s="13"/>
      <c r="O314" s="13"/>
      <c r="P314" s="13"/>
      <c r="Q314" s="13"/>
      <c r="R314" s="13"/>
      <c r="S314" s="14">
        <f t="shared" si="55"/>
        <v>0</v>
      </c>
      <c r="T314" s="14">
        <f t="shared" si="56"/>
        <v>0</v>
      </c>
      <c r="U314" s="14">
        <f t="shared" si="57"/>
        <v>0</v>
      </c>
      <c r="V314" s="14">
        <f t="shared" si="58"/>
        <v>0</v>
      </c>
      <c r="W314" s="14">
        <f t="shared" si="54"/>
        <v>1</v>
      </c>
      <c r="X314" s="15">
        <f t="shared" si="59"/>
        <v>0</v>
      </c>
      <c r="Y314" s="16" t="s">
        <v>1085</v>
      </c>
    </row>
    <row r="315" spans="1:25" ht="30" customHeight="1">
      <c r="A315" s="11">
        <v>313</v>
      </c>
      <c r="B315" s="46" t="s">
        <v>557</v>
      </c>
      <c r="C315" s="46" t="s">
        <v>895</v>
      </c>
      <c r="D315" s="12"/>
      <c r="E315" s="13"/>
      <c r="F315" s="13"/>
      <c r="G315" s="13"/>
      <c r="H315" s="13"/>
      <c r="I315" s="13"/>
      <c r="J315" s="13"/>
      <c r="K315" s="13"/>
      <c r="L315" s="13"/>
      <c r="M315" s="13"/>
      <c r="N315" s="13"/>
      <c r="O315" s="13"/>
      <c r="P315" s="13"/>
      <c r="Q315" s="13"/>
      <c r="R315" s="13"/>
      <c r="S315" s="14">
        <f t="shared" si="55"/>
        <v>0</v>
      </c>
      <c r="T315" s="14">
        <f t="shared" si="56"/>
        <v>0</v>
      </c>
      <c r="U315" s="14">
        <f t="shared" si="57"/>
        <v>0</v>
      </c>
      <c r="V315" s="14">
        <f t="shared" si="58"/>
        <v>0</v>
      </c>
      <c r="W315" s="14">
        <f t="shared" si="54"/>
        <v>1</v>
      </c>
      <c r="X315" s="15">
        <f t="shared" si="59"/>
        <v>0</v>
      </c>
      <c r="Y315" s="16"/>
    </row>
    <row r="316" spans="1:25" ht="30" customHeight="1">
      <c r="A316" s="11">
        <v>314</v>
      </c>
      <c r="B316" s="46" t="s">
        <v>558</v>
      </c>
      <c r="C316" s="46" t="s">
        <v>896</v>
      </c>
      <c r="D316" s="12"/>
      <c r="E316" s="13"/>
      <c r="F316" s="13"/>
      <c r="G316" s="13"/>
      <c r="H316" s="13"/>
      <c r="I316" s="13"/>
      <c r="J316" s="13"/>
      <c r="K316" s="13"/>
      <c r="L316" s="13"/>
      <c r="M316" s="13"/>
      <c r="N316" s="13"/>
      <c r="O316" s="13"/>
      <c r="P316" s="13"/>
      <c r="Q316" s="13"/>
      <c r="R316" s="13"/>
      <c r="S316" s="14">
        <f t="shared" si="55"/>
        <v>0</v>
      </c>
      <c r="T316" s="14">
        <f t="shared" si="56"/>
        <v>0</v>
      </c>
      <c r="U316" s="14">
        <f t="shared" si="57"/>
        <v>0</v>
      </c>
      <c r="V316" s="14">
        <f t="shared" si="58"/>
        <v>0</v>
      </c>
      <c r="W316" s="14">
        <f t="shared" si="54"/>
        <v>1</v>
      </c>
      <c r="X316" s="15">
        <f t="shared" si="59"/>
        <v>0</v>
      </c>
      <c r="Y316" s="16" t="s">
        <v>1086</v>
      </c>
    </row>
    <row r="317" spans="1:25" ht="30" customHeight="1">
      <c r="A317" s="11">
        <v>315</v>
      </c>
      <c r="B317" s="46" t="s">
        <v>559</v>
      </c>
      <c r="C317" s="46" t="s">
        <v>897</v>
      </c>
      <c r="D317" s="12"/>
      <c r="E317" s="13"/>
      <c r="F317" s="13"/>
      <c r="G317" s="13"/>
      <c r="H317" s="13"/>
      <c r="I317" s="13"/>
      <c r="J317" s="13"/>
      <c r="K317" s="13"/>
      <c r="L317" s="13"/>
      <c r="M317" s="13"/>
      <c r="N317" s="13"/>
      <c r="O317" s="13"/>
      <c r="P317" s="13"/>
      <c r="Q317" s="13"/>
      <c r="R317" s="13"/>
      <c r="S317" s="14">
        <f t="shared" si="55"/>
        <v>0</v>
      </c>
      <c r="T317" s="14">
        <f t="shared" si="56"/>
        <v>0</v>
      </c>
      <c r="U317" s="14">
        <f t="shared" si="57"/>
        <v>0</v>
      </c>
      <c r="V317" s="14">
        <f t="shared" si="58"/>
        <v>0</v>
      </c>
      <c r="W317" s="14">
        <f t="shared" si="54"/>
        <v>1</v>
      </c>
      <c r="X317" s="15">
        <f t="shared" si="59"/>
        <v>0</v>
      </c>
      <c r="Y317" s="16"/>
    </row>
    <row r="318" spans="1:25" ht="30" customHeight="1">
      <c r="A318" s="11">
        <v>316</v>
      </c>
      <c r="B318" s="46" t="s">
        <v>560</v>
      </c>
      <c r="C318" s="46" t="s">
        <v>898</v>
      </c>
      <c r="D318" s="12"/>
      <c r="E318" s="13"/>
      <c r="F318" s="13"/>
      <c r="G318" s="13"/>
      <c r="H318" s="13"/>
      <c r="I318" s="13"/>
      <c r="J318" s="13"/>
      <c r="K318" s="13"/>
      <c r="L318" s="13"/>
      <c r="M318" s="13"/>
      <c r="N318" s="13"/>
      <c r="O318" s="13"/>
      <c r="P318" s="13"/>
      <c r="Q318" s="13"/>
      <c r="R318" s="13"/>
      <c r="S318" s="14">
        <f t="shared" si="55"/>
        <v>0</v>
      </c>
      <c r="T318" s="14">
        <f t="shared" si="56"/>
        <v>0</v>
      </c>
      <c r="U318" s="14">
        <f t="shared" si="57"/>
        <v>0</v>
      </c>
      <c r="V318" s="14">
        <f t="shared" si="58"/>
        <v>0</v>
      </c>
      <c r="W318" s="14">
        <f t="shared" si="54"/>
        <v>1</v>
      </c>
      <c r="X318" s="15">
        <f t="shared" si="59"/>
        <v>0</v>
      </c>
      <c r="Y318" s="16"/>
    </row>
    <row r="319" spans="1:25" ht="30" customHeight="1">
      <c r="A319" s="11">
        <v>317</v>
      </c>
      <c r="B319" s="46" t="s">
        <v>561</v>
      </c>
      <c r="C319" s="46" t="s">
        <v>899</v>
      </c>
      <c r="D319" s="12"/>
      <c r="E319" s="13"/>
      <c r="F319" s="13"/>
      <c r="G319" s="13"/>
      <c r="H319" s="13"/>
      <c r="I319" s="13"/>
      <c r="J319" s="13"/>
      <c r="K319" s="13"/>
      <c r="L319" s="13"/>
      <c r="M319" s="13"/>
      <c r="N319" s="13"/>
      <c r="O319" s="13"/>
      <c r="P319" s="13"/>
      <c r="Q319" s="13"/>
      <c r="R319" s="13"/>
      <c r="S319" s="14">
        <f t="shared" si="55"/>
        <v>0</v>
      </c>
      <c r="T319" s="14">
        <f t="shared" si="56"/>
        <v>0</v>
      </c>
      <c r="U319" s="14">
        <f t="shared" si="57"/>
        <v>0</v>
      </c>
      <c r="V319" s="14">
        <f t="shared" si="58"/>
        <v>0</v>
      </c>
      <c r="W319" s="14">
        <f t="shared" si="54"/>
        <v>1</v>
      </c>
      <c r="X319" s="15">
        <f t="shared" si="59"/>
        <v>0</v>
      </c>
      <c r="Y319" s="16"/>
    </row>
    <row r="320" spans="1:25" ht="30" customHeight="1">
      <c r="A320" s="11">
        <v>318</v>
      </c>
      <c r="B320" s="46" t="s">
        <v>562</v>
      </c>
      <c r="C320" s="46" t="s">
        <v>900</v>
      </c>
      <c r="D320" s="12"/>
      <c r="E320" s="13"/>
      <c r="F320" s="13"/>
      <c r="G320" s="13"/>
      <c r="H320" s="13"/>
      <c r="I320" s="13"/>
      <c r="J320" s="13"/>
      <c r="K320" s="13"/>
      <c r="L320" s="13"/>
      <c r="M320" s="13"/>
      <c r="N320" s="13"/>
      <c r="O320" s="13"/>
      <c r="P320" s="13"/>
      <c r="Q320" s="13"/>
      <c r="R320" s="13"/>
      <c r="S320" s="14">
        <f t="shared" si="55"/>
        <v>0</v>
      </c>
      <c r="T320" s="14">
        <f t="shared" si="56"/>
        <v>0</v>
      </c>
      <c r="U320" s="14">
        <f t="shared" si="57"/>
        <v>0</v>
      </c>
      <c r="V320" s="14">
        <f t="shared" si="58"/>
        <v>0</v>
      </c>
      <c r="W320" s="14">
        <f t="shared" si="54"/>
        <v>1</v>
      </c>
      <c r="X320" s="15">
        <f t="shared" si="59"/>
        <v>0</v>
      </c>
      <c r="Y320" s="16" t="s">
        <v>1087</v>
      </c>
    </row>
    <row r="321" spans="1:25" ht="30" customHeight="1">
      <c r="A321" s="11">
        <v>319</v>
      </c>
      <c r="B321" s="46" t="s">
        <v>563</v>
      </c>
      <c r="C321" s="46" t="s">
        <v>901</v>
      </c>
      <c r="D321" s="12"/>
      <c r="E321" s="13"/>
      <c r="F321" s="13"/>
      <c r="G321" s="13"/>
      <c r="H321" s="13"/>
      <c r="I321" s="13"/>
      <c r="J321" s="13"/>
      <c r="K321" s="13"/>
      <c r="L321" s="13"/>
      <c r="M321" s="13"/>
      <c r="N321" s="13"/>
      <c r="O321" s="13"/>
      <c r="P321" s="13"/>
      <c r="Q321" s="13"/>
      <c r="R321" s="13"/>
      <c r="S321" s="14">
        <f t="shared" si="55"/>
        <v>0</v>
      </c>
      <c r="T321" s="14">
        <f t="shared" si="56"/>
        <v>0</v>
      </c>
      <c r="U321" s="14">
        <f t="shared" si="57"/>
        <v>0</v>
      </c>
      <c r="V321" s="14">
        <f t="shared" si="58"/>
        <v>0</v>
      </c>
      <c r="W321" s="14">
        <f t="shared" si="54"/>
        <v>1</v>
      </c>
      <c r="X321" s="15">
        <f t="shared" si="59"/>
        <v>0</v>
      </c>
      <c r="Y321" s="16"/>
    </row>
    <row r="322" spans="1:25" ht="30" customHeight="1">
      <c r="A322" s="11">
        <v>320</v>
      </c>
      <c r="B322" s="46" t="s">
        <v>564</v>
      </c>
      <c r="C322" s="46" t="s">
        <v>902</v>
      </c>
      <c r="D322" s="12"/>
      <c r="E322" s="13"/>
      <c r="F322" s="13"/>
      <c r="G322" s="13"/>
      <c r="H322" s="13"/>
      <c r="I322" s="13"/>
      <c r="J322" s="13"/>
      <c r="K322" s="13"/>
      <c r="L322" s="13"/>
      <c r="M322" s="13"/>
      <c r="N322" s="13"/>
      <c r="O322" s="13"/>
      <c r="P322" s="13"/>
      <c r="Q322" s="13"/>
      <c r="R322" s="13"/>
      <c r="S322" s="14">
        <f t="shared" si="55"/>
        <v>0</v>
      </c>
      <c r="T322" s="14">
        <f t="shared" si="56"/>
        <v>0</v>
      </c>
      <c r="U322" s="14">
        <f t="shared" si="57"/>
        <v>0</v>
      </c>
      <c r="V322" s="14">
        <f t="shared" si="58"/>
        <v>0</v>
      </c>
      <c r="W322" s="14">
        <f t="shared" si="54"/>
        <v>1</v>
      </c>
      <c r="X322" s="15">
        <f t="shared" si="59"/>
        <v>0</v>
      </c>
      <c r="Y322" s="16" t="s">
        <v>1088</v>
      </c>
    </row>
    <row r="323" spans="1:25" ht="51.45" customHeight="1">
      <c r="A323" s="11">
        <v>321</v>
      </c>
      <c r="B323" s="46" t="s">
        <v>565</v>
      </c>
      <c r="C323" s="46" t="s">
        <v>903</v>
      </c>
      <c r="D323" s="12"/>
      <c r="E323" s="13"/>
      <c r="F323" s="13"/>
      <c r="G323" s="13"/>
      <c r="H323" s="13"/>
      <c r="I323" s="13"/>
      <c r="J323" s="13"/>
      <c r="K323" s="13"/>
      <c r="L323" s="13"/>
      <c r="M323" s="13"/>
      <c r="N323" s="13"/>
      <c r="O323" s="13"/>
      <c r="P323" s="13"/>
      <c r="Q323" s="13"/>
      <c r="R323" s="13"/>
      <c r="S323" s="14">
        <f t="shared" si="55"/>
        <v>0</v>
      </c>
      <c r="T323" s="14">
        <f t="shared" si="56"/>
        <v>0</v>
      </c>
      <c r="U323" s="14">
        <f t="shared" si="57"/>
        <v>0</v>
      </c>
      <c r="V323" s="14">
        <f t="shared" si="58"/>
        <v>0</v>
      </c>
      <c r="W323" s="14">
        <f t="shared" ref="W323:W349" si="60">IF(AND(B323&lt;&gt;"",S323=0),1,0)</f>
        <v>1</v>
      </c>
      <c r="X323" s="15">
        <f t="shared" si="59"/>
        <v>0</v>
      </c>
      <c r="Y323" s="16" t="s">
        <v>1089</v>
      </c>
    </row>
    <row r="324" spans="1:25" ht="30" customHeight="1">
      <c r="A324" s="11">
        <v>322</v>
      </c>
      <c r="B324" s="46" t="s">
        <v>566</v>
      </c>
      <c r="C324" s="46" t="s">
        <v>904</v>
      </c>
      <c r="D324" s="12"/>
      <c r="E324" s="13"/>
      <c r="F324" s="13"/>
      <c r="G324" s="13"/>
      <c r="H324" s="13"/>
      <c r="I324" s="13"/>
      <c r="J324" s="13"/>
      <c r="K324" s="13"/>
      <c r="L324" s="13"/>
      <c r="M324" s="13"/>
      <c r="N324" s="13"/>
      <c r="O324" s="13"/>
      <c r="P324" s="13"/>
      <c r="Q324" s="13"/>
      <c r="R324" s="13"/>
      <c r="S324" s="14">
        <f t="shared" si="55"/>
        <v>0</v>
      </c>
      <c r="T324" s="14">
        <f t="shared" si="56"/>
        <v>0</v>
      </c>
      <c r="U324" s="14">
        <f t="shared" si="57"/>
        <v>0</v>
      </c>
      <c r="V324" s="14">
        <f t="shared" si="58"/>
        <v>0</v>
      </c>
      <c r="W324" s="14">
        <f t="shared" si="60"/>
        <v>1</v>
      </c>
      <c r="X324" s="15">
        <f t="shared" si="59"/>
        <v>0</v>
      </c>
      <c r="Y324" s="16"/>
    </row>
    <row r="325" spans="1:25" ht="36.450000000000003" customHeight="1">
      <c r="A325" s="11">
        <v>323</v>
      </c>
      <c r="B325" s="46" t="s">
        <v>567</v>
      </c>
      <c r="C325" s="46" t="s">
        <v>905</v>
      </c>
      <c r="D325" s="12"/>
      <c r="E325" s="13"/>
      <c r="F325" s="13"/>
      <c r="G325" s="13"/>
      <c r="H325" s="13"/>
      <c r="I325" s="13"/>
      <c r="J325" s="13"/>
      <c r="K325" s="13"/>
      <c r="L325" s="13"/>
      <c r="M325" s="13"/>
      <c r="N325" s="13"/>
      <c r="O325" s="13"/>
      <c r="P325" s="13"/>
      <c r="Q325" s="13"/>
      <c r="R325" s="13"/>
      <c r="S325" s="14">
        <f t="shared" si="55"/>
        <v>0</v>
      </c>
      <c r="T325" s="14">
        <f t="shared" si="56"/>
        <v>0</v>
      </c>
      <c r="U325" s="14">
        <f t="shared" si="57"/>
        <v>0</v>
      </c>
      <c r="V325" s="14">
        <f t="shared" si="58"/>
        <v>0</v>
      </c>
      <c r="W325" s="14">
        <f t="shared" si="60"/>
        <v>1</v>
      </c>
      <c r="X325" s="15">
        <f t="shared" si="59"/>
        <v>0</v>
      </c>
      <c r="Y325" s="16" t="s">
        <v>1090</v>
      </c>
    </row>
    <row r="326" spans="1:25" ht="30" customHeight="1">
      <c r="A326" s="11">
        <v>324</v>
      </c>
      <c r="B326" s="46" t="s">
        <v>568</v>
      </c>
      <c r="C326" s="46" t="s">
        <v>906</v>
      </c>
      <c r="D326" s="12"/>
      <c r="E326" s="13"/>
      <c r="F326" s="13"/>
      <c r="G326" s="13"/>
      <c r="H326" s="13"/>
      <c r="I326" s="13"/>
      <c r="J326" s="13"/>
      <c r="K326" s="13"/>
      <c r="L326" s="13"/>
      <c r="M326" s="13"/>
      <c r="N326" s="13"/>
      <c r="O326" s="13"/>
      <c r="P326" s="13"/>
      <c r="Q326" s="13"/>
      <c r="R326" s="13"/>
      <c r="S326" s="14">
        <f t="shared" si="55"/>
        <v>0</v>
      </c>
      <c r="T326" s="14">
        <f t="shared" si="56"/>
        <v>0</v>
      </c>
      <c r="U326" s="14">
        <f t="shared" si="57"/>
        <v>0</v>
      </c>
      <c r="V326" s="14">
        <f t="shared" si="58"/>
        <v>0</v>
      </c>
      <c r="W326" s="14">
        <f t="shared" si="60"/>
        <v>1</v>
      </c>
      <c r="X326" s="15">
        <f t="shared" si="59"/>
        <v>0</v>
      </c>
      <c r="Y326" s="16" t="s">
        <v>1091</v>
      </c>
    </row>
    <row r="327" spans="1:25" ht="30" customHeight="1">
      <c r="A327" s="11">
        <v>325</v>
      </c>
      <c r="B327" s="46" t="s">
        <v>569</v>
      </c>
      <c r="C327" s="46" t="s">
        <v>907</v>
      </c>
      <c r="D327" s="12"/>
      <c r="E327" s="13"/>
      <c r="F327" s="13"/>
      <c r="G327" s="13"/>
      <c r="H327" s="13"/>
      <c r="I327" s="13"/>
      <c r="J327" s="13"/>
      <c r="K327" s="13"/>
      <c r="L327" s="13"/>
      <c r="M327" s="13"/>
      <c r="N327" s="13"/>
      <c r="O327" s="13"/>
      <c r="P327" s="13"/>
      <c r="Q327" s="13"/>
      <c r="R327" s="13"/>
      <c r="S327" s="14">
        <f t="shared" si="55"/>
        <v>0</v>
      </c>
      <c r="T327" s="14">
        <f t="shared" si="56"/>
        <v>0</v>
      </c>
      <c r="U327" s="14">
        <f t="shared" si="57"/>
        <v>0</v>
      </c>
      <c r="V327" s="14">
        <f t="shared" si="58"/>
        <v>0</v>
      </c>
      <c r="W327" s="14">
        <f t="shared" si="60"/>
        <v>1</v>
      </c>
      <c r="X327" s="15">
        <f t="shared" si="59"/>
        <v>0</v>
      </c>
      <c r="Y327" s="16"/>
    </row>
    <row r="328" spans="1:25" ht="30" customHeight="1">
      <c r="A328" s="11">
        <v>326</v>
      </c>
      <c r="B328" s="46" t="s">
        <v>570</v>
      </c>
      <c r="C328" s="46" t="s">
        <v>908</v>
      </c>
      <c r="D328" s="12"/>
      <c r="E328" s="13"/>
      <c r="F328" s="13"/>
      <c r="G328" s="13"/>
      <c r="H328" s="13"/>
      <c r="I328" s="13"/>
      <c r="J328" s="13"/>
      <c r="K328" s="13"/>
      <c r="L328" s="13"/>
      <c r="M328" s="13"/>
      <c r="N328" s="13"/>
      <c r="O328" s="13"/>
      <c r="P328" s="13"/>
      <c r="Q328" s="13"/>
      <c r="R328" s="13"/>
      <c r="S328" s="14">
        <f t="shared" si="55"/>
        <v>0</v>
      </c>
      <c r="T328" s="14">
        <f t="shared" si="56"/>
        <v>0</v>
      </c>
      <c r="U328" s="14">
        <f t="shared" si="57"/>
        <v>0</v>
      </c>
      <c r="V328" s="14">
        <f t="shared" si="58"/>
        <v>0</v>
      </c>
      <c r="W328" s="14">
        <f t="shared" si="60"/>
        <v>1</v>
      </c>
      <c r="X328" s="15">
        <f t="shared" si="59"/>
        <v>0</v>
      </c>
      <c r="Y328" s="16"/>
    </row>
    <row r="329" spans="1:25" ht="30" customHeight="1">
      <c r="A329" s="11">
        <v>327</v>
      </c>
      <c r="B329" s="46" t="s">
        <v>571</v>
      </c>
      <c r="C329" s="46" t="s">
        <v>909</v>
      </c>
      <c r="D329" s="12"/>
      <c r="E329" s="13"/>
      <c r="F329" s="13"/>
      <c r="G329" s="13"/>
      <c r="H329" s="13"/>
      <c r="I329" s="13"/>
      <c r="J329" s="13"/>
      <c r="K329" s="13"/>
      <c r="L329" s="13"/>
      <c r="M329" s="13"/>
      <c r="N329" s="13"/>
      <c r="O329" s="13"/>
      <c r="P329" s="13"/>
      <c r="Q329" s="13"/>
      <c r="R329" s="13"/>
      <c r="S329" s="14">
        <f t="shared" si="55"/>
        <v>0</v>
      </c>
      <c r="T329" s="14">
        <f t="shared" si="56"/>
        <v>0</v>
      </c>
      <c r="U329" s="14">
        <f t="shared" si="57"/>
        <v>0</v>
      </c>
      <c r="V329" s="14">
        <f t="shared" si="58"/>
        <v>0</v>
      </c>
      <c r="W329" s="14">
        <f t="shared" si="60"/>
        <v>1</v>
      </c>
      <c r="X329" s="15">
        <f t="shared" si="59"/>
        <v>0</v>
      </c>
      <c r="Y329" s="16"/>
    </row>
    <row r="330" spans="1:25" ht="30" customHeight="1">
      <c r="A330" s="11">
        <v>328</v>
      </c>
      <c r="B330" s="46" t="s">
        <v>572</v>
      </c>
      <c r="C330" s="46" t="s">
        <v>910</v>
      </c>
      <c r="D330" s="12"/>
      <c r="E330" s="13"/>
      <c r="F330" s="13"/>
      <c r="G330" s="13"/>
      <c r="H330" s="13"/>
      <c r="I330" s="13"/>
      <c r="J330" s="13"/>
      <c r="K330" s="13"/>
      <c r="L330" s="13"/>
      <c r="M330" s="13"/>
      <c r="N330" s="13"/>
      <c r="O330" s="13"/>
      <c r="P330" s="13"/>
      <c r="Q330" s="13"/>
      <c r="R330" s="13"/>
      <c r="S330" s="14">
        <f t="shared" si="55"/>
        <v>0</v>
      </c>
      <c r="T330" s="14">
        <f t="shared" si="56"/>
        <v>0</v>
      </c>
      <c r="U330" s="14">
        <f t="shared" si="57"/>
        <v>0</v>
      </c>
      <c r="V330" s="14">
        <f t="shared" si="58"/>
        <v>0</v>
      </c>
      <c r="W330" s="14">
        <f t="shared" si="60"/>
        <v>1</v>
      </c>
      <c r="X330" s="15">
        <f t="shared" si="59"/>
        <v>0</v>
      </c>
      <c r="Y330" s="16" t="s">
        <v>995</v>
      </c>
    </row>
    <row r="331" spans="1:25" ht="30" customHeight="1">
      <c r="A331" s="11">
        <v>329</v>
      </c>
      <c r="B331" s="46" t="s">
        <v>573</v>
      </c>
      <c r="C331" s="46" t="s">
        <v>911</v>
      </c>
      <c r="D331" s="12"/>
      <c r="E331" s="13"/>
      <c r="F331" s="13"/>
      <c r="G331" s="13"/>
      <c r="H331" s="13"/>
      <c r="I331" s="13"/>
      <c r="J331" s="13"/>
      <c r="K331" s="13"/>
      <c r="L331" s="13"/>
      <c r="M331" s="13"/>
      <c r="N331" s="13"/>
      <c r="O331" s="13"/>
      <c r="P331" s="13"/>
      <c r="Q331" s="13"/>
      <c r="R331" s="13"/>
      <c r="S331" s="14">
        <f t="shared" si="55"/>
        <v>0</v>
      </c>
      <c r="T331" s="14">
        <f t="shared" si="56"/>
        <v>0</v>
      </c>
      <c r="U331" s="14">
        <f t="shared" si="57"/>
        <v>0</v>
      </c>
      <c r="V331" s="14">
        <f t="shared" si="58"/>
        <v>0</v>
      </c>
      <c r="W331" s="14">
        <f t="shared" si="60"/>
        <v>1</v>
      </c>
      <c r="X331" s="15">
        <f t="shared" si="59"/>
        <v>0</v>
      </c>
      <c r="Y331" s="16"/>
    </row>
    <row r="332" spans="1:25" ht="30" customHeight="1">
      <c r="A332" s="11">
        <v>330</v>
      </c>
      <c r="B332" s="46" t="s">
        <v>574</v>
      </c>
      <c r="C332" s="46" t="s">
        <v>912</v>
      </c>
      <c r="D332" s="12"/>
      <c r="E332" s="13"/>
      <c r="F332" s="13"/>
      <c r="G332" s="13"/>
      <c r="H332" s="13"/>
      <c r="I332" s="13"/>
      <c r="J332" s="13"/>
      <c r="K332" s="13"/>
      <c r="L332" s="13"/>
      <c r="M332" s="13"/>
      <c r="N332" s="13"/>
      <c r="O332" s="13"/>
      <c r="P332" s="13"/>
      <c r="Q332" s="13"/>
      <c r="R332" s="13"/>
      <c r="S332" s="14">
        <f t="shared" si="55"/>
        <v>0</v>
      </c>
      <c r="T332" s="14">
        <f t="shared" si="56"/>
        <v>0</v>
      </c>
      <c r="U332" s="14">
        <f t="shared" si="57"/>
        <v>0</v>
      </c>
      <c r="V332" s="14">
        <f t="shared" si="58"/>
        <v>0</v>
      </c>
      <c r="W332" s="14">
        <f t="shared" si="60"/>
        <v>1</v>
      </c>
      <c r="X332" s="15">
        <f t="shared" si="59"/>
        <v>0</v>
      </c>
      <c r="Y332" s="16" t="s">
        <v>1092</v>
      </c>
    </row>
    <row r="333" spans="1:25" ht="30" customHeight="1">
      <c r="A333" s="11">
        <v>331</v>
      </c>
      <c r="B333" s="46" t="s">
        <v>575</v>
      </c>
      <c r="C333" s="46" t="s">
        <v>913</v>
      </c>
      <c r="D333" s="12"/>
      <c r="E333" s="13"/>
      <c r="F333" s="13"/>
      <c r="G333" s="13"/>
      <c r="H333" s="13"/>
      <c r="I333" s="13"/>
      <c r="J333" s="13"/>
      <c r="K333" s="13"/>
      <c r="L333" s="13"/>
      <c r="M333" s="13"/>
      <c r="N333" s="13"/>
      <c r="O333" s="13"/>
      <c r="P333" s="13"/>
      <c r="Q333" s="13"/>
      <c r="R333" s="13"/>
      <c r="S333" s="14">
        <f t="shared" si="55"/>
        <v>0</v>
      </c>
      <c r="T333" s="14">
        <f t="shared" si="56"/>
        <v>0</v>
      </c>
      <c r="U333" s="14">
        <f t="shared" si="57"/>
        <v>0</v>
      </c>
      <c r="V333" s="14">
        <f t="shared" si="58"/>
        <v>0</v>
      </c>
      <c r="W333" s="14">
        <f t="shared" si="60"/>
        <v>1</v>
      </c>
      <c r="X333" s="15">
        <f t="shared" si="59"/>
        <v>0</v>
      </c>
      <c r="Y333" s="16"/>
    </row>
    <row r="334" spans="1:25" ht="30" customHeight="1">
      <c r="A334" s="11">
        <v>332</v>
      </c>
      <c r="B334" s="46" t="s">
        <v>576</v>
      </c>
      <c r="C334" s="46" t="s">
        <v>914</v>
      </c>
      <c r="D334" s="12"/>
      <c r="E334" s="13"/>
      <c r="F334" s="13"/>
      <c r="G334" s="13"/>
      <c r="H334" s="13"/>
      <c r="I334" s="13"/>
      <c r="J334" s="13"/>
      <c r="K334" s="13"/>
      <c r="L334" s="13"/>
      <c r="M334" s="13"/>
      <c r="N334" s="13"/>
      <c r="O334" s="13"/>
      <c r="P334" s="13"/>
      <c r="Q334" s="13"/>
      <c r="R334" s="13"/>
      <c r="S334" s="14">
        <f t="shared" si="55"/>
        <v>0</v>
      </c>
      <c r="T334" s="14">
        <f t="shared" si="56"/>
        <v>0</v>
      </c>
      <c r="U334" s="14">
        <f t="shared" si="57"/>
        <v>0</v>
      </c>
      <c r="V334" s="14">
        <f t="shared" si="58"/>
        <v>0</v>
      </c>
      <c r="W334" s="14">
        <f t="shared" si="60"/>
        <v>1</v>
      </c>
      <c r="X334" s="15">
        <f t="shared" si="59"/>
        <v>0</v>
      </c>
      <c r="Y334" s="16" t="s">
        <v>1093</v>
      </c>
    </row>
    <row r="335" spans="1:25" ht="30" customHeight="1">
      <c r="A335" s="11">
        <v>333</v>
      </c>
      <c r="B335" s="46" t="s">
        <v>577</v>
      </c>
      <c r="C335" s="46" t="s">
        <v>915</v>
      </c>
      <c r="D335" s="12"/>
      <c r="E335" s="13"/>
      <c r="F335" s="13"/>
      <c r="G335" s="13"/>
      <c r="H335" s="13"/>
      <c r="I335" s="13"/>
      <c r="J335" s="13"/>
      <c r="K335" s="13"/>
      <c r="L335" s="13"/>
      <c r="M335" s="13"/>
      <c r="N335" s="13"/>
      <c r="O335" s="13"/>
      <c r="P335" s="13"/>
      <c r="Q335" s="13"/>
      <c r="R335" s="13"/>
      <c r="S335" s="14">
        <f t="shared" si="55"/>
        <v>0</v>
      </c>
      <c r="T335" s="14">
        <f t="shared" si="56"/>
        <v>0</v>
      </c>
      <c r="U335" s="14">
        <f t="shared" si="57"/>
        <v>0</v>
      </c>
      <c r="V335" s="14">
        <f t="shared" si="58"/>
        <v>0</v>
      </c>
      <c r="W335" s="14">
        <f t="shared" si="60"/>
        <v>1</v>
      </c>
      <c r="X335" s="15">
        <f t="shared" si="59"/>
        <v>0</v>
      </c>
      <c r="Y335" s="16"/>
    </row>
    <row r="336" spans="1:25" ht="30" customHeight="1">
      <c r="A336" s="11">
        <v>334</v>
      </c>
      <c r="B336" s="46" t="s">
        <v>578</v>
      </c>
      <c r="C336" s="46" t="s">
        <v>916</v>
      </c>
      <c r="D336" s="12"/>
      <c r="E336" s="13"/>
      <c r="F336" s="13"/>
      <c r="G336" s="13"/>
      <c r="H336" s="13"/>
      <c r="I336" s="13"/>
      <c r="J336" s="13"/>
      <c r="K336" s="13"/>
      <c r="L336" s="13"/>
      <c r="M336" s="13"/>
      <c r="N336" s="13"/>
      <c r="O336" s="13"/>
      <c r="P336" s="13"/>
      <c r="Q336" s="13"/>
      <c r="R336" s="13"/>
      <c r="S336" s="14">
        <f t="shared" si="55"/>
        <v>0</v>
      </c>
      <c r="T336" s="14">
        <f t="shared" si="56"/>
        <v>0</v>
      </c>
      <c r="U336" s="14">
        <f t="shared" si="57"/>
        <v>0</v>
      </c>
      <c r="V336" s="14">
        <f t="shared" si="58"/>
        <v>0</v>
      </c>
      <c r="W336" s="14">
        <f t="shared" si="60"/>
        <v>1</v>
      </c>
      <c r="X336" s="15">
        <f t="shared" si="59"/>
        <v>0</v>
      </c>
      <c r="Y336" s="16" t="s">
        <v>1094</v>
      </c>
    </row>
    <row r="337" spans="1:25" ht="30" customHeight="1">
      <c r="A337" s="11">
        <v>335</v>
      </c>
      <c r="B337" s="46" t="s">
        <v>579</v>
      </c>
      <c r="C337" s="46" t="s">
        <v>917</v>
      </c>
      <c r="D337" s="12"/>
      <c r="E337" s="13"/>
      <c r="F337" s="13"/>
      <c r="G337" s="13"/>
      <c r="H337" s="13"/>
      <c r="I337" s="13"/>
      <c r="J337" s="13"/>
      <c r="K337" s="13"/>
      <c r="L337" s="13"/>
      <c r="M337" s="13"/>
      <c r="N337" s="13"/>
      <c r="O337" s="13"/>
      <c r="P337" s="13"/>
      <c r="Q337" s="13"/>
      <c r="R337" s="13"/>
      <c r="S337" s="14">
        <f t="shared" si="55"/>
        <v>0</v>
      </c>
      <c r="T337" s="14">
        <f t="shared" si="56"/>
        <v>0</v>
      </c>
      <c r="U337" s="14">
        <f t="shared" si="57"/>
        <v>0</v>
      </c>
      <c r="V337" s="14">
        <f t="shared" si="58"/>
        <v>0</v>
      </c>
      <c r="W337" s="14">
        <f t="shared" si="60"/>
        <v>1</v>
      </c>
      <c r="X337" s="15">
        <f t="shared" si="59"/>
        <v>0</v>
      </c>
      <c r="Y337" s="16"/>
    </row>
    <row r="338" spans="1:25" ht="30" customHeight="1">
      <c r="A338" s="11">
        <v>336</v>
      </c>
      <c r="B338" s="46" t="s">
        <v>580</v>
      </c>
      <c r="C338" s="46" t="s">
        <v>918</v>
      </c>
      <c r="D338" s="12"/>
      <c r="E338" s="13"/>
      <c r="F338" s="13"/>
      <c r="G338" s="13"/>
      <c r="H338" s="13"/>
      <c r="I338" s="13"/>
      <c r="J338" s="13"/>
      <c r="K338" s="13"/>
      <c r="L338" s="13"/>
      <c r="M338" s="13"/>
      <c r="N338" s="13"/>
      <c r="O338" s="13"/>
      <c r="P338" s="13"/>
      <c r="Q338" s="13"/>
      <c r="R338" s="13"/>
      <c r="S338" s="14">
        <f t="shared" si="55"/>
        <v>0</v>
      </c>
      <c r="T338" s="14">
        <f t="shared" si="56"/>
        <v>0</v>
      </c>
      <c r="U338" s="14">
        <f t="shared" si="57"/>
        <v>0</v>
      </c>
      <c r="V338" s="14">
        <f t="shared" si="58"/>
        <v>0</v>
      </c>
      <c r="W338" s="14">
        <f t="shared" si="60"/>
        <v>1</v>
      </c>
      <c r="X338" s="15">
        <f t="shared" si="59"/>
        <v>0</v>
      </c>
      <c r="Y338" s="16" t="s">
        <v>1095</v>
      </c>
    </row>
    <row r="339" spans="1:25" ht="30" customHeight="1">
      <c r="A339" s="11">
        <v>337</v>
      </c>
      <c r="B339" s="46" t="s">
        <v>581</v>
      </c>
      <c r="C339" s="46" t="s">
        <v>919</v>
      </c>
      <c r="D339" s="12"/>
      <c r="E339" s="13"/>
      <c r="F339" s="13"/>
      <c r="G339" s="13"/>
      <c r="H339" s="13"/>
      <c r="I339" s="13"/>
      <c r="J339" s="13"/>
      <c r="K339" s="13"/>
      <c r="L339" s="13"/>
      <c r="M339" s="13"/>
      <c r="N339" s="13"/>
      <c r="O339" s="13"/>
      <c r="P339" s="13"/>
      <c r="Q339" s="13"/>
      <c r="R339" s="13"/>
      <c r="S339" s="14">
        <f t="shared" si="55"/>
        <v>0</v>
      </c>
      <c r="T339" s="14">
        <f t="shared" si="56"/>
        <v>0</v>
      </c>
      <c r="U339" s="14">
        <f t="shared" si="57"/>
        <v>0</v>
      </c>
      <c r="V339" s="14">
        <f t="shared" si="58"/>
        <v>0</v>
      </c>
      <c r="W339" s="14">
        <f t="shared" si="60"/>
        <v>1</v>
      </c>
      <c r="X339" s="15">
        <f t="shared" si="59"/>
        <v>0</v>
      </c>
      <c r="Y339" s="16"/>
    </row>
    <row r="340" spans="1:25" ht="30" customHeight="1">
      <c r="A340" s="11">
        <v>338</v>
      </c>
      <c r="B340" s="46" t="s">
        <v>516</v>
      </c>
      <c r="C340" s="46" t="s">
        <v>854</v>
      </c>
      <c r="D340" s="12"/>
      <c r="E340" s="13"/>
      <c r="F340" s="13"/>
      <c r="G340" s="13"/>
      <c r="H340" s="13"/>
      <c r="I340" s="13"/>
      <c r="J340" s="13"/>
      <c r="K340" s="13"/>
      <c r="L340" s="13"/>
      <c r="M340" s="13"/>
      <c r="N340" s="13"/>
      <c r="O340" s="13"/>
      <c r="P340" s="13"/>
      <c r="Q340" s="13"/>
      <c r="R340" s="13"/>
      <c r="S340" s="14">
        <f t="shared" si="55"/>
        <v>0</v>
      </c>
      <c r="T340" s="14">
        <f t="shared" si="56"/>
        <v>0</v>
      </c>
      <c r="U340" s="14">
        <f t="shared" si="57"/>
        <v>0</v>
      </c>
      <c r="V340" s="14">
        <f t="shared" si="58"/>
        <v>0</v>
      </c>
      <c r="W340" s="14">
        <f t="shared" si="60"/>
        <v>1</v>
      </c>
      <c r="X340" s="15">
        <f t="shared" si="59"/>
        <v>0</v>
      </c>
      <c r="Y340" s="16"/>
    </row>
    <row r="341" spans="1:25" ht="30" customHeight="1">
      <c r="A341" s="11">
        <v>339</v>
      </c>
      <c r="B341" s="46" t="s">
        <v>582</v>
      </c>
      <c r="C341" s="48" t="s">
        <v>920</v>
      </c>
      <c r="D341" s="12"/>
      <c r="E341" s="13"/>
      <c r="F341" s="13"/>
      <c r="G341" s="13"/>
      <c r="H341" s="13"/>
      <c r="I341" s="13"/>
      <c r="J341" s="13"/>
      <c r="K341" s="13"/>
      <c r="L341" s="13"/>
      <c r="M341" s="13"/>
      <c r="N341" s="13"/>
      <c r="O341" s="13"/>
      <c r="P341" s="13"/>
      <c r="Q341" s="13"/>
      <c r="R341" s="13"/>
      <c r="S341" s="14">
        <f t="shared" si="55"/>
        <v>0</v>
      </c>
      <c r="T341" s="14">
        <f t="shared" si="56"/>
        <v>0</v>
      </c>
      <c r="U341" s="14">
        <f t="shared" si="57"/>
        <v>0</v>
      </c>
      <c r="V341" s="14">
        <f t="shared" si="58"/>
        <v>0</v>
      </c>
      <c r="W341" s="14">
        <f t="shared" si="60"/>
        <v>1</v>
      </c>
      <c r="X341" s="15">
        <f t="shared" si="59"/>
        <v>0</v>
      </c>
      <c r="Y341" s="16"/>
    </row>
    <row r="342" spans="1:25" ht="30" customHeight="1">
      <c r="A342" s="11">
        <v>340</v>
      </c>
      <c r="B342" s="46" t="s">
        <v>583</v>
      </c>
      <c r="C342" s="46" t="s">
        <v>921</v>
      </c>
      <c r="D342" s="12"/>
      <c r="E342" s="13"/>
      <c r="F342" s="13"/>
      <c r="G342" s="13"/>
      <c r="H342" s="13"/>
      <c r="I342" s="13"/>
      <c r="J342" s="13"/>
      <c r="K342" s="13"/>
      <c r="L342" s="13"/>
      <c r="M342" s="13"/>
      <c r="N342" s="13"/>
      <c r="O342" s="13"/>
      <c r="P342" s="13"/>
      <c r="Q342" s="13"/>
      <c r="R342" s="13"/>
      <c r="S342" s="14">
        <f t="shared" si="55"/>
        <v>0</v>
      </c>
      <c r="T342" s="14">
        <f t="shared" si="56"/>
        <v>0</v>
      </c>
      <c r="U342" s="14">
        <f t="shared" si="57"/>
        <v>0</v>
      </c>
      <c r="V342" s="14">
        <f t="shared" si="58"/>
        <v>0</v>
      </c>
      <c r="W342" s="14">
        <f t="shared" si="60"/>
        <v>1</v>
      </c>
      <c r="X342" s="15">
        <f t="shared" si="59"/>
        <v>0</v>
      </c>
      <c r="Y342" s="16"/>
    </row>
    <row r="343" spans="1:25" ht="30" customHeight="1">
      <c r="A343" s="11">
        <v>341</v>
      </c>
      <c r="B343" s="46" t="s">
        <v>584</v>
      </c>
      <c r="C343" s="46" t="s">
        <v>922</v>
      </c>
      <c r="D343" s="12"/>
      <c r="E343" s="13"/>
      <c r="F343" s="13"/>
      <c r="G343" s="13"/>
      <c r="H343" s="13"/>
      <c r="I343" s="13"/>
      <c r="J343" s="13"/>
      <c r="K343" s="13"/>
      <c r="L343" s="13"/>
      <c r="M343" s="13"/>
      <c r="N343" s="13"/>
      <c r="O343" s="13"/>
      <c r="P343" s="13"/>
      <c r="Q343" s="13"/>
      <c r="R343" s="13"/>
      <c r="S343" s="14">
        <f t="shared" si="55"/>
        <v>0</v>
      </c>
      <c r="T343" s="14">
        <f t="shared" si="56"/>
        <v>0</v>
      </c>
      <c r="U343" s="14">
        <f t="shared" si="57"/>
        <v>0</v>
      </c>
      <c r="V343" s="14">
        <f t="shared" si="58"/>
        <v>0</v>
      </c>
      <c r="W343" s="14">
        <f t="shared" si="60"/>
        <v>1</v>
      </c>
      <c r="X343" s="15">
        <f t="shared" si="59"/>
        <v>0</v>
      </c>
      <c r="Y343" s="16"/>
    </row>
    <row r="344" spans="1:25" ht="30" customHeight="1">
      <c r="A344" s="11">
        <v>342</v>
      </c>
      <c r="B344" s="46" t="s">
        <v>585</v>
      </c>
      <c r="C344" s="46" t="s">
        <v>923</v>
      </c>
      <c r="D344" s="12"/>
      <c r="E344" s="13"/>
      <c r="F344" s="13"/>
      <c r="G344" s="13"/>
      <c r="H344" s="13"/>
      <c r="I344" s="13"/>
      <c r="J344" s="13"/>
      <c r="K344" s="13"/>
      <c r="L344" s="13"/>
      <c r="M344" s="13"/>
      <c r="N344" s="13"/>
      <c r="O344" s="13"/>
      <c r="P344" s="13"/>
      <c r="Q344" s="13"/>
      <c r="R344" s="13"/>
      <c r="S344" s="14">
        <f t="shared" si="55"/>
        <v>0</v>
      </c>
      <c r="T344" s="14">
        <f t="shared" si="56"/>
        <v>0</v>
      </c>
      <c r="U344" s="14">
        <f t="shared" si="57"/>
        <v>0</v>
      </c>
      <c r="V344" s="14">
        <f t="shared" si="58"/>
        <v>0</v>
      </c>
      <c r="W344" s="14">
        <f t="shared" si="60"/>
        <v>1</v>
      </c>
      <c r="X344" s="15">
        <f t="shared" si="59"/>
        <v>0</v>
      </c>
      <c r="Y344" s="16" t="s">
        <v>1096</v>
      </c>
    </row>
    <row r="345" spans="1:25" ht="30" customHeight="1">
      <c r="A345" s="11">
        <v>343</v>
      </c>
      <c r="B345" s="46" t="s">
        <v>586</v>
      </c>
      <c r="C345" s="46" t="s">
        <v>924</v>
      </c>
      <c r="D345" s="12"/>
      <c r="E345" s="13"/>
      <c r="F345" s="13"/>
      <c r="G345" s="13"/>
      <c r="H345" s="13"/>
      <c r="I345" s="13"/>
      <c r="J345" s="13"/>
      <c r="K345" s="13"/>
      <c r="L345" s="13"/>
      <c r="M345" s="13"/>
      <c r="N345" s="13"/>
      <c r="O345" s="13"/>
      <c r="P345" s="13"/>
      <c r="Q345" s="13"/>
      <c r="R345" s="13"/>
      <c r="S345" s="14">
        <f t="shared" si="55"/>
        <v>0</v>
      </c>
      <c r="T345" s="14">
        <f t="shared" si="56"/>
        <v>0</v>
      </c>
      <c r="U345" s="14">
        <f t="shared" si="57"/>
        <v>0</v>
      </c>
      <c r="V345" s="14">
        <f t="shared" si="58"/>
        <v>0</v>
      </c>
      <c r="W345" s="14">
        <f t="shared" si="60"/>
        <v>1</v>
      </c>
      <c r="X345" s="15">
        <f t="shared" si="59"/>
        <v>0</v>
      </c>
      <c r="Y345" s="16"/>
    </row>
    <row r="346" spans="1:25" ht="30" customHeight="1">
      <c r="A346" s="11">
        <v>344</v>
      </c>
      <c r="B346" s="46" t="s">
        <v>587</v>
      </c>
      <c r="C346" s="46" t="s">
        <v>925</v>
      </c>
      <c r="D346" s="12"/>
      <c r="E346" s="13"/>
      <c r="F346" s="13"/>
      <c r="G346" s="13"/>
      <c r="H346" s="13"/>
      <c r="I346" s="13"/>
      <c r="J346" s="13"/>
      <c r="K346" s="13"/>
      <c r="L346" s="13"/>
      <c r="M346" s="13"/>
      <c r="N346" s="13"/>
      <c r="O346" s="13"/>
      <c r="P346" s="13"/>
      <c r="Q346" s="13"/>
      <c r="R346" s="13"/>
      <c r="S346" s="14">
        <f t="shared" si="55"/>
        <v>0</v>
      </c>
      <c r="T346" s="14">
        <f t="shared" si="56"/>
        <v>0</v>
      </c>
      <c r="U346" s="14">
        <f t="shared" si="57"/>
        <v>0</v>
      </c>
      <c r="V346" s="14">
        <f t="shared" si="58"/>
        <v>0</v>
      </c>
      <c r="W346" s="14">
        <f t="shared" si="60"/>
        <v>1</v>
      </c>
      <c r="X346" s="15">
        <f t="shared" si="59"/>
        <v>0</v>
      </c>
      <c r="Y346" s="16"/>
    </row>
    <row r="347" spans="1:25" ht="30" customHeight="1">
      <c r="A347" s="11">
        <v>345</v>
      </c>
      <c r="B347" s="46" t="s">
        <v>588</v>
      </c>
      <c r="C347" s="46" t="s">
        <v>926</v>
      </c>
      <c r="D347" s="12"/>
      <c r="E347" s="13"/>
      <c r="F347" s="13"/>
      <c r="G347" s="13"/>
      <c r="H347" s="13"/>
      <c r="I347" s="13"/>
      <c r="J347" s="13"/>
      <c r="K347" s="13"/>
      <c r="L347" s="13"/>
      <c r="M347" s="13"/>
      <c r="N347" s="13"/>
      <c r="O347" s="13"/>
      <c r="P347" s="13"/>
      <c r="Q347" s="13"/>
      <c r="R347" s="13"/>
      <c r="S347" s="14">
        <f t="shared" si="55"/>
        <v>0</v>
      </c>
      <c r="T347" s="14">
        <f t="shared" si="56"/>
        <v>0</v>
      </c>
      <c r="U347" s="14">
        <f t="shared" si="57"/>
        <v>0</v>
      </c>
      <c r="V347" s="14">
        <f t="shared" si="58"/>
        <v>0</v>
      </c>
      <c r="W347" s="14">
        <f t="shared" si="60"/>
        <v>1</v>
      </c>
      <c r="X347" s="15">
        <f t="shared" si="59"/>
        <v>0</v>
      </c>
      <c r="Y347" s="16" t="s">
        <v>1097</v>
      </c>
    </row>
    <row r="348" spans="1:25" ht="30" customHeight="1">
      <c r="A348" s="11">
        <v>346</v>
      </c>
      <c r="B348" s="46" t="s">
        <v>589</v>
      </c>
      <c r="C348" s="46" t="s">
        <v>927</v>
      </c>
      <c r="D348" s="12"/>
      <c r="E348" s="13"/>
      <c r="F348" s="13"/>
      <c r="G348" s="13"/>
      <c r="H348" s="13"/>
      <c r="I348" s="13"/>
      <c r="J348" s="13"/>
      <c r="K348" s="13"/>
      <c r="L348" s="13"/>
      <c r="M348" s="13"/>
      <c r="N348" s="13"/>
      <c r="O348" s="13"/>
      <c r="P348" s="13"/>
      <c r="Q348" s="13"/>
      <c r="R348" s="13"/>
      <c r="S348" s="14">
        <f t="shared" si="55"/>
        <v>0</v>
      </c>
      <c r="T348" s="14">
        <f t="shared" si="56"/>
        <v>0</v>
      </c>
      <c r="U348" s="14">
        <f t="shared" si="57"/>
        <v>0</v>
      </c>
      <c r="V348" s="14">
        <f t="shared" si="58"/>
        <v>0</v>
      </c>
      <c r="W348" s="14">
        <f t="shared" si="60"/>
        <v>1</v>
      </c>
      <c r="X348" s="15">
        <f t="shared" si="59"/>
        <v>0</v>
      </c>
      <c r="Y348" s="16"/>
    </row>
    <row r="349" spans="1:25" ht="30" customHeight="1">
      <c r="A349" s="11">
        <v>347</v>
      </c>
      <c r="B349" s="46" t="s">
        <v>338</v>
      </c>
      <c r="C349" s="45"/>
      <c r="D349" s="12"/>
      <c r="E349" s="13"/>
      <c r="F349" s="13"/>
      <c r="G349" s="13"/>
      <c r="H349" s="13"/>
      <c r="I349" s="13"/>
      <c r="J349" s="13"/>
      <c r="K349" s="13"/>
      <c r="L349" s="13"/>
      <c r="M349" s="13"/>
      <c r="N349" s="13"/>
      <c r="O349" s="13"/>
      <c r="P349" s="13"/>
      <c r="Q349" s="13"/>
      <c r="R349" s="13"/>
      <c r="S349" s="14">
        <f t="shared" si="55"/>
        <v>0</v>
      </c>
      <c r="T349" s="14">
        <f t="shared" si="56"/>
        <v>0</v>
      </c>
      <c r="U349" s="14">
        <f t="shared" si="57"/>
        <v>0</v>
      </c>
      <c r="V349" s="14">
        <f t="shared" si="58"/>
        <v>0</v>
      </c>
      <c r="W349" s="14">
        <f t="shared" si="60"/>
        <v>1</v>
      </c>
      <c r="X349" s="15">
        <f t="shared" si="59"/>
        <v>0</v>
      </c>
      <c r="Y349" s="16" t="s">
        <v>1098</v>
      </c>
    </row>
  </sheetData>
  <mergeCells count="7">
    <mergeCell ref="Y1:Y2"/>
    <mergeCell ref="A1:A2"/>
    <mergeCell ref="E1:R1"/>
    <mergeCell ref="S1:X1"/>
    <mergeCell ref="C1:C2"/>
    <mergeCell ref="B1:B2"/>
    <mergeCell ref="D1:D2"/>
  </mergeCells>
  <phoneticPr fontId="21" type="noConversion"/>
  <conditionalFormatting sqref="E3:R349">
    <cfRule type="cellIs" dxfId="17" priority="10" operator="equal">
      <formula>3</formula>
    </cfRule>
    <cfRule type="cellIs" dxfId="16" priority="11" operator="equal">
      <formula>2</formula>
    </cfRule>
    <cfRule type="cellIs" dxfId="15" priority="12" operator="equal">
      <formula>1</formula>
    </cfRule>
  </conditionalFormatting>
  <dataValidations count="1">
    <dataValidation type="list" allowBlank="1" sqref="E3:R349" xr:uid="{00000000-0002-0000-0200-000000000000}">
      <formula1>"0,1,2,3"</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4"/>
  <sheetViews>
    <sheetView zoomScaleNormal="100" workbookViewId="0">
      <pane xSplit="2" ySplit="2" topLeftCell="C3" activePane="bottomRight" state="frozen"/>
      <selection pane="topRight" activeCell="C1" sqref="C1"/>
      <selection pane="bottomLeft" activeCell="A3" sqref="A3"/>
      <selection pane="bottomRight" activeCell="G26" sqref="G26"/>
    </sheetView>
  </sheetViews>
  <sheetFormatPr defaultColWidth="8.6640625" defaultRowHeight="14.4"/>
  <cols>
    <col min="1" max="1" width="10" customWidth="1"/>
    <col min="2" max="2" width="30" customWidth="1"/>
    <col min="3" max="7" width="12" customWidth="1"/>
    <col min="8" max="8" width="16" customWidth="1"/>
    <col min="9" max="9" width="12" customWidth="1"/>
    <col min="10" max="10" width="14" customWidth="1"/>
    <col min="11" max="11" width="24" customWidth="1"/>
    <col min="12" max="12" width="27.77734375" customWidth="1"/>
  </cols>
  <sheetData>
    <row r="1" spans="1:11" ht="24" customHeight="1">
      <c r="A1" s="80" t="s">
        <v>149</v>
      </c>
      <c r="B1" s="66"/>
      <c r="C1" s="66"/>
      <c r="D1" s="66"/>
      <c r="E1" s="66"/>
      <c r="F1" s="66"/>
      <c r="G1" s="66"/>
      <c r="H1" s="66"/>
      <c r="I1" s="66"/>
      <c r="J1" s="66"/>
      <c r="K1" s="66"/>
    </row>
    <row r="2" spans="1:11" ht="42" customHeight="1">
      <c r="A2" s="17" t="s">
        <v>150</v>
      </c>
      <c r="B2" s="17" t="s">
        <v>151</v>
      </c>
      <c r="C2" s="17" t="s">
        <v>152</v>
      </c>
      <c r="D2" s="17" t="s">
        <v>153</v>
      </c>
      <c r="E2" s="17" t="s">
        <v>154</v>
      </c>
      <c r="F2" s="17" t="s">
        <v>155</v>
      </c>
      <c r="G2" s="17" t="s">
        <v>156</v>
      </c>
      <c r="H2" s="17" t="s">
        <v>157</v>
      </c>
      <c r="I2" s="17" t="s">
        <v>158</v>
      </c>
      <c r="J2" s="18" t="s">
        <v>159</v>
      </c>
      <c r="K2" s="17" t="s">
        <v>128</v>
      </c>
    </row>
    <row r="3" spans="1:11" ht="21.75" customHeight="1">
      <c r="A3" s="16"/>
      <c r="B3" s="58"/>
      <c r="C3" s="19"/>
      <c r="D3" s="19"/>
      <c r="E3" s="19"/>
      <c r="F3" s="19"/>
      <c r="G3" s="19"/>
      <c r="H3" s="19"/>
      <c r="I3" s="19"/>
      <c r="J3" s="20">
        <f t="shared" ref="J3:J32" si="0">IFERROR((C3/2*3+D3/2*2+E3/2*2+F3/2*3+G3/2*3),0)</f>
        <v>0</v>
      </c>
      <c r="K3" s="11"/>
    </row>
    <row r="4" spans="1:11" ht="21.75" customHeight="1">
      <c r="A4" s="16"/>
      <c r="B4" s="16"/>
      <c r="C4" s="19"/>
      <c r="D4" s="19"/>
      <c r="E4" s="19"/>
      <c r="F4" s="19"/>
      <c r="G4" s="19"/>
      <c r="H4" s="19"/>
      <c r="I4" s="19"/>
      <c r="J4" s="20">
        <f t="shared" si="0"/>
        <v>0</v>
      </c>
      <c r="K4" s="11"/>
    </row>
    <row r="5" spans="1:11" ht="21.75" customHeight="1">
      <c r="A5" s="16"/>
      <c r="B5" s="16"/>
      <c r="C5" s="19"/>
      <c r="D5" s="19"/>
      <c r="E5" s="19"/>
      <c r="F5" s="19"/>
      <c r="G5" s="19"/>
      <c r="H5" s="19"/>
      <c r="I5" s="19"/>
      <c r="J5" s="20">
        <f t="shared" si="0"/>
        <v>0</v>
      </c>
      <c r="K5" s="11"/>
    </row>
    <row r="6" spans="1:11" ht="21.75" customHeight="1">
      <c r="A6" s="16"/>
      <c r="B6" s="58"/>
      <c r="C6" s="19"/>
      <c r="D6" s="19"/>
      <c r="E6" s="19"/>
      <c r="F6" s="19"/>
      <c r="G6" s="19"/>
      <c r="H6" s="19"/>
      <c r="I6" s="19"/>
      <c r="J6" s="20">
        <f t="shared" si="0"/>
        <v>0</v>
      </c>
      <c r="K6" s="11"/>
    </row>
    <row r="7" spans="1:11" ht="21.75" customHeight="1">
      <c r="A7" s="16"/>
      <c r="B7" s="16"/>
      <c r="C7" s="19"/>
      <c r="D7" s="19"/>
      <c r="E7" s="19"/>
      <c r="F7" s="19"/>
      <c r="G7" s="19"/>
      <c r="H7" s="19"/>
      <c r="I7" s="19"/>
      <c r="J7" s="20">
        <f t="shared" si="0"/>
        <v>0</v>
      </c>
      <c r="K7" s="11"/>
    </row>
    <row r="8" spans="1:11" ht="21.75" customHeight="1">
      <c r="A8" s="16"/>
      <c r="B8" s="16"/>
      <c r="C8" s="19"/>
      <c r="D8" s="19"/>
      <c r="E8" s="19"/>
      <c r="F8" s="19"/>
      <c r="G8" s="19"/>
      <c r="H8" s="19"/>
      <c r="I8" s="19"/>
      <c r="J8" s="20">
        <f t="shared" si="0"/>
        <v>0</v>
      </c>
      <c r="K8" s="11"/>
    </row>
    <row r="9" spans="1:11" ht="21.75" customHeight="1">
      <c r="A9" s="16"/>
      <c r="B9" s="16"/>
      <c r="C9" s="19"/>
      <c r="D9" s="19"/>
      <c r="E9" s="19"/>
      <c r="F9" s="19"/>
      <c r="G9" s="19"/>
      <c r="H9" s="19"/>
      <c r="I9" s="19"/>
      <c r="J9" s="20">
        <f t="shared" si="0"/>
        <v>0</v>
      </c>
      <c r="K9" s="11"/>
    </row>
    <row r="10" spans="1:11" ht="21.75" customHeight="1">
      <c r="A10" s="16"/>
      <c r="B10" s="16"/>
      <c r="C10" s="19"/>
      <c r="D10" s="19"/>
      <c r="E10" s="19"/>
      <c r="F10" s="19"/>
      <c r="G10" s="19"/>
      <c r="H10" s="19"/>
      <c r="I10" s="19"/>
      <c r="J10" s="20">
        <f t="shared" si="0"/>
        <v>0</v>
      </c>
      <c r="K10" s="11"/>
    </row>
    <row r="11" spans="1:11" ht="21.75" customHeight="1">
      <c r="A11" s="16"/>
      <c r="B11" s="58"/>
      <c r="C11" s="19"/>
      <c r="D11" s="19"/>
      <c r="E11" s="19"/>
      <c r="F11" s="19"/>
      <c r="G11" s="19"/>
      <c r="H11" s="19"/>
      <c r="I11" s="19"/>
      <c r="J11" s="20">
        <f t="shared" si="0"/>
        <v>0</v>
      </c>
      <c r="K11" s="11"/>
    </row>
    <row r="12" spans="1:11" ht="21.75" customHeight="1">
      <c r="A12" s="16"/>
      <c r="B12" s="16"/>
      <c r="C12" s="19"/>
      <c r="D12" s="19"/>
      <c r="E12" s="19"/>
      <c r="F12" s="19"/>
      <c r="G12" s="19"/>
      <c r="H12" s="19"/>
      <c r="I12" s="19"/>
      <c r="J12" s="20">
        <f t="shared" si="0"/>
        <v>0</v>
      </c>
      <c r="K12" s="11"/>
    </row>
    <row r="13" spans="1:11" ht="21.75" customHeight="1">
      <c r="A13" s="16"/>
      <c r="B13" s="16"/>
      <c r="C13" s="19"/>
      <c r="D13" s="19"/>
      <c r="E13" s="19"/>
      <c r="F13" s="19"/>
      <c r="G13" s="19"/>
      <c r="H13" s="19"/>
      <c r="I13" s="19"/>
      <c r="J13" s="20">
        <f t="shared" si="0"/>
        <v>0</v>
      </c>
      <c r="K13" s="11"/>
    </row>
    <row r="14" spans="1:11" ht="21.75" customHeight="1">
      <c r="A14" s="16"/>
      <c r="B14" s="16"/>
      <c r="C14" s="19"/>
      <c r="D14" s="19"/>
      <c r="E14" s="19"/>
      <c r="F14" s="19"/>
      <c r="G14" s="19"/>
      <c r="H14" s="19"/>
      <c r="I14" s="19"/>
      <c r="J14" s="20">
        <f t="shared" si="0"/>
        <v>0</v>
      </c>
      <c r="K14" s="11"/>
    </row>
    <row r="15" spans="1:11" ht="21.75" customHeight="1">
      <c r="A15" s="16"/>
      <c r="B15" s="16"/>
      <c r="C15" s="19"/>
      <c r="D15" s="19"/>
      <c r="E15" s="19"/>
      <c r="F15" s="19"/>
      <c r="G15" s="19"/>
      <c r="H15" s="19"/>
      <c r="I15" s="19"/>
      <c r="J15" s="20">
        <f t="shared" si="0"/>
        <v>0</v>
      </c>
      <c r="K15" s="11"/>
    </row>
    <row r="16" spans="1:11" ht="21.75" customHeight="1">
      <c r="A16" s="16"/>
      <c r="B16" s="16"/>
      <c r="C16" s="19"/>
      <c r="D16" s="19"/>
      <c r="E16" s="19"/>
      <c r="F16" s="19"/>
      <c r="G16" s="19"/>
      <c r="H16" s="19"/>
      <c r="I16" s="19"/>
      <c r="J16" s="20">
        <f t="shared" si="0"/>
        <v>0</v>
      </c>
      <c r="K16" s="11"/>
    </row>
    <row r="17" spans="1:11" ht="21.75" customHeight="1">
      <c r="A17" s="16"/>
      <c r="B17" s="16"/>
      <c r="C17" s="19"/>
      <c r="D17" s="19"/>
      <c r="E17" s="19"/>
      <c r="F17" s="19"/>
      <c r="G17" s="19"/>
      <c r="H17" s="19"/>
      <c r="I17" s="19"/>
      <c r="J17" s="20">
        <f t="shared" si="0"/>
        <v>0</v>
      </c>
      <c r="K17" s="11"/>
    </row>
    <row r="18" spans="1:11" ht="21.75" customHeight="1">
      <c r="A18" s="16"/>
      <c r="B18" s="16"/>
      <c r="C18" s="19"/>
      <c r="D18" s="19"/>
      <c r="E18" s="19"/>
      <c r="F18" s="19"/>
      <c r="G18" s="19"/>
      <c r="H18" s="19"/>
      <c r="I18" s="19"/>
      <c r="J18" s="20">
        <f t="shared" si="0"/>
        <v>0</v>
      </c>
      <c r="K18" s="11"/>
    </row>
    <row r="19" spans="1:11" ht="21.75" customHeight="1">
      <c r="A19" s="16"/>
      <c r="B19" s="16"/>
      <c r="C19" s="19"/>
      <c r="D19" s="19"/>
      <c r="E19" s="19"/>
      <c r="F19" s="19"/>
      <c r="G19" s="19"/>
      <c r="H19" s="19"/>
      <c r="I19" s="19"/>
      <c r="J19" s="20">
        <f t="shared" si="0"/>
        <v>0</v>
      </c>
      <c r="K19" s="11"/>
    </row>
    <row r="20" spans="1:11" ht="21.75" customHeight="1">
      <c r="A20" s="16"/>
      <c r="B20" s="16"/>
      <c r="C20" s="19"/>
      <c r="D20" s="19"/>
      <c r="E20" s="19"/>
      <c r="F20" s="19"/>
      <c r="G20" s="19"/>
      <c r="H20" s="19"/>
      <c r="I20" s="19"/>
      <c r="J20" s="20">
        <f t="shared" si="0"/>
        <v>0</v>
      </c>
      <c r="K20" s="11"/>
    </row>
    <row r="21" spans="1:11" ht="21.75" customHeight="1">
      <c r="A21" s="16"/>
      <c r="B21" s="16"/>
      <c r="C21" s="19"/>
      <c r="D21" s="19"/>
      <c r="E21" s="19"/>
      <c r="F21" s="19"/>
      <c r="G21" s="19"/>
      <c r="H21" s="19"/>
      <c r="I21" s="19"/>
      <c r="J21" s="20">
        <f t="shared" si="0"/>
        <v>0</v>
      </c>
      <c r="K21" s="11"/>
    </row>
    <row r="22" spans="1:11" ht="21.75" customHeight="1">
      <c r="A22" s="16"/>
      <c r="B22" s="16"/>
      <c r="C22" s="19"/>
      <c r="D22" s="19"/>
      <c r="E22" s="19"/>
      <c r="F22" s="19"/>
      <c r="G22" s="19"/>
      <c r="H22" s="19"/>
      <c r="I22" s="19"/>
      <c r="J22" s="20">
        <f t="shared" si="0"/>
        <v>0</v>
      </c>
      <c r="K22" s="11"/>
    </row>
    <row r="23" spans="1:11" ht="21.75" customHeight="1">
      <c r="A23" s="16"/>
      <c r="B23" s="16"/>
      <c r="C23" s="19"/>
      <c r="D23" s="19"/>
      <c r="E23" s="19"/>
      <c r="F23" s="19"/>
      <c r="G23" s="19"/>
      <c r="H23" s="19"/>
      <c r="I23" s="19"/>
      <c r="J23" s="20">
        <f t="shared" si="0"/>
        <v>0</v>
      </c>
      <c r="K23" s="11"/>
    </row>
    <row r="24" spans="1:11" ht="21.75" customHeight="1">
      <c r="A24" s="16"/>
      <c r="B24" s="16"/>
      <c r="C24" s="19"/>
      <c r="D24" s="19"/>
      <c r="E24" s="19"/>
      <c r="F24" s="19"/>
      <c r="G24" s="19"/>
      <c r="H24" s="19"/>
      <c r="I24" s="19"/>
      <c r="J24" s="20">
        <f t="shared" si="0"/>
        <v>0</v>
      </c>
      <c r="K24" s="11"/>
    </row>
    <row r="25" spans="1:11" ht="21.75" customHeight="1">
      <c r="A25" s="16"/>
      <c r="B25" s="16"/>
      <c r="C25" s="19"/>
      <c r="D25" s="19"/>
      <c r="E25" s="19"/>
      <c r="F25" s="19"/>
      <c r="G25" s="19"/>
      <c r="H25" s="19"/>
      <c r="I25" s="19"/>
      <c r="J25" s="20">
        <f t="shared" si="0"/>
        <v>0</v>
      </c>
      <c r="K25" s="11"/>
    </row>
    <row r="26" spans="1:11" ht="21.75" customHeight="1">
      <c r="A26" s="16"/>
      <c r="B26" s="16"/>
      <c r="C26" s="19"/>
      <c r="D26" s="19"/>
      <c r="E26" s="19"/>
      <c r="F26" s="19"/>
      <c r="G26" s="19"/>
      <c r="H26" s="19"/>
      <c r="I26" s="19"/>
      <c r="J26" s="20">
        <f t="shared" si="0"/>
        <v>0</v>
      </c>
      <c r="K26" s="11"/>
    </row>
    <row r="27" spans="1:11" ht="21.75" customHeight="1">
      <c r="A27" s="16"/>
      <c r="B27" s="16"/>
      <c r="C27" s="19"/>
      <c r="D27" s="19"/>
      <c r="E27" s="19"/>
      <c r="F27" s="19"/>
      <c r="G27" s="19"/>
      <c r="H27" s="19"/>
      <c r="I27" s="19"/>
      <c r="J27" s="20">
        <f t="shared" si="0"/>
        <v>0</v>
      </c>
      <c r="K27" s="11"/>
    </row>
    <row r="28" spans="1:11" ht="21.75" customHeight="1">
      <c r="A28" s="16"/>
      <c r="B28" s="16"/>
      <c r="C28" s="19"/>
      <c r="D28" s="19"/>
      <c r="E28" s="19"/>
      <c r="F28" s="19"/>
      <c r="G28" s="19"/>
      <c r="H28" s="19"/>
      <c r="I28" s="19"/>
      <c r="J28" s="20">
        <f t="shared" si="0"/>
        <v>0</v>
      </c>
      <c r="K28" s="11"/>
    </row>
    <row r="29" spans="1:11" ht="21.75" customHeight="1">
      <c r="A29" s="16"/>
      <c r="B29" s="16"/>
      <c r="C29" s="19"/>
      <c r="D29" s="19"/>
      <c r="E29" s="19"/>
      <c r="F29" s="19"/>
      <c r="G29" s="19"/>
      <c r="H29" s="19"/>
      <c r="I29" s="19"/>
      <c r="J29" s="20">
        <f t="shared" si="0"/>
        <v>0</v>
      </c>
      <c r="K29" s="11"/>
    </row>
    <row r="30" spans="1:11" ht="21.75" customHeight="1">
      <c r="A30" s="16"/>
      <c r="B30" s="16"/>
      <c r="C30" s="19"/>
      <c r="D30" s="19"/>
      <c r="E30" s="19"/>
      <c r="F30" s="19"/>
      <c r="G30" s="19"/>
      <c r="H30" s="19"/>
      <c r="I30" s="19"/>
      <c r="J30" s="20">
        <f t="shared" si="0"/>
        <v>0</v>
      </c>
      <c r="K30" s="11"/>
    </row>
    <row r="31" spans="1:11" ht="21.75" customHeight="1">
      <c r="A31" s="16"/>
      <c r="B31" s="16"/>
      <c r="C31" s="19"/>
      <c r="D31" s="19"/>
      <c r="E31" s="19"/>
      <c r="F31" s="19"/>
      <c r="G31" s="19"/>
      <c r="H31" s="19"/>
      <c r="I31" s="19"/>
      <c r="J31" s="20">
        <f t="shared" si="0"/>
        <v>0</v>
      </c>
      <c r="K31" s="11"/>
    </row>
    <row r="32" spans="1:11" ht="21.75" customHeight="1">
      <c r="A32" s="16"/>
      <c r="B32" s="16"/>
      <c r="C32" s="19"/>
      <c r="D32" s="19"/>
      <c r="E32" s="19"/>
      <c r="F32" s="19"/>
      <c r="G32" s="19"/>
      <c r="H32" s="19"/>
      <c r="I32" s="19"/>
      <c r="J32" s="20">
        <f t="shared" si="0"/>
        <v>0</v>
      </c>
      <c r="K32" s="11"/>
    </row>
    <row r="34" spans="1:11" ht="15" customHeight="1">
      <c r="A34" s="21" t="s">
        <v>160</v>
      </c>
      <c r="B34" s="22"/>
      <c r="C34" s="23">
        <f t="shared" ref="C34:J34" si="1">IFERROR(AVERAGE(C3:C32),0)</f>
        <v>0</v>
      </c>
      <c r="D34" s="23">
        <f t="shared" si="1"/>
        <v>0</v>
      </c>
      <c r="E34" s="23">
        <f t="shared" si="1"/>
        <v>0</v>
      </c>
      <c r="F34" s="23">
        <f t="shared" si="1"/>
        <v>0</v>
      </c>
      <c r="G34" s="23">
        <f t="shared" si="1"/>
        <v>0</v>
      </c>
      <c r="H34" s="23">
        <f t="shared" si="1"/>
        <v>0</v>
      </c>
      <c r="I34" s="23">
        <f t="shared" si="1"/>
        <v>0</v>
      </c>
      <c r="J34" s="23">
        <f t="shared" si="1"/>
        <v>0</v>
      </c>
      <c r="K34" s="22"/>
    </row>
  </sheetData>
  <mergeCells count="1">
    <mergeCell ref="A1:K1"/>
  </mergeCells>
  <phoneticPr fontId="21" type="noConversion"/>
  <dataValidations count="2">
    <dataValidation type="list" allowBlank="1" sqref="C3:G32" xr:uid="{00000000-0002-0000-0300-000000000000}">
      <formula1>"0,1,2"</formula1>
      <formula2>0</formula2>
    </dataValidation>
    <dataValidation type="list" allowBlank="1" sqref="H3:H32" xr:uid="{00000000-0002-0000-0300-000001000000}">
      <formula1>"0,1,2,3,4,5"</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5"/>
  <sheetViews>
    <sheetView zoomScaleNormal="100" workbookViewId="0">
      <selection activeCell="D16" sqref="D16:D29"/>
    </sheetView>
  </sheetViews>
  <sheetFormatPr defaultColWidth="8.6640625" defaultRowHeight="14.4"/>
  <cols>
    <col min="1" max="1" width="28" customWidth="1"/>
    <col min="2" max="2" width="18" customWidth="1"/>
    <col min="3" max="3" width="16" customWidth="1"/>
    <col min="4" max="4" width="14" customWidth="1"/>
    <col min="5" max="5" width="28" customWidth="1"/>
  </cols>
  <sheetData>
    <row r="1" spans="1:5" ht="19.5" customHeight="1">
      <c r="A1" s="83" t="s">
        <v>161</v>
      </c>
      <c r="B1" s="66"/>
      <c r="C1" s="66"/>
      <c r="D1" s="66"/>
      <c r="E1" s="66"/>
    </row>
    <row r="4" spans="1:5" ht="15" customHeight="1">
      <c r="A4" s="10" t="s">
        <v>162</v>
      </c>
      <c r="B4" s="19" t="s">
        <v>1099</v>
      </c>
      <c r="C4" s="10" t="s">
        <v>163</v>
      </c>
      <c r="D4" s="49">
        <v>46181</v>
      </c>
    </row>
    <row r="6" spans="1:5" ht="15" customHeight="1">
      <c r="A6" s="65" t="s">
        <v>164</v>
      </c>
      <c r="B6" s="66"/>
      <c r="C6" s="66"/>
      <c r="D6" s="66"/>
      <c r="E6" s="66"/>
    </row>
    <row r="7" spans="1:5" ht="24" customHeight="1">
      <c r="A7" s="1" t="s">
        <v>165</v>
      </c>
      <c r="B7" s="1" t="s">
        <v>166</v>
      </c>
      <c r="C7" s="1" t="s">
        <v>167</v>
      </c>
      <c r="D7" s="1" t="s">
        <v>168</v>
      </c>
      <c r="E7" s="1" t="s">
        <v>128</v>
      </c>
    </row>
    <row r="8" spans="1:5" ht="15" customHeight="1">
      <c r="A8" s="10" t="s">
        <v>169</v>
      </c>
      <c r="B8" s="24" t="s">
        <v>170</v>
      </c>
      <c r="C8" s="25">
        <f>IFERROR(SUM('③ 평가 입력'!S3:S202)/COUNTA('③ 평가 입력'!B3:B202)*100,0)</f>
        <v>0</v>
      </c>
      <c r="D8" s="26" t="str">
        <f>IF(C8="","",IF(C8&lt;=50,"통과","미달"))</f>
        <v>통과</v>
      </c>
      <c r="E8" s="19"/>
    </row>
    <row r="9" spans="1:5" ht="15" customHeight="1">
      <c r="A9" s="10" t="s">
        <v>171</v>
      </c>
      <c r="B9" s="24" t="s">
        <v>172</v>
      </c>
      <c r="C9" s="25">
        <f>IFERROR(SUM('③ 평가 입력'!T3:T202)/COUNTA('③ 평가 입력'!B3:B202)*100,0)</f>
        <v>0</v>
      </c>
      <c r="D9" s="26" t="str">
        <f>IF(C9="","",IF(C9&lt;=20,"통과","미달"))</f>
        <v>통과</v>
      </c>
      <c r="E9" s="19"/>
    </row>
    <row r="10" spans="1:5" ht="15" customHeight="1">
      <c r="A10" s="10" t="s">
        <v>173</v>
      </c>
      <c r="B10" s="24" t="s">
        <v>174</v>
      </c>
      <c r="C10" s="25">
        <f>IFERROR(SUM('③ 평가 입력'!U3:U202)/COUNTA('③ 평가 입력'!B3:B202)*100,0)</f>
        <v>0</v>
      </c>
      <c r="D10" s="26" t="str">
        <f>IF(C10="","",IF(C10&lt;=15,"통과","미달"))</f>
        <v>통과</v>
      </c>
      <c r="E10" s="19"/>
    </row>
    <row r="11" spans="1:5" ht="15" customHeight="1">
      <c r="A11" s="10" t="s">
        <v>175</v>
      </c>
      <c r="B11" s="24" t="s">
        <v>176</v>
      </c>
      <c r="C11" s="25">
        <f>IFERROR(SUM('③ 평가 입력'!V3:V202)/COUNTA('③ 평가 입력'!B3:B202)*100,0)</f>
        <v>0</v>
      </c>
      <c r="D11" s="26" t="str">
        <f>IF(C11="","",IF(C11&lt;=10,"통과","미달"))</f>
        <v>통과</v>
      </c>
      <c r="E11" s="19"/>
    </row>
    <row r="12" spans="1:5" ht="15" customHeight="1">
      <c r="A12" s="10" t="s">
        <v>177</v>
      </c>
      <c r="B12" s="24" t="s">
        <v>178</v>
      </c>
      <c r="C12" s="25">
        <f>IFERROR(SUM('③ 평가 입력'!W3:W202)/COUNTA('③ 평가 입력'!B3:B202)*100,0)</f>
        <v>100</v>
      </c>
      <c r="D12" s="26" t="str">
        <f>IF(C12="","",IF(C12&gt;=30,"통과","미달"))</f>
        <v>통과</v>
      </c>
      <c r="E12" s="19"/>
    </row>
    <row r="14" spans="1:5" ht="18.75" customHeight="1">
      <c r="A14" s="65" t="s">
        <v>179</v>
      </c>
      <c r="B14" s="66"/>
      <c r="C14" s="66"/>
      <c r="D14" s="66"/>
      <c r="E14" s="66"/>
    </row>
    <row r="15" spans="1:5" ht="21.75" customHeight="1">
      <c r="A15" s="27" t="s">
        <v>0</v>
      </c>
      <c r="B15" s="1" t="s">
        <v>1</v>
      </c>
      <c r="C15" s="1" t="s">
        <v>180</v>
      </c>
      <c r="D15" s="1" t="s">
        <v>181</v>
      </c>
      <c r="E15" s="1" t="s">
        <v>128</v>
      </c>
    </row>
    <row r="16" spans="1:5" ht="15" customHeight="1">
      <c r="A16" s="8" t="s">
        <v>8</v>
      </c>
      <c r="B16" s="28" t="s">
        <v>182</v>
      </c>
      <c r="C16" s="8">
        <f>COUNTIF('③ 평가 입력'!E3:E202,"&gt;=1")</f>
        <v>0</v>
      </c>
      <c r="D16" s="29">
        <f>IFERROR(C16/COUNTA('③ 평가 입력'!B3:B202)*100,0)</f>
        <v>0</v>
      </c>
      <c r="E16" s="13"/>
    </row>
    <row r="17" spans="1:5" ht="15" customHeight="1">
      <c r="A17" s="8" t="s">
        <v>13</v>
      </c>
      <c r="B17" s="28" t="s">
        <v>183</v>
      </c>
      <c r="C17" s="8">
        <f>COUNTIF('③ 평가 입력'!F3:F202,"&gt;=1")</f>
        <v>0</v>
      </c>
      <c r="D17" s="29">
        <f>IFERROR(C17/COUNTA('③ 평가 입력'!B3:B202)*100,0)</f>
        <v>0</v>
      </c>
      <c r="E17" s="13"/>
    </row>
    <row r="18" spans="1:5" ht="15" customHeight="1">
      <c r="A18" s="8" t="s">
        <v>18</v>
      </c>
      <c r="B18" s="28" t="s">
        <v>19</v>
      </c>
      <c r="C18" s="8">
        <f>COUNTIF('③ 평가 입력'!G3:G202,"&gt;=1")</f>
        <v>0</v>
      </c>
      <c r="D18" s="29">
        <f>IFERROR(C18/COUNTA('③ 평가 입력'!B3:B202)*100,0)</f>
        <v>0</v>
      </c>
      <c r="E18" s="13"/>
    </row>
    <row r="19" spans="1:5" ht="15" customHeight="1">
      <c r="A19" s="8" t="s">
        <v>24</v>
      </c>
      <c r="B19" s="28" t="s">
        <v>184</v>
      </c>
      <c r="C19" s="8">
        <f>COUNTIF('③ 평가 입력'!H3:H202,"&gt;=1")</f>
        <v>0</v>
      </c>
      <c r="D19" s="29">
        <f>IFERROR(C19/COUNTA('③ 평가 입력'!B3:B202)*100,0)</f>
        <v>0</v>
      </c>
      <c r="E19" s="13"/>
    </row>
    <row r="20" spans="1:5" ht="15" customHeight="1">
      <c r="A20" s="8" t="s">
        <v>30</v>
      </c>
      <c r="B20" s="28" t="s">
        <v>185</v>
      </c>
      <c r="C20" s="8">
        <f>COUNTIF('③ 평가 입력'!I3:I202,"&gt;=1")</f>
        <v>0</v>
      </c>
      <c r="D20" s="29">
        <f>IFERROR(C20/COUNTA('③ 평가 입력'!B3:B202)*100,0)</f>
        <v>0</v>
      </c>
      <c r="E20" s="13"/>
    </row>
    <row r="21" spans="1:5" ht="15" customHeight="1">
      <c r="A21" s="8" t="s">
        <v>33</v>
      </c>
      <c r="B21" s="28" t="s">
        <v>186</v>
      </c>
      <c r="C21" s="8">
        <f>COUNTIF('③ 평가 입력'!J3:J202,"&gt;=1")</f>
        <v>0</v>
      </c>
      <c r="D21" s="29">
        <f>IFERROR(C21/COUNTA('③ 평가 입력'!B3:B202)*100,0)</f>
        <v>0</v>
      </c>
      <c r="E21" s="13"/>
    </row>
    <row r="22" spans="1:5" ht="15" customHeight="1">
      <c r="A22" s="8" t="s">
        <v>37</v>
      </c>
      <c r="B22" s="30" t="s">
        <v>187</v>
      </c>
      <c r="C22" s="8">
        <f>COUNTIF('③ 평가 입력'!K3:K202,"&gt;=1")</f>
        <v>0</v>
      </c>
      <c r="D22" s="29">
        <f>IFERROR(C22/COUNTA('③ 평가 입력'!B3:B202)*100,0)</f>
        <v>0</v>
      </c>
      <c r="E22" s="13"/>
    </row>
    <row r="23" spans="1:5" ht="15" customHeight="1">
      <c r="A23" s="8" t="s">
        <v>43</v>
      </c>
      <c r="B23" s="28" t="s">
        <v>188</v>
      </c>
      <c r="C23" s="8">
        <f>COUNTIF('③ 평가 입력'!L3:L202,"&gt;=1")</f>
        <v>0</v>
      </c>
      <c r="D23" s="29">
        <f>IFERROR(C23/COUNTA('③ 평가 입력'!B3:B202)*100,0)</f>
        <v>0</v>
      </c>
      <c r="E23" s="13"/>
    </row>
    <row r="24" spans="1:5" ht="15" customHeight="1">
      <c r="A24" s="8" t="s">
        <v>49</v>
      </c>
      <c r="B24" s="28" t="s">
        <v>189</v>
      </c>
      <c r="C24" s="8">
        <f>COUNTIF('③ 평가 입력'!M3:M202,"&gt;=1")</f>
        <v>0</v>
      </c>
      <c r="D24" s="29">
        <f>IFERROR(C24/COUNTA('③ 평가 입력'!B3:B202)*100,0)</f>
        <v>0</v>
      </c>
      <c r="E24" s="13"/>
    </row>
    <row r="25" spans="1:5" ht="15" customHeight="1">
      <c r="A25" s="8" t="s">
        <v>51</v>
      </c>
      <c r="B25" s="28" t="s">
        <v>190</v>
      </c>
      <c r="C25" s="8">
        <f>COUNTIF('③ 평가 입력'!N3:N202,"&gt;=1")</f>
        <v>0</v>
      </c>
      <c r="D25" s="29">
        <f>IFERROR(C25/COUNTA('③ 평가 입력'!B3:B202)*100,0)</f>
        <v>0</v>
      </c>
      <c r="E25" s="13"/>
    </row>
    <row r="26" spans="1:5" ht="15" customHeight="1">
      <c r="A26" s="8" t="s">
        <v>56</v>
      </c>
      <c r="B26" s="28" t="s">
        <v>191</v>
      </c>
      <c r="C26" s="8">
        <f>COUNTIF('③ 평가 입력'!O3:O202,"&gt;=1")</f>
        <v>0</v>
      </c>
      <c r="D26" s="29">
        <f>IFERROR(C26/COUNTA('③ 평가 입력'!B3:B202)*100,0)</f>
        <v>0</v>
      </c>
      <c r="E26" s="13"/>
    </row>
    <row r="27" spans="1:5" ht="15" customHeight="1">
      <c r="A27" s="8" t="s">
        <v>59</v>
      </c>
      <c r="B27" s="28" t="s">
        <v>192</v>
      </c>
      <c r="C27" s="8">
        <f>COUNTIF('③ 평가 입력'!P3:P202,"&gt;=1")</f>
        <v>0</v>
      </c>
      <c r="D27" s="29">
        <f>IFERROR(C27/COUNTA('③ 평가 입력'!B3:B202)*100,0)</f>
        <v>0</v>
      </c>
      <c r="E27" s="13"/>
    </row>
    <row r="28" spans="1:5" ht="15" customHeight="1">
      <c r="A28" s="8" t="s">
        <v>65</v>
      </c>
      <c r="B28" s="28" t="s">
        <v>66</v>
      </c>
      <c r="C28" s="8">
        <f>COUNTIF('③ 평가 입력'!Q3:Q202,"&gt;=1")</f>
        <v>0</v>
      </c>
      <c r="D28" s="29">
        <f>IFERROR(C28/COUNTA('③ 평가 입력'!B3:B202)*100,0)</f>
        <v>0</v>
      </c>
      <c r="E28" s="13"/>
    </row>
    <row r="29" spans="1:5" ht="15" customHeight="1">
      <c r="A29" s="8" t="s">
        <v>67</v>
      </c>
      <c r="B29" s="28" t="s">
        <v>68</v>
      </c>
      <c r="C29" s="8">
        <f>COUNTIF('③ 평가 입력'!R3:R202,"&gt;=1")</f>
        <v>0</v>
      </c>
      <c r="D29" s="29">
        <f>IFERROR(C29/COUNTA('③ 평가 입력'!B3:B202)*100,0)</f>
        <v>0</v>
      </c>
      <c r="E29" s="13"/>
    </row>
    <row r="31" spans="1:5" ht="15" customHeight="1">
      <c r="A31" s="65" t="s">
        <v>193</v>
      </c>
      <c r="B31" s="66"/>
      <c r="C31" s="66"/>
      <c r="D31" s="66"/>
      <c r="E31" s="66"/>
    </row>
    <row r="32" spans="1:5" ht="15" customHeight="1">
      <c r="A32" s="10" t="s">
        <v>194</v>
      </c>
      <c r="B32" s="31">
        <f>'④ 정성 평가'!J34</f>
        <v>0</v>
      </c>
      <c r="C32" s="10" t="s">
        <v>195</v>
      </c>
      <c r="D32" s="20">
        <f>MAX(0,C8-B32)</f>
        <v>0</v>
      </c>
      <c r="E32" s="24"/>
    </row>
    <row r="34" spans="1:5" ht="15" customHeight="1">
      <c r="A34" s="81" t="s">
        <v>196</v>
      </c>
      <c r="B34" s="66"/>
      <c r="C34" s="66"/>
      <c r="D34" s="66"/>
      <c r="E34" s="66"/>
    </row>
    <row r="35" spans="1:5" ht="21" customHeight="1">
      <c r="A35" s="10" t="s">
        <v>168</v>
      </c>
      <c r="B35" s="82" t="str">
        <f>IF(COUNTIF(D8:D12,"미달")=0,"✅ 통과",IF(AND(COUNTIF(D8:D12,"미달")=1,D32&lt;=50,C9&gt;20=FALSE()),"⚠ 조건부 통과",IF(OR(COUNTIF(D8:D12,"미달")&gt;=2,C9&gt;20),"❌ 실패","⚠ 조건부 통과")))</f>
        <v>✅ 통과</v>
      </c>
      <c r="C35" s="68"/>
      <c r="D35" s="68"/>
      <c r="E35" s="69"/>
    </row>
  </sheetData>
  <mergeCells count="6">
    <mergeCell ref="A34:E34"/>
    <mergeCell ref="B35:E35"/>
    <mergeCell ref="A14:E14"/>
    <mergeCell ref="A1:E1"/>
    <mergeCell ref="A31:E31"/>
    <mergeCell ref="A6:E6"/>
  </mergeCells>
  <phoneticPr fontId="21" type="noConversion"/>
  <conditionalFormatting sqref="D8:D12">
    <cfRule type="cellIs" dxfId="14" priority="2" operator="equal">
      <formula>"통과"</formula>
    </cfRule>
    <cfRule type="cellIs" dxfId="13" priority="3" operator="equal">
      <formula>"미달"</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6"/>
  <sheetViews>
    <sheetView topLeftCell="A4" zoomScaleNormal="100" workbookViewId="0">
      <selection activeCell="C32" sqref="C32"/>
    </sheetView>
  </sheetViews>
  <sheetFormatPr defaultColWidth="8.6640625" defaultRowHeight="14.4"/>
  <cols>
    <col min="1" max="1" width="26" customWidth="1"/>
    <col min="2" max="7" width="14" customWidth="1"/>
    <col min="8" max="8" width="24" customWidth="1"/>
  </cols>
  <sheetData>
    <row r="1" spans="1:8" ht="21" customHeight="1">
      <c r="A1" s="84" t="s">
        <v>197</v>
      </c>
      <c r="B1" s="66"/>
      <c r="C1" s="66"/>
      <c r="D1" s="66"/>
      <c r="E1" s="66"/>
      <c r="F1" s="66"/>
      <c r="G1" s="66"/>
      <c r="H1" s="66"/>
    </row>
    <row r="2" spans="1:8" ht="13.5" customHeight="1">
      <c r="A2" s="73" t="s">
        <v>198</v>
      </c>
      <c r="B2" s="66"/>
      <c r="C2" s="66"/>
      <c r="D2" s="66"/>
      <c r="E2" s="66"/>
      <c r="F2" s="66"/>
      <c r="G2" s="66"/>
      <c r="H2" s="66"/>
    </row>
    <row r="4" spans="1:8" ht="24" customHeight="1">
      <c r="A4" s="6" t="s">
        <v>165</v>
      </c>
      <c r="B4" s="6" t="s">
        <v>199</v>
      </c>
      <c r="C4" s="6" t="s">
        <v>200</v>
      </c>
      <c r="D4" s="6" t="s">
        <v>201</v>
      </c>
      <c r="E4" s="6" t="s">
        <v>202</v>
      </c>
      <c r="F4" s="6" t="s">
        <v>203</v>
      </c>
      <c r="G4" s="6" t="s">
        <v>204</v>
      </c>
      <c r="H4" s="6" t="s">
        <v>168</v>
      </c>
    </row>
    <row r="5" spans="1:8" ht="15" customHeight="1">
      <c r="A5" s="33" t="s">
        <v>205</v>
      </c>
      <c r="B5" s="25">
        <f>IFERROR(SUM('③ 평가 입력'!#REF!)/COUNTA('③ 평가 입력'!#REF!)*100,0)</f>
        <v>0</v>
      </c>
      <c r="C5" s="13"/>
      <c r="D5" s="34">
        <f>IFERROR(C5-B5,"")</f>
        <v>0</v>
      </c>
      <c r="E5" s="35" t="str">
        <f>IF(D5="","",IF(D5&lt;0,"개선",IF(D5&gt;0,"악화","유지")))</f>
        <v>유지</v>
      </c>
      <c r="F5" s="36" t="str">
        <f>IF(D5="","",IF(D5&gt;=2,"⚠ 나빠짐",""))</f>
        <v/>
      </c>
      <c r="G5" s="7" t="s">
        <v>170</v>
      </c>
      <c r="H5" s="43" t="str">
        <f>IF(C5="","",IF(C5&lt;=VALUE(SUBSTITUTE(G5,"≤ ","")),"통과","미달"))</f>
        <v/>
      </c>
    </row>
    <row r="6" spans="1:8" ht="15" customHeight="1">
      <c r="A6" s="33" t="s">
        <v>171</v>
      </c>
      <c r="B6" s="25">
        <f>IFERROR(SUM('③ 평가 입력'!#REF!)/COUNTA('③ 평가 입력'!#REF!)*100,0)</f>
        <v>0</v>
      </c>
      <c r="C6" s="13"/>
      <c r="D6" s="34">
        <f>IFERROR(C6-B6,"")</f>
        <v>0</v>
      </c>
      <c r="E6" s="35" t="str">
        <f>IF(D6="","",IF(D6&lt;0,"개선",IF(D6&gt;0,"악화","유지")))</f>
        <v>유지</v>
      </c>
      <c r="F6" s="36" t="str">
        <f>IF(D6="","",IF(D6&gt;=2,"⚠ 나빠짐",""))</f>
        <v/>
      </c>
      <c r="G6" s="7" t="s">
        <v>172</v>
      </c>
      <c r="H6" s="43" t="str">
        <f>IF(C6="","",IF(C6&lt;=VALUE(SUBSTITUTE(G6,"≤ ","")),"통과","미달"))</f>
        <v/>
      </c>
    </row>
    <row r="7" spans="1:8" ht="15" customHeight="1">
      <c r="A7" s="33" t="s">
        <v>173</v>
      </c>
      <c r="B7" s="25">
        <f>IFERROR(SUM('③ 평가 입력'!#REF!)/COUNTA('③ 평가 입력'!#REF!)*100,0)</f>
        <v>0</v>
      </c>
      <c r="C7" s="13"/>
      <c r="D7" s="34">
        <f>IFERROR(C7-B7,"")</f>
        <v>0</v>
      </c>
      <c r="E7" s="35" t="str">
        <f>IF(D7="","",IF(D7&lt;0,"개선",IF(D7&gt;0,"악화","유지")))</f>
        <v>유지</v>
      </c>
      <c r="F7" s="36" t="str">
        <f>IF(D7="","",IF(D7&gt;=2,"⚠ 나빠짐",""))</f>
        <v/>
      </c>
      <c r="G7" s="7" t="s">
        <v>174</v>
      </c>
      <c r="H7" s="43" t="str">
        <f>IF(C7="","",IF(C7&lt;=VALUE(SUBSTITUTE(G7,"≤ ","")),"통과","미달"))</f>
        <v/>
      </c>
    </row>
    <row r="8" spans="1:8" ht="15" customHeight="1">
      <c r="A8" s="33" t="s">
        <v>175</v>
      </c>
      <c r="B8" s="25">
        <f>IFERROR(SUM('③ 평가 입력'!#REF!)/COUNTA('③ 평가 입력'!#REF!)*100,0)</f>
        <v>0</v>
      </c>
      <c r="C8" s="13"/>
      <c r="D8" s="34">
        <f>IFERROR(C8-B8,"")</f>
        <v>0</v>
      </c>
      <c r="E8" s="35" t="str">
        <f>IF(D8="","",IF(D8&lt;0,"개선",IF(D8&gt;0,"악화","유지")))</f>
        <v>유지</v>
      </c>
      <c r="F8" s="36" t="str">
        <f>IF(D8="","",IF(D8&gt;=2,"⚠ 나빠짐",""))</f>
        <v/>
      </c>
      <c r="G8" s="7" t="s">
        <v>176</v>
      </c>
      <c r="H8" s="43" t="str">
        <f>IF(C8="","",IF(C8&lt;=VALUE(SUBSTITUTE(G8,"≤ ","")),"통과","미달"))</f>
        <v/>
      </c>
    </row>
    <row r="9" spans="1:8" ht="15" customHeight="1">
      <c r="A9" s="33" t="s">
        <v>177</v>
      </c>
      <c r="B9" s="25">
        <f>IFERROR(SUM('③ 평가 입력'!#REF!)/COUNTA('③ 평가 입력'!#REF!)*100,0)</f>
        <v>0</v>
      </c>
      <c r="C9" s="13"/>
      <c r="D9" s="34">
        <f>IFERROR(C9-B9,"")</f>
        <v>0</v>
      </c>
      <c r="E9" s="35" t="str">
        <f>IF(D9="","",IF(D9&gt;0,"개선",IF(D9&lt;0,"악화","유지")))</f>
        <v>유지</v>
      </c>
      <c r="F9" s="36" t="str">
        <f>IF(D9="","",IF(D9&lt;=-2,"⚠ 나빠짐",""))</f>
        <v/>
      </c>
      <c r="G9" s="7" t="s">
        <v>178</v>
      </c>
      <c r="H9" s="43" t="str">
        <f>IF(C9="","",IF(C9&gt;=VALUE(SUBSTITUTE(G9,"≥ ","")),"통과","미달"))</f>
        <v/>
      </c>
    </row>
    <row r="11" spans="1:8" ht="18.75" customHeight="1">
      <c r="A11" s="65" t="s">
        <v>206</v>
      </c>
      <c r="B11" s="66"/>
      <c r="C11" s="66"/>
      <c r="D11" s="66"/>
      <c r="E11" s="66"/>
      <c r="F11" s="66"/>
      <c r="G11" s="66"/>
      <c r="H11" s="66"/>
    </row>
    <row r="12" spans="1:8" ht="21.75" customHeight="1">
      <c r="A12" s="27" t="s">
        <v>0</v>
      </c>
      <c r="B12" s="1" t="s">
        <v>1</v>
      </c>
      <c r="C12" s="1" t="s">
        <v>207</v>
      </c>
      <c r="D12" s="1" t="s">
        <v>208</v>
      </c>
      <c r="E12" s="1" t="s">
        <v>209</v>
      </c>
      <c r="F12" s="1" t="s">
        <v>202</v>
      </c>
      <c r="G12" s="1" t="s">
        <v>210</v>
      </c>
      <c r="H12" s="1" t="s">
        <v>128</v>
      </c>
    </row>
    <row r="13" spans="1:8" ht="15" customHeight="1">
      <c r="A13" s="8" t="s">
        <v>8</v>
      </c>
      <c r="B13" s="28" t="s">
        <v>182</v>
      </c>
      <c r="C13" s="29">
        <f>IFERROR(B13/COUNTA('③ 평가 입력'!#REF!)*100,0)</f>
        <v>0</v>
      </c>
      <c r="D13" s="13"/>
      <c r="E13" s="34">
        <f t="shared" ref="E13:E26" si="0">IFERROR(D13-C13,"")</f>
        <v>0</v>
      </c>
      <c r="F13" s="35" t="str">
        <f t="shared" ref="F13:F26" si="1">IF(E13="","",IF(E13&lt;0,"개선",IF(E13&gt;0,"악화","유지")))</f>
        <v>유지</v>
      </c>
      <c r="G13" s="36" t="str">
        <f t="shared" ref="G13:G26" si="2">IF(E13="","",IF(E13&gt;=2,"⚠ 나빠짐",""))</f>
        <v/>
      </c>
      <c r="H13" s="13"/>
    </row>
    <row r="14" spans="1:8" ht="15" customHeight="1">
      <c r="A14" s="8" t="s">
        <v>13</v>
      </c>
      <c r="B14" s="28" t="s">
        <v>183</v>
      </c>
      <c r="C14" s="29">
        <f>IFERROR(B14/COUNTA('③ 평가 입력'!#REF!)*100,0)</f>
        <v>0</v>
      </c>
      <c r="D14" s="13"/>
      <c r="E14" s="34">
        <f t="shared" si="0"/>
        <v>0</v>
      </c>
      <c r="F14" s="35" t="str">
        <f t="shared" si="1"/>
        <v>유지</v>
      </c>
      <c r="G14" s="36" t="str">
        <f t="shared" si="2"/>
        <v/>
      </c>
      <c r="H14" s="13"/>
    </row>
    <row r="15" spans="1:8" ht="15" customHeight="1">
      <c r="A15" s="8" t="s">
        <v>18</v>
      </c>
      <c r="B15" s="28" t="s">
        <v>19</v>
      </c>
      <c r="C15" s="29">
        <f>IFERROR(B15/COUNTA('③ 평가 입력'!#REF!)*100,0)</f>
        <v>0</v>
      </c>
      <c r="D15" s="13"/>
      <c r="E15" s="34">
        <f t="shared" si="0"/>
        <v>0</v>
      </c>
      <c r="F15" s="35" t="str">
        <f t="shared" si="1"/>
        <v>유지</v>
      </c>
      <c r="G15" s="36" t="str">
        <f t="shared" si="2"/>
        <v/>
      </c>
      <c r="H15" s="13"/>
    </row>
    <row r="16" spans="1:8" ht="15" customHeight="1">
      <c r="A16" s="8" t="s">
        <v>24</v>
      </c>
      <c r="B16" s="28" t="s">
        <v>184</v>
      </c>
      <c r="C16" s="29">
        <f>IFERROR(B16/COUNTA('③ 평가 입력'!#REF!)*100,0)</f>
        <v>0</v>
      </c>
      <c r="D16" s="13"/>
      <c r="E16" s="34">
        <f t="shared" si="0"/>
        <v>0</v>
      </c>
      <c r="F16" s="35" t="str">
        <f t="shared" si="1"/>
        <v>유지</v>
      </c>
      <c r="G16" s="36" t="str">
        <f t="shared" si="2"/>
        <v/>
      </c>
      <c r="H16" s="13"/>
    </row>
    <row r="17" spans="1:8" ht="15" customHeight="1">
      <c r="A17" s="8" t="s">
        <v>30</v>
      </c>
      <c r="B17" s="28" t="s">
        <v>185</v>
      </c>
      <c r="C17" s="29">
        <f>IFERROR(B17/COUNTA('③ 평가 입력'!#REF!)*100,0)</f>
        <v>0</v>
      </c>
      <c r="D17" s="13"/>
      <c r="E17" s="34">
        <f t="shared" si="0"/>
        <v>0</v>
      </c>
      <c r="F17" s="35" t="str">
        <f t="shared" si="1"/>
        <v>유지</v>
      </c>
      <c r="G17" s="36" t="str">
        <f t="shared" si="2"/>
        <v/>
      </c>
      <c r="H17" s="13"/>
    </row>
    <row r="18" spans="1:8" ht="15" customHeight="1">
      <c r="A18" s="8" t="s">
        <v>33</v>
      </c>
      <c r="B18" s="28" t="s">
        <v>186</v>
      </c>
      <c r="C18" s="29">
        <f>IFERROR(B18/COUNTA('③ 평가 입력'!#REF!)*100,0)</f>
        <v>0</v>
      </c>
      <c r="D18" s="13"/>
      <c r="E18" s="34">
        <f t="shared" si="0"/>
        <v>0</v>
      </c>
      <c r="F18" s="35" t="str">
        <f t="shared" si="1"/>
        <v>유지</v>
      </c>
      <c r="G18" s="36" t="str">
        <f t="shared" si="2"/>
        <v/>
      </c>
      <c r="H18" s="13"/>
    </row>
    <row r="19" spans="1:8" ht="15" customHeight="1">
      <c r="A19" s="8" t="s">
        <v>37</v>
      </c>
      <c r="B19" s="30" t="s">
        <v>187</v>
      </c>
      <c r="C19" s="29">
        <f>IFERROR(B19/COUNTA('③ 평가 입력'!#REF!)*100,0)</f>
        <v>0</v>
      </c>
      <c r="D19" s="13"/>
      <c r="E19" s="34">
        <f t="shared" si="0"/>
        <v>0</v>
      </c>
      <c r="F19" s="35" t="str">
        <f t="shared" si="1"/>
        <v>유지</v>
      </c>
      <c r="G19" s="36" t="str">
        <f t="shared" si="2"/>
        <v/>
      </c>
      <c r="H19" s="13"/>
    </row>
    <row r="20" spans="1:8" ht="15" customHeight="1">
      <c r="A20" s="8" t="s">
        <v>43</v>
      </c>
      <c r="B20" s="28" t="s">
        <v>188</v>
      </c>
      <c r="C20" s="29">
        <f>IFERROR(B20/COUNTA('③ 평가 입력'!#REF!)*100,0)</f>
        <v>0</v>
      </c>
      <c r="D20" s="13"/>
      <c r="E20" s="34">
        <f t="shared" si="0"/>
        <v>0</v>
      </c>
      <c r="F20" s="35" t="str">
        <f t="shared" si="1"/>
        <v>유지</v>
      </c>
      <c r="G20" s="36" t="str">
        <f t="shared" si="2"/>
        <v/>
      </c>
      <c r="H20" s="13"/>
    </row>
    <row r="21" spans="1:8" ht="15" customHeight="1">
      <c r="A21" s="8" t="s">
        <v>49</v>
      </c>
      <c r="B21" s="28" t="s">
        <v>189</v>
      </c>
      <c r="C21" s="29">
        <f>IFERROR(B21/COUNTA('③ 평가 입력'!#REF!)*100,0)</f>
        <v>0</v>
      </c>
      <c r="D21" s="13"/>
      <c r="E21" s="34">
        <f t="shared" si="0"/>
        <v>0</v>
      </c>
      <c r="F21" s="35" t="str">
        <f t="shared" si="1"/>
        <v>유지</v>
      </c>
      <c r="G21" s="36" t="str">
        <f t="shared" si="2"/>
        <v/>
      </c>
      <c r="H21" s="13"/>
    </row>
    <row r="22" spans="1:8" ht="15" customHeight="1">
      <c r="A22" s="8" t="s">
        <v>51</v>
      </c>
      <c r="B22" s="28" t="s">
        <v>190</v>
      </c>
      <c r="C22" s="29">
        <f>IFERROR(B22/COUNTA('③ 평가 입력'!#REF!)*100,0)</f>
        <v>0</v>
      </c>
      <c r="D22" s="13"/>
      <c r="E22" s="34">
        <f t="shared" si="0"/>
        <v>0</v>
      </c>
      <c r="F22" s="35" t="str">
        <f t="shared" si="1"/>
        <v>유지</v>
      </c>
      <c r="G22" s="36" t="str">
        <f t="shared" si="2"/>
        <v/>
      </c>
      <c r="H22" s="13"/>
    </row>
    <row r="23" spans="1:8" ht="15" customHeight="1">
      <c r="A23" s="8" t="s">
        <v>56</v>
      </c>
      <c r="B23" s="28" t="s">
        <v>191</v>
      </c>
      <c r="C23" s="29">
        <f>IFERROR(B23/COUNTA('③ 평가 입력'!#REF!)*100,0)</f>
        <v>0</v>
      </c>
      <c r="D23" s="13"/>
      <c r="E23" s="34">
        <f t="shared" si="0"/>
        <v>0</v>
      </c>
      <c r="F23" s="35" t="str">
        <f t="shared" si="1"/>
        <v>유지</v>
      </c>
      <c r="G23" s="36" t="str">
        <f t="shared" si="2"/>
        <v/>
      </c>
      <c r="H23" s="13"/>
    </row>
    <row r="24" spans="1:8" ht="15" customHeight="1">
      <c r="A24" s="8" t="s">
        <v>59</v>
      </c>
      <c r="B24" s="28" t="s">
        <v>192</v>
      </c>
      <c r="C24" s="29">
        <f>IFERROR(B24/COUNTA('③ 평가 입력'!#REF!)*100,0)</f>
        <v>0</v>
      </c>
      <c r="D24" s="13"/>
      <c r="E24" s="34">
        <f t="shared" si="0"/>
        <v>0</v>
      </c>
      <c r="F24" s="35" t="str">
        <f t="shared" si="1"/>
        <v>유지</v>
      </c>
      <c r="G24" s="36" t="str">
        <f t="shared" si="2"/>
        <v/>
      </c>
      <c r="H24" s="13"/>
    </row>
    <row r="25" spans="1:8" ht="15" customHeight="1">
      <c r="A25" s="8" t="s">
        <v>65</v>
      </c>
      <c r="B25" s="28" t="s">
        <v>66</v>
      </c>
      <c r="C25" s="29">
        <f>IFERROR(B25/COUNTA('③ 평가 입력'!#REF!)*100,0)</f>
        <v>0</v>
      </c>
      <c r="D25" s="13"/>
      <c r="E25" s="34">
        <f t="shared" si="0"/>
        <v>0</v>
      </c>
      <c r="F25" s="35" t="str">
        <f t="shared" si="1"/>
        <v>유지</v>
      </c>
      <c r="G25" s="36" t="str">
        <f t="shared" si="2"/>
        <v/>
      </c>
      <c r="H25" s="13"/>
    </row>
    <row r="26" spans="1:8" ht="15" customHeight="1">
      <c r="A26" s="8" t="s">
        <v>67</v>
      </c>
      <c r="B26" s="28" t="s">
        <v>68</v>
      </c>
      <c r="C26" s="29">
        <f>IFERROR(B26/COUNTA('③ 평가 입력'!#REF!)*100,0)</f>
        <v>0</v>
      </c>
      <c r="D26" s="13"/>
      <c r="E26" s="34">
        <f t="shared" si="0"/>
        <v>0</v>
      </c>
      <c r="F26" s="35" t="str">
        <f t="shared" si="1"/>
        <v>유지</v>
      </c>
      <c r="G26" s="36" t="str">
        <f t="shared" si="2"/>
        <v/>
      </c>
      <c r="H26" s="13"/>
    </row>
  </sheetData>
  <mergeCells count="3">
    <mergeCell ref="A2:H2"/>
    <mergeCell ref="A11:H11"/>
    <mergeCell ref="A1:H1"/>
  </mergeCells>
  <phoneticPr fontId="21" type="noConversion"/>
  <conditionalFormatting sqref="E5:E9">
    <cfRule type="cellIs" dxfId="12" priority="2" operator="equal">
      <formula>"악화"</formula>
    </cfRule>
    <cfRule type="cellIs" dxfId="11" priority="3" operator="equal">
      <formula>"개선"</formula>
    </cfRule>
  </conditionalFormatting>
  <conditionalFormatting sqref="F5:F9">
    <cfRule type="cellIs" dxfId="10" priority="6" operator="equal">
      <formula>"⚠ 나빠짐"</formula>
    </cfRule>
  </conditionalFormatting>
  <conditionalFormatting sqref="F13:F26">
    <cfRule type="cellIs" dxfId="9" priority="4" operator="equal">
      <formula>"악화"</formula>
    </cfRule>
    <cfRule type="cellIs" dxfId="8" priority="5" operator="equal">
      <formula>"개선"</formula>
    </cfRule>
  </conditionalFormatting>
  <conditionalFormatting sqref="G13:G26">
    <cfRule type="cellIs" dxfId="7" priority="7" operator="equal">
      <formula>"⚠ 나빠짐"</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63"/>
  <sheetViews>
    <sheetView zoomScaleNormal="100" workbookViewId="0">
      <selection activeCell="A4" sqref="A4:F4"/>
    </sheetView>
  </sheetViews>
  <sheetFormatPr defaultColWidth="8.6640625" defaultRowHeight="14.4"/>
  <cols>
    <col min="1" max="1" width="12" style="44" customWidth="1"/>
    <col min="2" max="2" width="10" style="44" customWidth="1"/>
    <col min="3" max="4" width="32" style="44" customWidth="1"/>
    <col min="5" max="5" width="28" style="44" customWidth="1"/>
    <col min="6" max="6" width="16" style="44" customWidth="1"/>
  </cols>
  <sheetData>
    <row r="1" spans="1:6" ht="21" customHeight="1">
      <c r="A1" s="85" t="s">
        <v>211</v>
      </c>
      <c r="B1" s="86"/>
      <c r="C1" s="86"/>
      <c r="D1" s="86"/>
      <c r="E1" s="86"/>
      <c r="F1" s="86"/>
    </row>
    <row r="3" spans="1:6" ht="25.5" customHeight="1">
      <c r="A3" s="6" t="s">
        <v>212</v>
      </c>
      <c r="B3" s="6" t="s">
        <v>213</v>
      </c>
      <c r="C3" s="6" t="s">
        <v>214</v>
      </c>
      <c r="D3" s="5" t="s">
        <v>215</v>
      </c>
      <c r="E3" s="6" t="s">
        <v>216</v>
      </c>
      <c r="F3" s="6" t="s">
        <v>217</v>
      </c>
    </row>
    <row r="4" spans="1:6" ht="58.95" customHeight="1">
      <c r="A4" s="50"/>
      <c r="B4" s="46"/>
      <c r="C4" s="46"/>
      <c r="D4" s="46"/>
      <c r="E4" s="46"/>
      <c r="F4" s="51"/>
    </row>
    <row r="5" spans="1:6" ht="30" customHeight="1">
      <c r="A5" s="50"/>
      <c r="B5" s="46"/>
      <c r="C5" s="46"/>
      <c r="D5" s="46"/>
      <c r="E5" s="46"/>
      <c r="F5" s="45"/>
    </row>
    <row r="6" spans="1:6" ht="30" customHeight="1">
      <c r="A6" s="50"/>
      <c r="B6" s="45"/>
      <c r="C6" s="45"/>
      <c r="D6" s="45"/>
      <c r="E6" s="45"/>
      <c r="F6" s="45"/>
    </row>
    <row r="7" spans="1:6" ht="30" customHeight="1">
      <c r="A7" s="50"/>
      <c r="B7" s="45"/>
      <c r="C7" s="45"/>
      <c r="D7" s="45"/>
      <c r="E7" s="45"/>
      <c r="F7" s="45"/>
    </row>
    <row r="8" spans="1:6" ht="30" customHeight="1">
      <c r="A8" s="50"/>
      <c r="B8" s="45"/>
      <c r="C8" s="45"/>
      <c r="D8" s="45"/>
      <c r="E8" s="45"/>
      <c r="F8" s="45"/>
    </row>
    <row r="9" spans="1:6" ht="30" customHeight="1">
      <c r="A9" s="50"/>
      <c r="B9" s="45"/>
      <c r="C9" s="45"/>
      <c r="D9" s="45"/>
      <c r="E9" s="45"/>
      <c r="F9" s="45"/>
    </row>
    <row r="10" spans="1:6" ht="30" customHeight="1">
      <c r="A10" s="50"/>
      <c r="B10" s="45"/>
      <c r="C10" s="45"/>
      <c r="D10" s="45"/>
      <c r="E10" s="45"/>
      <c r="F10" s="45"/>
    </row>
    <row r="11" spans="1:6" ht="30" customHeight="1">
      <c r="A11" s="50"/>
      <c r="B11" s="45"/>
      <c r="C11" s="45"/>
      <c r="D11" s="45"/>
      <c r="E11" s="45"/>
      <c r="F11" s="45"/>
    </row>
    <row r="12" spans="1:6" ht="30" customHeight="1">
      <c r="A12" s="50"/>
      <c r="B12" s="45"/>
      <c r="C12" s="45"/>
      <c r="D12" s="45"/>
      <c r="E12" s="45"/>
      <c r="F12" s="45"/>
    </row>
    <row r="13" spans="1:6" ht="30" customHeight="1">
      <c r="A13" s="50"/>
      <c r="B13" s="45"/>
      <c r="C13" s="45"/>
      <c r="D13" s="45"/>
      <c r="E13" s="45"/>
      <c r="F13" s="45"/>
    </row>
    <row r="14" spans="1:6" ht="30" customHeight="1">
      <c r="A14" s="50"/>
      <c r="B14" s="45"/>
      <c r="C14" s="45"/>
      <c r="D14" s="45"/>
      <c r="E14" s="45"/>
      <c r="F14" s="45"/>
    </row>
    <row r="15" spans="1:6" ht="30" customHeight="1">
      <c r="A15" s="50"/>
      <c r="B15" s="45"/>
      <c r="C15" s="45"/>
      <c r="D15" s="45"/>
      <c r="E15" s="45"/>
      <c r="F15" s="45"/>
    </row>
    <row r="16" spans="1:6" ht="30" customHeight="1">
      <c r="A16" s="50"/>
      <c r="B16" s="45"/>
      <c r="C16" s="45"/>
      <c r="D16" s="45"/>
      <c r="E16" s="45"/>
      <c r="F16" s="45"/>
    </row>
    <row r="17" spans="1:6" ht="30" customHeight="1">
      <c r="A17" s="50"/>
      <c r="B17" s="45"/>
      <c r="C17" s="45"/>
      <c r="D17" s="45"/>
      <c r="E17" s="45"/>
      <c r="F17" s="45"/>
    </row>
    <row r="18" spans="1:6" ht="30" customHeight="1">
      <c r="A18" s="50"/>
      <c r="B18" s="45"/>
      <c r="C18" s="45"/>
      <c r="D18" s="45"/>
      <c r="E18" s="45"/>
      <c r="F18" s="45"/>
    </row>
    <row r="19" spans="1:6" ht="30" customHeight="1">
      <c r="A19" s="50"/>
      <c r="B19" s="45"/>
      <c r="C19" s="45"/>
      <c r="D19" s="45"/>
      <c r="E19" s="45"/>
      <c r="F19" s="45"/>
    </row>
    <row r="20" spans="1:6" ht="30" customHeight="1">
      <c r="A20" s="50"/>
      <c r="B20" s="45"/>
      <c r="C20" s="45"/>
      <c r="D20" s="45"/>
      <c r="E20" s="45"/>
      <c r="F20" s="45"/>
    </row>
    <row r="21" spans="1:6" ht="30" customHeight="1">
      <c r="A21" s="50"/>
      <c r="B21" s="45"/>
      <c r="C21" s="45"/>
      <c r="D21" s="45"/>
      <c r="E21" s="45"/>
      <c r="F21" s="45"/>
    </row>
    <row r="22" spans="1:6" ht="30" customHeight="1">
      <c r="A22" s="50"/>
      <c r="B22" s="45"/>
      <c r="C22" s="45"/>
      <c r="D22" s="45"/>
      <c r="E22" s="45"/>
      <c r="F22" s="45"/>
    </row>
    <row r="23" spans="1:6" ht="30" customHeight="1">
      <c r="A23" s="50"/>
      <c r="B23" s="45"/>
      <c r="C23" s="45"/>
      <c r="D23" s="45"/>
      <c r="E23" s="45"/>
      <c r="F23" s="45"/>
    </row>
    <row r="24" spans="1:6" ht="30" customHeight="1">
      <c r="A24" s="50"/>
      <c r="B24" s="45"/>
      <c r="C24" s="45"/>
      <c r="D24" s="45"/>
      <c r="E24" s="45"/>
      <c r="F24" s="45"/>
    </row>
    <row r="25" spans="1:6" ht="30" customHeight="1">
      <c r="A25" s="50"/>
      <c r="B25" s="45"/>
      <c r="C25" s="45"/>
      <c r="D25" s="45"/>
      <c r="E25" s="45"/>
      <c r="F25" s="45"/>
    </row>
    <row r="26" spans="1:6" ht="30" customHeight="1">
      <c r="A26" s="50"/>
      <c r="B26" s="45"/>
      <c r="C26" s="45"/>
      <c r="D26" s="45"/>
      <c r="E26" s="45"/>
      <c r="F26" s="45"/>
    </row>
    <row r="27" spans="1:6" ht="30" customHeight="1">
      <c r="A27" s="50"/>
      <c r="B27" s="45"/>
      <c r="C27" s="45"/>
      <c r="D27" s="45"/>
      <c r="E27" s="45"/>
      <c r="F27" s="45"/>
    </row>
    <row r="28" spans="1:6" ht="30" customHeight="1">
      <c r="A28" s="50"/>
      <c r="B28" s="45"/>
      <c r="C28" s="45"/>
      <c r="D28" s="45"/>
      <c r="E28" s="45"/>
      <c r="F28" s="45"/>
    </row>
    <row r="29" spans="1:6" ht="30" customHeight="1">
      <c r="A29" s="50"/>
      <c r="B29" s="45"/>
      <c r="C29" s="45"/>
      <c r="D29" s="45"/>
      <c r="E29" s="45"/>
      <c r="F29" s="45"/>
    </row>
    <row r="30" spans="1:6" ht="30" customHeight="1">
      <c r="A30" s="50"/>
      <c r="B30" s="45"/>
      <c r="C30" s="45"/>
      <c r="D30" s="45"/>
      <c r="E30" s="45"/>
      <c r="F30" s="45"/>
    </row>
    <row r="31" spans="1:6" ht="30" customHeight="1">
      <c r="A31" s="50"/>
      <c r="B31" s="45"/>
      <c r="C31" s="45"/>
      <c r="D31" s="45"/>
      <c r="E31" s="45"/>
      <c r="F31" s="45"/>
    </row>
    <row r="32" spans="1:6" ht="30" customHeight="1">
      <c r="A32" s="50"/>
      <c r="B32" s="45"/>
      <c r="C32" s="45"/>
      <c r="D32" s="45"/>
      <c r="E32" s="45"/>
      <c r="F32" s="45"/>
    </row>
    <row r="33" spans="1:6" ht="30" customHeight="1">
      <c r="A33" s="50"/>
      <c r="B33" s="45"/>
      <c r="C33" s="45"/>
      <c r="D33" s="45"/>
      <c r="E33" s="45"/>
      <c r="F33" s="45"/>
    </row>
    <row r="34" spans="1:6" ht="30" customHeight="1">
      <c r="A34" s="50"/>
      <c r="B34" s="45"/>
      <c r="C34" s="45"/>
      <c r="D34" s="45"/>
      <c r="E34" s="45"/>
      <c r="F34" s="45"/>
    </row>
    <row r="35" spans="1:6" ht="30" customHeight="1">
      <c r="A35" s="50"/>
      <c r="B35" s="45"/>
      <c r="C35" s="45"/>
      <c r="D35" s="45"/>
      <c r="E35" s="45"/>
      <c r="F35" s="45"/>
    </row>
    <row r="36" spans="1:6" ht="30" customHeight="1">
      <c r="A36" s="50"/>
      <c r="B36" s="45"/>
      <c r="C36" s="45"/>
      <c r="D36" s="45"/>
      <c r="E36" s="45"/>
      <c r="F36" s="45"/>
    </row>
    <row r="37" spans="1:6" ht="30" customHeight="1">
      <c r="A37" s="50"/>
      <c r="B37" s="45"/>
      <c r="C37" s="45"/>
      <c r="D37" s="45"/>
      <c r="E37" s="45"/>
      <c r="F37" s="45"/>
    </row>
    <row r="38" spans="1:6" ht="30" customHeight="1">
      <c r="A38" s="50"/>
      <c r="B38" s="45"/>
      <c r="C38" s="45"/>
      <c r="D38" s="45"/>
      <c r="E38" s="45"/>
      <c r="F38" s="45"/>
    </row>
    <row r="39" spans="1:6" ht="30" customHeight="1">
      <c r="A39" s="50"/>
      <c r="B39" s="45"/>
      <c r="C39" s="45"/>
      <c r="D39" s="45"/>
      <c r="E39" s="45"/>
      <c r="F39" s="45"/>
    </row>
    <row r="40" spans="1:6" ht="30" customHeight="1">
      <c r="A40" s="50"/>
      <c r="B40" s="45"/>
      <c r="C40" s="45"/>
      <c r="D40" s="45"/>
      <c r="E40" s="45"/>
      <c r="F40" s="45"/>
    </row>
    <row r="41" spans="1:6" ht="30" customHeight="1">
      <c r="A41" s="50"/>
      <c r="B41" s="45"/>
      <c r="C41" s="45"/>
      <c r="D41" s="45"/>
      <c r="E41" s="45"/>
      <c r="F41" s="45"/>
    </row>
    <row r="42" spans="1:6" ht="30" customHeight="1">
      <c r="A42" s="50"/>
      <c r="B42" s="45"/>
      <c r="C42" s="45"/>
      <c r="D42" s="45"/>
      <c r="E42" s="45"/>
      <c r="F42" s="45"/>
    </row>
    <row r="43" spans="1:6" ht="30" customHeight="1">
      <c r="A43" s="50"/>
      <c r="B43" s="45"/>
      <c r="C43" s="45"/>
      <c r="D43" s="45"/>
      <c r="E43" s="45"/>
      <c r="F43" s="45"/>
    </row>
    <row r="44" spans="1:6" ht="30" customHeight="1">
      <c r="A44" s="50"/>
      <c r="B44" s="45"/>
      <c r="C44" s="45"/>
      <c r="D44" s="45"/>
      <c r="E44" s="45"/>
      <c r="F44" s="45"/>
    </row>
    <row r="45" spans="1:6" ht="30" customHeight="1">
      <c r="A45" s="50"/>
      <c r="B45" s="45"/>
      <c r="C45" s="45"/>
      <c r="D45" s="45"/>
      <c r="E45" s="45"/>
      <c r="F45" s="45"/>
    </row>
    <row r="46" spans="1:6" ht="30" customHeight="1">
      <c r="A46" s="50"/>
      <c r="B46" s="45"/>
      <c r="C46" s="45"/>
      <c r="D46" s="45"/>
      <c r="E46" s="45"/>
      <c r="F46" s="45"/>
    </row>
    <row r="47" spans="1:6" ht="30" customHeight="1">
      <c r="A47" s="50"/>
      <c r="B47" s="45"/>
      <c r="C47" s="45"/>
      <c r="D47" s="45"/>
      <c r="E47" s="45"/>
      <c r="F47" s="45"/>
    </row>
    <row r="48" spans="1:6" ht="30" customHeight="1">
      <c r="A48" s="50"/>
      <c r="B48" s="45"/>
      <c r="C48" s="45"/>
      <c r="D48" s="45"/>
      <c r="E48" s="45"/>
      <c r="F48" s="45"/>
    </row>
    <row r="49" spans="1:6" ht="30" customHeight="1">
      <c r="A49" s="50"/>
      <c r="B49" s="45"/>
      <c r="C49" s="45"/>
      <c r="D49" s="45"/>
      <c r="E49" s="45"/>
      <c r="F49" s="45"/>
    </row>
    <row r="50" spans="1:6" ht="30" customHeight="1">
      <c r="A50" s="50"/>
      <c r="B50" s="45"/>
      <c r="C50" s="45"/>
      <c r="D50" s="45"/>
      <c r="E50" s="45"/>
      <c r="F50" s="45"/>
    </row>
    <row r="51" spans="1:6" ht="30" customHeight="1">
      <c r="A51" s="50"/>
      <c r="B51" s="45"/>
      <c r="C51" s="45"/>
      <c r="D51" s="45"/>
      <c r="E51" s="45"/>
      <c r="F51" s="45"/>
    </row>
    <row r="52" spans="1:6" ht="30" customHeight="1">
      <c r="A52" s="50"/>
      <c r="B52" s="45"/>
      <c r="C52" s="45"/>
      <c r="D52" s="45"/>
      <c r="E52" s="45"/>
      <c r="F52" s="45"/>
    </row>
    <row r="53" spans="1:6" ht="30" customHeight="1">
      <c r="A53" s="50"/>
      <c r="B53" s="45"/>
      <c r="C53" s="45"/>
      <c r="D53" s="45"/>
      <c r="E53" s="45"/>
      <c r="F53" s="45"/>
    </row>
    <row r="54" spans="1:6" ht="30" customHeight="1">
      <c r="A54" s="50"/>
      <c r="B54" s="45"/>
      <c r="C54" s="45"/>
      <c r="D54" s="45"/>
      <c r="E54" s="45"/>
      <c r="F54" s="45"/>
    </row>
    <row r="55" spans="1:6" ht="30" customHeight="1">
      <c r="A55" s="50"/>
      <c r="B55" s="45"/>
      <c r="C55" s="45"/>
      <c r="D55" s="45"/>
      <c r="E55" s="45"/>
      <c r="F55" s="45"/>
    </row>
    <row r="56" spans="1:6" ht="30" customHeight="1">
      <c r="A56" s="50"/>
      <c r="B56" s="45"/>
      <c r="C56" s="45"/>
      <c r="D56" s="45"/>
      <c r="E56" s="45"/>
      <c r="F56" s="45"/>
    </row>
    <row r="57" spans="1:6" ht="30" customHeight="1">
      <c r="A57" s="50"/>
      <c r="B57" s="45"/>
      <c r="C57" s="45"/>
      <c r="D57" s="45"/>
      <c r="E57" s="45"/>
      <c r="F57" s="45"/>
    </row>
    <row r="58" spans="1:6" ht="30" customHeight="1">
      <c r="A58" s="50"/>
      <c r="B58" s="45"/>
      <c r="C58" s="45"/>
      <c r="D58" s="45"/>
      <c r="E58" s="45"/>
      <c r="F58" s="45"/>
    </row>
    <row r="59" spans="1:6" ht="30" customHeight="1">
      <c r="A59" s="50"/>
      <c r="B59" s="45"/>
      <c r="C59" s="45"/>
      <c r="D59" s="45"/>
      <c r="E59" s="45"/>
      <c r="F59" s="45"/>
    </row>
    <row r="60" spans="1:6" ht="30" customHeight="1">
      <c r="A60" s="50"/>
      <c r="B60" s="45"/>
      <c r="C60" s="45"/>
      <c r="D60" s="45"/>
      <c r="E60" s="45"/>
      <c r="F60" s="45"/>
    </row>
    <row r="61" spans="1:6" ht="30" customHeight="1">
      <c r="A61" s="50"/>
      <c r="B61" s="45"/>
      <c r="C61" s="45"/>
      <c r="D61" s="45"/>
      <c r="E61" s="45"/>
      <c r="F61" s="45"/>
    </row>
    <row r="62" spans="1:6" ht="30" customHeight="1">
      <c r="A62" s="50"/>
      <c r="B62" s="45"/>
      <c r="C62" s="45"/>
      <c r="D62" s="45"/>
      <c r="E62" s="45"/>
      <c r="F62" s="45"/>
    </row>
    <row r="63" spans="1:6" ht="30" customHeight="1">
      <c r="A63" s="50"/>
      <c r="B63" s="45"/>
      <c r="C63" s="45"/>
      <c r="D63" s="45"/>
      <c r="E63" s="45"/>
      <c r="F63" s="45"/>
    </row>
  </sheetData>
  <mergeCells count="1">
    <mergeCell ref="A1:F1"/>
  </mergeCells>
  <phoneticPr fontId="21" type="noConversion"/>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2"/>
  <sheetViews>
    <sheetView zoomScale="85" zoomScaleNormal="85" workbookViewId="0">
      <pane xSplit="3" ySplit="7" topLeftCell="D32" activePane="bottomRight" state="frozen"/>
      <selection pane="topRight" activeCell="D1" sqref="D1"/>
      <selection pane="bottomLeft" activeCell="A8" sqref="A8"/>
      <selection pane="bottomRight" activeCell="D56" sqref="D56"/>
    </sheetView>
  </sheetViews>
  <sheetFormatPr defaultColWidth="8.6640625" defaultRowHeight="14.4"/>
  <cols>
    <col min="1" max="1" width="8" customWidth="1"/>
    <col min="2" max="2" width="32" customWidth="1"/>
    <col min="3" max="3" width="53.33203125" customWidth="1"/>
    <col min="4" max="4" width="11" customWidth="1"/>
    <col min="5" max="5" width="8" customWidth="1"/>
    <col min="6" max="6" width="11" customWidth="1"/>
    <col min="7" max="7" width="8" customWidth="1"/>
    <col min="8" max="8" width="12" customWidth="1"/>
    <col min="9" max="9" width="10" customWidth="1"/>
    <col min="10" max="10" width="24" style="59" customWidth="1"/>
  </cols>
  <sheetData>
    <row r="1" spans="1:11" ht="17.399999999999999">
      <c r="A1" s="84" t="s">
        <v>218</v>
      </c>
      <c r="B1" s="66"/>
      <c r="C1" s="66"/>
      <c r="D1" s="66"/>
      <c r="E1" s="66"/>
      <c r="F1" s="66"/>
      <c r="G1" s="66"/>
      <c r="H1" s="66"/>
      <c r="I1" s="66"/>
      <c r="J1" s="66"/>
    </row>
    <row r="2" spans="1:11">
      <c r="A2" s="73" t="s">
        <v>219</v>
      </c>
      <c r="B2" s="66"/>
      <c r="C2" s="66"/>
      <c r="D2" s="66"/>
      <c r="E2" s="66"/>
      <c r="F2" s="66"/>
      <c r="G2" s="66"/>
      <c r="H2" s="66"/>
      <c r="I2" s="66"/>
      <c r="J2" s="66"/>
    </row>
    <row r="4" spans="1:11" ht="26.4">
      <c r="A4" s="10" t="s">
        <v>220</v>
      </c>
      <c r="B4" s="19"/>
      <c r="C4" s="10" t="s">
        <v>221</v>
      </c>
      <c r="D4" s="19"/>
      <c r="E4" s="10" t="s">
        <v>222</v>
      </c>
      <c r="F4" s="19"/>
    </row>
    <row r="6" spans="1:11">
      <c r="A6" s="87" t="s">
        <v>223</v>
      </c>
      <c r="B6" s="87" t="s">
        <v>214</v>
      </c>
      <c r="C6" s="91" t="s">
        <v>215</v>
      </c>
      <c r="D6" s="76" t="s">
        <v>224</v>
      </c>
      <c r="E6" s="69"/>
      <c r="F6" s="89" t="s">
        <v>225</v>
      </c>
      <c r="G6" s="69"/>
      <c r="H6" s="87" t="s">
        <v>226</v>
      </c>
      <c r="I6" s="87" t="s">
        <v>227</v>
      </c>
      <c r="J6" s="87" t="s">
        <v>228</v>
      </c>
    </row>
    <row r="7" spans="1:11">
      <c r="A7" s="88"/>
      <c r="B7" s="88"/>
      <c r="C7" s="88"/>
      <c r="D7" s="10" t="s">
        <v>1</v>
      </c>
      <c r="E7" s="10" t="s">
        <v>229</v>
      </c>
      <c r="F7" s="10" t="s">
        <v>1</v>
      </c>
      <c r="G7" s="10" t="s">
        <v>229</v>
      </c>
      <c r="H7" s="88"/>
      <c r="I7" s="88"/>
      <c r="J7" s="90"/>
    </row>
    <row r="8" spans="1:11" ht="39.6">
      <c r="A8" s="37">
        <v>1</v>
      </c>
      <c r="B8" s="45" t="s">
        <v>254</v>
      </c>
      <c r="C8" s="46" t="s">
        <v>928</v>
      </c>
      <c r="D8" s="57">
        <v>7</v>
      </c>
      <c r="E8" s="57">
        <v>2</v>
      </c>
      <c r="F8" s="38">
        <v>12</v>
      </c>
      <c r="G8" s="38">
        <v>1</v>
      </c>
      <c r="H8" s="37" t="str">
        <f t="shared" ref="H8:H57" si="0">IF(OR(D8="",F8=""),"",IF(D8=F8,"○","✗"))</f>
        <v>✗</v>
      </c>
      <c r="I8" s="37" t="str">
        <f t="shared" ref="I8:I57" si="1">IF(H8="✗","✗",IF(OR(E8="",G8=""),"",IF(E8=G8,"○","✗")))</f>
        <v>✗</v>
      </c>
      <c r="J8" s="19" t="s">
        <v>1123</v>
      </c>
    </row>
    <row r="9" spans="1:11" ht="26.4">
      <c r="A9" s="37">
        <v>2</v>
      </c>
      <c r="B9" s="45" t="s">
        <v>259</v>
      </c>
      <c r="C9" s="46" t="s">
        <v>601</v>
      </c>
      <c r="D9" s="57">
        <v>6</v>
      </c>
      <c r="E9" s="57">
        <v>3</v>
      </c>
      <c r="F9" s="38">
        <v>9</v>
      </c>
      <c r="G9" s="38">
        <v>1</v>
      </c>
      <c r="H9" s="37" t="str">
        <f t="shared" si="0"/>
        <v>✗</v>
      </c>
      <c r="I9" s="37" t="str">
        <f t="shared" si="1"/>
        <v>✗</v>
      </c>
      <c r="J9" s="19" t="s">
        <v>1124</v>
      </c>
    </row>
    <row r="10" spans="1:11" ht="52.8">
      <c r="A10" s="37">
        <v>3</v>
      </c>
      <c r="B10" s="45" t="s">
        <v>260</v>
      </c>
      <c r="C10" s="46" t="s">
        <v>602</v>
      </c>
      <c r="D10" s="57">
        <v>6</v>
      </c>
      <c r="E10" s="57">
        <v>2</v>
      </c>
      <c r="F10" s="38">
        <v>2</v>
      </c>
      <c r="G10" s="38">
        <v>3</v>
      </c>
      <c r="H10" s="37" t="str">
        <f t="shared" si="0"/>
        <v>✗</v>
      </c>
      <c r="I10" s="37" t="str">
        <f t="shared" si="1"/>
        <v>✗</v>
      </c>
      <c r="J10" s="19" t="s">
        <v>1125</v>
      </c>
      <c r="K10" s="61" t="s">
        <v>1157</v>
      </c>
    </row>
    <row r="11" spans="1:11" ht="52.8">
      <c r="A11" s="37">
        <v>4</v>
      </c>
      <c r="B11" s="45" t="s">
        <v>266</v>
      </c>
      <c r="C11" s="46" t="s">
        <v>608</v>
      </c>
      <c r="D11" s="57">
        <v>6</v>
      </c>
      <c r="E11" s="57">
        <v>2</v>
      </c>
      <c r="F11" s="38">
        <v>3</v>
      </c>
      <c r="G11" s="38">
        <v>2</v>
      </c>
      <c r="H11" s="37" t="str">
        <f t="shared" si="0"/>
        <v>✗</v>
      </c>
      <c r="I11" s="37" t="str">
        <f t="shared" si="1"/>
        <v>✗</v>
      </c>
      <c r="J11" s="19" t="s">
        <v>1126</v>
      </c>
    </row>
    <row r="12" spans="1:11" ht="39.6">
      <c r="A12" s="37">
        <v>5</v>
      </c>
      <c r="B12" s="45" t="s">
        <v>268</v>
      </c>
      <c r="C12" s="46" t="s">
        <v>610</v>
      </c>
      <c r="D12" s="57">
        <v>6</v>
      </c>
      <c r="E12" s="57">
        <v>1</v>
      </c>
      <c r="F12" s="38">
        <v>3</v>
      </c>
      <c r="G12" s="38">
        <v>1</v>
      </c>
      <c r="H12" s="37" t="str">
        <f t="shared" si="0"/>
        <v>✗</v>
      </c>
      <c r="I12" s="37" t="str">
        <f t="shared" si="1"/>
        <v>✗</v>
      </c>
      <c r="J12" s="19" t="s">
        <v>1126</v>
      </c>
    </row>
    <row r="13" spans="1:11" ht="39.6">
      <c r="A13" s="37">
        <v>6</v>
      </c>
      <c r="B13" s="45" t="s">
        <v>270</v>
      </c>
      <c r="C13" s="46" t="s">
        <v>612</v>
      </c>
      <c r="D13" s="57">
        <v>12</v>
      </c>
      <c r="E13" s="57">
        <v>1</v>
      </c>
      <c r="F13" s="38">
        <v>3</v>
      </c>
      <c r="G13" s="38">
        <v>2</v>
      </c>
      <c r="H13" s="37" t="str">
        <f t="shared" si="0"/>
        <v>✗</v>
      </c>
      <c r="I13" s="37" t="str">
        <f t="shared" si="1"/>
        <v>✗</v>
      </c>
      <c r="J13" s="19" t="s">
        <v>1127</v>
      </c>
      <c r="K13" t="s">
        <v>1156</v>
      </c>
    </row>
    <row r="14" spans="1:11" ht="39.6">
      <c r="A14" s="37">
        <v>7</v>
      </c>
      <c r="B14" s="45" t="s">
        <v>275</v>
      </c>
      <c r="C14" s="46" t="s">
        <v>617</v>
      </c>
      <c r="D14" s="57">
        <v>6</v>
      </c>
      <c r="E14" s="57">
        <v>2</v>
      </c>
      <c r="F14" s="38">
        <v>3</v>
      </c>
      <c r="G14" s="38">
        <v>3</v>
      </c>
      <c r="H14" s="37" t="str">
        <f t="shared" si="0"/>
        <v>✗</v>
      </c>
      <c r="I14" s="37" t="str">
        <f t="shared" si="1"/>
        <v>✗</v>
      </c>
      <c r="J14" s="19" t="s">
        <v>1126</v>
      </c>
      <c r="K14" t="s">
        <v>1156</v>
      </c>
    </row>
    <row r="15" spans="1:11" ht="39.6">
      <c r="A15" s="37">
        <v>8</v>
      </c>
      <c r="B15" s="45" t="s">
        <v>286</v>
      </c>
      <c r="C15" s="46" t="s">
        <v>628</v>
      </c>
      <c r="D15" s="57">
        <v>8</v>
      </c>
      <c r="E15" s="57">
        <v>2</v>
      </c>
      <c r="F15" s="38">
        <v>3</v>
      </c>
      <c r="G15" s="38">
        <v>2</v>
      </c>
      <c r="H15" s="37" t="str">
        <f t="shared" si="0"/>
        <v>✗</v>
      </c>
      <c r="I15" s="37" t="str">
        <f t="shared" si="1"/>
        <v>✗</v>
      </c>
      <c r="J15" s="19" t="s">
        <v>1128</v>
      </c>
    </row>
    <row r="16" spans="1:11">
      <c r="A16" s="37">
        <v>9</v>
      </c>
      <c r="B16" s="45" t="s">
        <v>297</v>
      </c>
      <c r="C16" s="48" t="s">
        <v>639</v>
      </c>
      <c r="D16" s="57">
        <v>2</v>
      </c>
      <c r="E16" s="57">
        <v>1</v>
      </c>
      <c r="F16" s="38">
        <v>4</v>
      </c>
      <c r="G16" s="38">
        <v>1</v>
      </c>
      <c r="H16" s="37" t="str">
        <f t="shared" si="0"/>
        <v>✗</v>
      </c>
      <c r="I16" s="37" t="str">
        <f t="shared" si="1"/>
        <v>✗</v>
      </c>
      <c r="J16" s="19" t="s">
        <v>1129</v>
      </c>
    </row>
    <row r="17" spans="1:11">
      <c r="A17" s="37">
        <v>10</v>
      </c>
      <c r="B17" s="45" t="s">
        <v>300</v>
      </c>
      <c r="C17" s="46" t="s">
        <v>642</v>
      </c>
      <c r="D17" s="57">
        <v>6</v>
      </c>
      <c r="E17" s="57">
        <v>1</v>
      </c>
      <c r="F17" s="38">
        <v>0</v>
      </c>
      <c r="G17" s="38">
        <v>0</v>
      </c>
      <c r="H17" s="37" t="str">
        <f t="shared" si="0"/>
        <v>✗</v>
      </c>
      <c r="I17" s="37" t="str">
        <f t="shared" si="1"/>
        <v>✗</v>
      </c>
      <c r="J17" s="19" t="s">
        <v>1130</v>
      </c>
    </row>
    <row r="18" spans="1:11" ht="39.6">
      <c r="A18" s="37">
        <v>11</v>
      </c>
      <c r="B18" s="45" t="s">
        <v>307</v>
      </c>
      <c r="C18" s="46" t="s">
        <v>649</v>
      </c>
      <c r="D18" s="57">
        <v>11</v>
      </c>
      <c r="E18" s="57">
        <v>2</v>
      </c>
      <c r="F18" s="38">
        <v>6</v>
      </c>
      <c r="G18" s="38">
        <v>2</v>
      </c>
      <c r="H18" s="37" t="str">
        <f t="shared" si="0"/>
        <v>✗</v>
      </c>
      <c r="I18" s="37" t="str">
        <f t="shared" si="1"/>
        <v>✗</v>
      </c>
      <c r="J18" s="19" t="s">
        <v>1131</v>
      </c>
    </row>
    <row r="19" spans="1:11" ht="26.4">
      <c r="A19" s="37">
        <v>12</v>
      </c>
      <c r="B19" s="45" t="s">
        <v>308</v>
      </c>
      <c r="C19" s="46" t="s">
        <v>650</v>
      </c>
      <c r="D19" s="57">
        <v>8</v>
      </c>
      <c r="E19" s="57">
        <v>1</v>
      </c>
      <c r="F19" s="38">
        <v>3</v>
      </c>
      <c r="G19" s="38">
        <v>2</v>
      </c>
      <c r="H19" s="37" t="str">
        <f t="shared" si="0"/>
        <v>✗</v>
      </c>
      <c r="I19" s="37" t="str">
        <f t="shared" si="1"/>
        <v>✗</v>
      </c>
      <c r="J19" s="19" t="s">
        <v>1128</v>
      </c>
      <c r="K19" s="61" t="s">
        <v>1157</v>
      </c>
    </row>
    <row r="20" spans="1:11" ht="52.8">
      <c r="A20" s="37">
        <v>13</v>
      </c>
      <c r="B20" s="46" t="s">
        <v>323</v>
      </c>
      <c r="C20" s="46" t="s">
        <v>665</v>
      </c>
      <c r="D20" s="57">
        <v>6</v>
      </c>
      <c r="E20" s="57">
        <v>2</v>
      </c>
      <c r="F20" s="38">
        <v>6</v>
      </c>
      <c r="G20" s="38">
        <v>1</v>
      </c>
      <c r="H20" s="37" t="str">
        <f t="shared" si="0"/>
        <v>○</v>
      </c>
      <c r="I20" s="37" t="str">
        <f t="shared" si="1"/>
        <v>✗</v>
      </c>
      <c r="J20" s="19" t="s">
        <v>1132</v>
      </c>
    </row>
    <row r="21" spans="1:11" ht="39.6">
      <c r="A21" s="37">
        <v>14</v>
      </c>
      <c r="B21" s="46" t="s">
        <v>331</v>
      </c>
      <c r="C21" s="46" t="s">
        <v>672</v>
      </c>
      <c r="D21" s="57">
        <v>6</v>
      </c>
      <c r="E21" s="57">
        <v>2</v>
      </c>
      <c r="F21" s="38">
        <v>3</v>
      </c>
      <c r="G21" s="38">
        <v>1</v>
      </c>
      <c r="H21" s="37" t="str">
        <f t="shared" si="0"/>
        <v>✗</v>
      </c>
      <c r="I21" s="37" t="str">
        <f t="shared" si="1"/>
        <v>✗</v>
      </c>
      <c r="J21" s="19" t="s">
        <v>1126</v>
      </c>
    </row>
    <row r="22" spans="1:11" ht="26.4">
      <c r="A22" s="37">
        <v>15</v>
      </c>
      <c r="B22" s="46" t="s">
        <v>342</v>
      </c>
      <c r="C22" s="46" t="s">
        <v>682</v>
      </c>
      <c r="D22" s="57" t="s">
        <v>1109</v>
      </c>
      <c r="E22" s="57" t="s">
        <v>1112</v>
      </c>
      <c r="F22" s="38">
        <v>0</v>
      </c>
      <c r="G22" s="38">
        <v>0</v>
      </c>
      <c r="H22" s="37" t="str">
        <f t="shared" si="0"/>
        <v>✗</v>
      </c>
      <c r="I22" s="37" t="str">
        <f t="shared" si="1"/>
        <v>✗</v>
      </c>
      <c r="J22" s="19" t="s">
        <v>1133</v>
      </c>
    </row>
    <row r="23" spans="1:11">
      <c r="A23" s="37">
        <v>16</v>
      </c>
      <c r="B23" s="46" t="s">
        <v>344</v>
      </c>
      <c r="C23" s="46" t="s">
        <v>684</v>
      </c>
      <c r="D23" s="57">
        <v>10</v>
      </c>
      <c r="E23" s="57">
        <v>1</v>
      </c>
      <c r="F23" s="38">
        <v>1</v>
      </c>
      <c r="G23" s="38">
        <v>1</v>
      </c>
      <c r="H23" s="37" t="str">
        <f t="shared" si="0"/>
        <v>✗</v>
      </c>
      <c r="I23" s="37" t="str">
        <f t="shared" si="1"/>
        <v>✗</v>
      </c>
      <c r="J23" s="19" t="s">
        <v>1134</v>
      </c>
    </row>
    <row r="24" spans="1:11" ht="52.8">
      <c r="A24" s="37">
        <v>17</v>
      </c>
      <c r="B24" s="46" t="s">
        <v>346</v>
      </c>
      <c r="C24" s="46" t="s">
        <v>686</v>
      </c>
      <c r="D24" s="57">
        <v>6</v>
      </c>
      <c r="E24" s="57">
        <v>2</v>
      </c>
      <c r="F24" s="38">
        <v>6</v>
      </c>
      <c r="G24" s="38">
        <v>2</v>
      </c>
      <c r="H24" s="37" t="str">
        <f t="shared" si="0"/>
        <v>○</v>
      </c>
      <c r="I24" s="37" t="str">
        <f t="shared" si="1"/>
        <v>○</v>
      </c>
      <c r="J24" s="62" t="s">
        <v>1135</v>
      </c>
    </row>
    <row r="25" spans="1:11">
      <c r="A25" s="37">
        <v>18</v>
      </c>
      <c r="B25" s="46" t="s">
        <v>350</v>
      </c>
      <c r="C25" s="46" t="s">
        <v>690</v>
      </c>
      <c r="D25" s="57" t="s">
        <v>1109</v>
      </c>
      <c r="E25" s="57" t="s">
        <v>1112</v>
      </c>
      <c r="F25" s="38">
        <v>12</v>
      </c>
      <c r="G25" s="38">
        <v>1</v>
      </c>
      <c r="H25" s="37" t="str">
        <f t="shared" si="0"/>
        <v>✗</v>
      </c>
      <c r="I25" s="37" t="str">
        <f t="shared" si="1"/>
        <v>✗</v>
      </c>
      <c r="J25" s="19" t="s">
        <v>1136</v>
      </c>
      <c r="K25" s="61" t="s">
        <v>1157</v>
      </c>
    </row>
    <row r="26" spans="1:11" ht="43.2">
      <c r="A26" s="37">
        <v>19</v>
      </c>
      <c r="B26" s="46" t="s">
        <v>355</v>
      </c>
      <c r="C26" s="46" t="s">
        <v>695</v>
      </c>
      <c r="D26" s="57">
        <v>5</v>
      </c>
      <c r="E26" s="57">
        <v>1</v>
      </c>
      <c r="F26" s="38">
        <v>5</v>
      </c>
      <c r="G26" s="38">
        <v>2</v>
      </c>
      <c r="H26" s="37" t="str">
        <f t="shared" si="0"/>
        <v>○</v>
      </c>
      <c r="I26" s="37" t="str">
        <f t="shared" si="1"/>
        <v>✗</v>
      </c>
      <c r="J26" s="19" t="s">
        <v>1137</v>
      </c>
    </row>
    <row r="27" spans="1:11" ht="39.6">
      <c r="A27" s="37">
        <v>20</v>
      </c>
      <c r="B27" s="46" t="s">
        <v>356</v>
      </c>
      <c r="C27" s="46" t="s">
        <v>696</v>
      </c>
      <c r="D27" s="57">
        <v>3</v>
      </c>
      <c r="E27" s="57">
        <v>2</v>
      </c>
      <c r="F27" s="53">
        <v>6</v>
      </c>
      <c r="G27" s="53">
        <v>1</v>
      </c>
      <c r="H27" s="56" t="str">
        <f t="shared" si="0"/>
        <v>✗</v>
      </c>
      <c r="I27" s="56" t="str">
        <f t="shared" si="1"/>
        <v>✗</v>
      </c>
      <c r="J27" s="60" t="s">
        <v>1138</v>
      </c>
    </row>
    <row r="28" spans="1:11" ht="26.4">
      <c r="A28" s="37">
        <v>21</v>
      </c>
      <c r="B28" s="46" t="s">
        <v>363</v>
      </c>
      <c r="C28" s="46" t="s">
        <v>703</v>
      </c>
      <c r="D28" s="57">
        <v>6</v>
      </c>
      <c r="E28" s="57">
        <v>2</v>
      </c>
      <c r="F28" s="53">
        <v>2</v>
      </c>
      <c r="G28" s="53">
        <v>3</v>
      </c>
      <c r="H28" s="56" t="str">
        <f t="shared" si="0"/>
        <v>✗</v>
      </c>
      <c r="I28" s="56" t="str">
        <f t="shared" si="1"/>
        <v>✗</v>
      </c>
      <c r="J28" s="60" t="s">
        <v>1125</v>
      </c>
      <c r="K28" s="61" t="s">
        <v>1157</v>
      </c>
    </row>
    <row r="29" spans="1:11" ht="52.8">
      <c r="A29" s="37">
        <v>22</v>
      </c>
      <c r="B29" s="46" t="s">
        <v>369</v>
      </c>
      <c r="C29" s="46" t="s">
        <v>709</v>
      </c>
      <c r="D29" s="57" t="s">
        <v>1120</v>
      </c>
      <c r="E29" s="57" t="s">
        <v>1108</v>
      </c>
      <c r="F29" s="53">
        <v>6</v>
      </c>
      <c r="G29" s="53">
        <v>3</v>
      </c>
      <c r="H29" s="56" t="str">
        <f t="shared" si="0"/>
        <v>✗</v>
      </c>
      <c r="I29" s="56" t="str">
        <f t="shared" si="1"/>
        <v>✗</v>
      </c>
      <c r="J29" s="60" t="s">
        <v>1139</v>
      </c>
      <c r="K29" s="61" t="s">
        <v>1157</v>
      </c>
    </row>
    <row r="30" spans="1:11" ht="52.8">
      <c r="A30" s="37">
        <v>23</v>
      </c>
      <c r="B30" s="46" t="s">
        <v>374</v>
      </c>
      <c r="C30" s="46" t="s">
        <v>714</v>
      </c>
      <c r="D30" s="57" t="s">
        <v>1119</v>
      </c>
      <c r="E30" s="57" t="s">
        <v>1108</v>
      </c>
      <c r="F30" s="53">
        <v>5</v>
      </c>
      <c r="G30" s="53">
        <v>2</v>
      </c>
      <c r="H30" s="56" t="str">
        <f t="shared" si="0"/>
        <v>✗</v>
      </c>
      <c r="I30" s="56" t="str">
        <f t="shared" si="1"/>
        <v>✗</v>
      </c>
      <c r="J30" s="60" t="s">
        <v>1140</v>
      </c>
      <c r="K30" t="s">
        <v>1156</v>
      </c>
    </row>
    <row r="31" spans="1:11" ht="52.8">
      <c r="A31" s="37">
        <v>24</v>
      </c>
      <c r="B31" s="46" t="s">
        <v>404</v>
      </c>
      <c r="C31" s="46" t="s">
        <v>744</v>
      </c>
      <c r="D31" s="57" t="s">
        <v>1120</v>
      </c>
      <c r="E31" s="57" t="s">
        <v>1108</v>
      </c>
      <c r="F31" s="53">
        <v>6</v>
      </c>
      <c r="G31" s="53">
        <v>2</v>
      </c>
      <c r="H31" s="56" t="str">
        <f t="shared" si="0"/>
        <v>✗</v>
      </c>
      <c r="I31" s="56" t="str">
        <f t="shared" si="1"/>
        <v>✗</v>
      </c>
      <c r="J31" s="60" t="s">
        <v>1158</v>
      </c>
    </row>
    <row r="32" spans="1:11" ht="52.8">
      <c r="A32" s="37">
        <v>25</v>
      </c>
      <c r="B32" s="46" t="s">
        <v>409</v>
      </c>
      <c r="C32" s="46" t="s">
        <v>749</v>
      </c>
      <c r="D32" s="57" t="s">
        <v>1121</v>
      </c>
      <c r="E32" s="57" t="s">
        <v>1112</v>
      </c>
      <c r="F32" s="53">
        <v>2</v>
      </c>
      <c r="G32" s="53">
        <v>2</v>
      </c>
      <c r="H32" s="56" t="str">
        <f t="shared" si="0"/>
        <v>✗</v>
      </c>
      <c r="I32" s="56" t="str">
        <f t="shared" si="1"/>
        <v>✗</v>
      </c>
      <c r="J32" s="60" t="s">
        <v>1142</v>
      </c>
    </row>
    <row r="33" spans="1:11" ht="39.6">
      <c r="A33" s="37">
        <v>26</v>
      </c>
      <c r="B33" s="46" t="s">
        <v>410</v>
      </c>
      <c r="C33" s="46" t="s">
        <v>750</v>
      </c>
      <c r="D33" s="57" t="s">
        <v>1109</v>
      </c>
      <c r="E33" s="57" t="s">
        <v>1112</v>
      </c>
      <c r="F33" s="53">
        <v>3</v>
      </c>
      <c r="G33" s="53">
        <v>1</v>
      </c>
      <c r="H33" s="56" t="str">
        <f t="shared" si="0"/>
        <v>✗</v>
      </c>
      <c r="I33" s="56" t="str">
        <f t="shared" si="1"/>
        <v>✗</v>
      </c>
      <c r="J33" s="60" t="s">
        <v>1141</v>
      </c>
    </row>
    <row r="34" spans="1:11" ht="26.4">
      <c r="A34" s="37">
        <v>27</v>
      </c>
      <c r="B34" s="46" t="s">
        <v>423</v>
      </c>
      <c r="C34" s="46" t="s">
        <v>763</v>
      </c>
      <c r="D34" s="57">
        <v>6</v>
      </c>
      <c r="E34" s="57">
        <v>2</v>
      </c>
      <c r="F34" s="53">
        <v>6</v>
      </c>
      <c r="G34" s="53">
        <v>3</v>
      </c>
      <c r="H34" s="56" t="str">
        <f t="shared" si="0"/>
        <v>○</v>
      </c>
      <c r="I34" s="56" t="str">
        <f t="shared" si="1"/>
        <v>✗</v>
      </c>
      <c r="J34" s="60" t="s">
        <v>1132</v>
      </c>
      <c r="K34" s="61" t="s">
        <v>1157</v>
      </c>
    </row>
    <row r="35" spans="1:11" ht="66">
      <c r="A35" s="37">
        <v>28</v>
      </c>
      <c r="B35" s="46" t="s">
        <v>427</v>
      </c>
      <c r="C35" s="46" t="s">
        <v>1018</v>
      </c>
      <c r="D35" s="57" t="s">
        <v>1122</v>
      </c>
      <c r="E35" s="57" t="s">
        <v>1112</v>
      </c>
      <c r="F35" s="53">
        <v>3</v>
      </c>
      <c r="G35" s="53">
        <v>2</v>
      </c>
      <c r="H35" s="56" t="str">
        <f t="shared" si="0"/>
        <v>✗</v>
      </c>
      <c r="I35" s="56" t="str">
        <f t="shared" si="1"/>
        <v>✗</v>
      </c>
      <c r="J35" s="60" t="s">
        <v>1143</v>
      </c>
    </row>
    <row r="36" spans="1:11" ht="39.6">
      <c r="A36" s="37">
        <v>29</v>
      </c>
      <c r="B36" s="46" t="s">
        <v>431</v>
      </c>
      <c r="C36" s="46" t="s">
        <v>770</v>
      </c>
      <c r="D36" s="57">
        <v>6</v>
      </c>
      <c r="E36" s="57">
        <v>2</v>
      </c>
      <c r="F36" s="53">
        <v>2</v>
      </c>
      <c r="G36" s="53">
        <v>3</v>
      </c>
      <c r="H36" s="56" t="str">
        <f t="shared" si="0"/>
        <v>✗</v>
      </c>
      <c r="I36" s="56" t="str">
        <f t="shared" si="1"/>
        <v>✗</v>
      </c>
      <c r="J36" s="60" t="s">
        <v>1144</v>
      </c>
    </row>
    <row r="37" spans="1:11" ht="39.6">
      <c r="A37" s="37">
        <v>30</v>
      </c>
      <c r="B37" s="46" t="s">
        <v>433</v>
      </c>
      <c r="C37" s="46" t="s">
        <v>772</v>
      </c>
      <c r="D37" s="57">
        <v>6</v>
      </c>
      <c r="E37" s="57">
        <v>2</v>
      </c>
      <c r="F37" s="53">
        <v>6</v>
      </c>
      <c r="G37" s="53">
        <v>2</v>
      </c>
      <c r="H37" s="56" t="str">
        <f t="shared" si="0"/>
        <v>○</v>
      </c>
      <c r="I37" s="56" t="str">
        <f t="shared" si="1"/>
        <v>○</v>
      </c>
      <c r="J37" s="63" t="s">
        <v>1135</v>
      </c>
    </row>
    <row r="38" spans="1:11" ht="52.8">
      <c r="A38" s="37">
        <v>31</v>
      </c>
      <c r="B38" s="46" t="s">
        <v>453</v>
      </c>
      <c r="C38" s="46" t="s">
        <v>791</v>
      </c>
      <c r="D38" s="57">
        <v>6</v>
      </c>
      <c r="E38" s="57">
        <v>2</v>
      </c>
      <c r="F38" s="38">
        <v>6</v>
      </c>
      <c r="G38" s="38">
        <v>1</v>
      </c>
      <c r="H38" s="37" t="str">
        <f t="shared" si="0"/>
        <v>○</v>
      </c>
      <c r="I38" s="37" t="str">
        <f t="shared" si="1"/>
        <v>✗</v>
      </c>
      <c r="J38" s="19" t="s">
        <v>1132</v>
      </c>
    </row>
    <row r="39" spans="1:11" ht="66">
      <c r="A39" s="37">
        <v>32</v>
      </c>
      <c r="B39" s="46" t="s">
        <v>454</v>
      </c>
      <c r="C39" s="46" t="s">
        <v>792</v>
      </c>
      <c r="D39" s="57">
        <v>6</v>
      </c>
      <c r="E39" s="57">
        <v>2</v>
      </c>
      <c r="F39" s="38">
        <v>3</v>
      </c>
      <c r="G39" s="38">
        <v>2</v>
      </c>
      <c r="H39" s="37" t="str">
        <f t="shared" si="0"/>
        <v>✗</v>
      </c>
      <c r="I39" s="37" t="str">
        <f t="shared" si="1"/>
        <v>✗</v>
      </c>
      <c r="J39" s="19" t="s">
        <v>1126</v>
      </c>
      <c r="K39" s="61" t="s">
        <v>1157</v>
      </c>
    </row>
    <row r="40" spans="1:11" ht="52.8">
      <c r="A40" s="37">
        <v>33</v>
      </c>
      <c r="B40" s="46" t="s">
        <v>455</v>
      </c>
      <c r="C40" s="46" t="s">
        <v>793</v>
      </c>
      <c r="D40" s="57">
        <v>6</v>
      </c>
      <c r="E40" s="57">
        <v>2</v>
      </c>
      <c r="F40" s="38">
        <v>6</v>
      </c>
      <c r="G40" s="38">
        <v>3</v>
      </c>
      <c r="H40" s="37" t="str">
        <f t="shared" si="0"/>
        <v>○</v>
      </c>
      <c r="I40" s="37" t="str">
        <f t="shared" si="1"/>
        <v>✗</v>
      </c>
      <c r="J40" s="19" t="s">
        <v>1132</v>
      </c>
      <c r="K40" s="61" t="s">
        <v>1157</v>
      </c>
    </row>
    <row r="41" spans="1:11" ht="39.6">
      <c r="A41" s="37">
        <v>34</v>
      </c>
      <c r="B41" s="46" t="s">
        <v>457</v>
      </c>
      <c r="C41" s="46" t="s">
        <v>795</v>
      </c>
      <c r="D41" s="57">
        <v>13</v>
      </c>
      <c r="E41" s="57">
        <v>2</v>
      </c>
      <c r="F41" s="38">
        <v>6</v>
      </c>
      <c r="G41" s="38">
        <v>1</v>
      </c>
      <c r="H41" s="37" t="str">
        <f t="shared" si="0"/>
        <v>✗</v>
      </c>
      <c r="I41" s="37" t="str">
        <f t="shared" si="1"/>
        <v>✗</v>
      </c>
      <c r="J41" s="19" t="s">
        <v>1145</v>
      </c>
    </row>
    <row r="42" spans="1:11" ht="66">
      <c r="A42" s="37">
        <v>35</v>
      </c>
      <c r="B42" s="46" t="s">
        <v>458</v>
      </c>
      <c r="C42" s="46" t="s">
        <v>796</v>
      </c>
      <c r="D42" s="57" t="s">
        <v>1107</v>
      </c>
      <c r="E42" s="57" t="s">
        <v>1108</v>
      </c>
      <c r="F42" s="38">
        <v>3</v>
      </c>
      <c r="G42" s="38">
        <v>3</v>
      </c>
      <c r="H42" s="37" t="str">
        <f t="shared" si="0"/>
        <v>✗</v>
      </c>
      <c r="I42" s="37" t="str">
        <f t="shared" si="1"/>
        <v>✗</v>
      </c>
      <c r="J42" s="19" t="s">
        <v>1146</v>
      </c>
      <c r="K42" t="s">
        <v>1160</v>
      </c>
    </row>
    <row r="43" spans="1:11" ht="66">
      <c r="A43" s="37">
        <v>36</v>
      </c>
      <c r="B43" s="46" t="s">
        <v>461</v>
      </c>
      <c r="C43" s="46" t="s">
        <v>799</v>
      </c>
      <c r="D43" s="57">
        <v>6</v>
      </c>
      <c r="E43" s="57">
        <v>2</v>
      </c>
      <c r="F43" s="38">
        <v>6</v>
      </c>
      <c r="G43" s="38">
        <v>2</v>
      </c>
      <c r="H43" s="37" t="str">
        <f t="shared" si="0"/>
        <v>○</v>
      </c>
      <c r="I43" s="37" t="str">
        <f t="shared" si="1"/>
        <v>○</v>
      </c>
      <c r="J43" s="62" t="s">
        <v>1135</v>
      </c>
    </row>
    <row r="44" spans="1:11" ht="39.6">
      <c r="A44" s="37">
        <v>37</v>
      </c>
      <c r="B44" s="46" t="s">
        <v>473</v>
      </c>
      <c r="C44" s="46" t="s">
        <v>811</v>
      </c>
      <c r="D44" s="57">
        <v>6</v>
      </c>
      <c r="E44" s="57">
        <v>2</v>
      </c>
      <c r="F44" s="38">
        <v>3</v>
      </c>
      <c r="G44" s="38">
        <v>3</v>
      </c>
      <c r="H44" s="37" t="str">
        <f t="shared" si="0"/>
        <v>✗</v>
      </c>
      <c r="I44" s="37" t="str">
        <f t="shared" si="1"/>
        <v>✗</v>
      </c>
      <c r="J44" s="19" t="s">
        <v>1126</v>
      </c>
    </row>
    <row r="45" spans="1:11" ht="26.4">
      <c r="A45" s="37">
        <v>38</v>
      </c>
      <c r="B45" s="46" t="s">
        <v>475</v>
      </c>
      <c r="C45" s="46" t="s">
        <v>813</v>
      </c>
      <c r="D45" s="57" t="s">
        <v>1109</v>
      </c>
      <c r="E45" s="57" t="s">
        <v>1110</v>
      </c>
      <c r="F45" s="38">
        <v>3</v>
      </c>
      <c r="G45" s="38">
        <v>3</v>
      </c>
      <c r="H45" s="37" t="str">
        <f t="shared" si="0"/>
        <v>✗</v>
      </c>
      <c r="I45" s="37" t="str">
        <f t="shared" si="1"/>
        <v>✗</v>
      </c>
      <c r="J45" s="19" t="s">
        <v>1147</v>
      </c>
    </row>
    <row r="46" spans="1:11" ht="26.4">
      <c r="A46" s="37">
        <v>39</v>
      </c>
      <c r="B46" s="46" t="s">
        <v>480</v>
      </c>
      <c r="C46" s="46" t="s">
        <v>818</v>
      </c>
      <c r="D46" s="57" t="s">
        <v>1111</v>
      </c>
      <c r="E46" s="57" t="s">
        <v>1112</v>
      </c>
      <c r="F46" s="38">
        <v>6</v>
      </c>
      <c r="G46" s="38">
        <v>3</v>
      </c>
      <c r="H46" s="37" t="str">
        <f t="shared" si="0"/>
        <v>✗</v>
      </c>
      <c r="I46" s="37" t="str">
        <f t="shared" si="1"/>
        <v>✗</v>
      </c>
      <c r="J46" s="19" t="s">
        <v>1148</v>
      </c>
    </row>
    <row r="47" spans="1:11" ht="28.8">
      <c r="A47" s="37">
        <v>40</v>
      </c>
      <c r="B47" s="46" t="s">
        <v>514</v>
      </c>
      <c r="C47" s="46" t="s">
        <v>852</v>
      </c>
      <c r="D47" s="57" t="s">
        <v>1113</v>
      </c>
      <c r="E47" s="57" t="s">
        <v>1112</v>
      </c>
      <c r="F47" s="38">
        <v>0</v>
      </c>
      <c r="G47" s="38">
        <v>0</v>
      </c>
      <c r="H47" s="37" t="str">
        <f t="shared" si="0"/>
        <v>✗</v>
      </c>
      <c r="I47" s="37" t="str">
        <f t="shared" si="1"/>
        <v>✗</v>
      </c>
      <c r="J47" s="19" t="s">
        <v>1149</v>
      </c>
    </row>
    <row r="48" spans="1:11" ht="39.6">
      <c r="A48" s="37">
        <v>41</v>
      </c>
      <c r="B48" s="46" t="s">
        <v>521</v>
      </c>
      <c r="C48" s="46" t="s">
        <v>859</v>
      </c>
      <c r="D48" s="57">
        <v>13</v>
      </c>
      <c r="E48" s="57">
        <v>2</v>
      </c>
      <c r="F48" s="53">
        <v>6</v>
      </c>
      <c r="G48" s="53">
        <v>1</v>
      </c>
      <c r="H48" s="56" t="str">
        <f t="shared" si="0"/>
        <v>✗</v>
      </c>
      <c r="I48" s="56" t="str">
        <f t="shared" si="1"/>
        <v>✗</v>
      </c>
      <c r="J48" s="60" t="s">
        <v>1145</v>
      </c>
    </row>
    <row r="49" spans="1:11" ht="39.6">
      <c r="A49" s="37">
        <v>42</v>
      </c>
      <c r="B49" s="46" t="s">
        <v>527</v>
      </c>
      <c r="C49" s="46" t="s">
        <v>866</v>
      </c>
      <c r="D49" s="57" t="s">
        <v>1114</v>
      </c>
      <c r="E49" s="57" t="s">
        <v>1112</v>
      </c>
      <c r="F49" s="53">
        <v>6</v>
      </c>
      <c r="G49" s="53">
        <v>2</v>
      </c>
      <c r="H49" s="56" t="str">
        <f t="shared" si="0"/>
        <v>✗</v>
      </c>
      <c r="I49" s="56" t="str">
        <f t="shared" si="1"/>
        <v>✗</v>
      </c>
      <c r="J49" s="60" t="s">
        <v>1150</v>
      </c>
    </row>
    <row r="50" spans="1:11" ht="26.4">
      <c r="A50" s="37">
        <v>43</v>
      </c>
      <c r="B50" s="46" t="s">
        <v>529</v>
      </c>
      <c r="C50" s="46" t="s">
        <v>867</v>
      </c>
      <c r="D50" s="57" t="s">
        <v>1115</v>
      </c>
      <c r="E50" s="57" t="s">
        <v>1112</v>
      </c>
      <c r="F50" s="53">
        <v>6</v>
      </c>
      <c r="G50" s="53">
        <v>1</v>
      </c>
      <c r="H50" s="56" t="str">
        <f t="shared" si="0"/>
        <v>✗</v>
      </c>
      <c r="I50" s="56" t="str">
        <f t="shared" si="1"/>
        <v>✗</v>
      </c>
      <c r="J50" s="60" t="s">
        <v>1151</v>
      </c>
    </row>
    <row r="51" spans="1:11">
      <c r="A51" s="37">
        <v>44</v>
      </c>
      <c r="B51" s="46" t="s">
        <v>531</v>
      </c>
      <c r="C51" s="46" t="s">
        <v>869</v>
      </c>
      <c r="D51" s="57">
        <v>4</v>
      </c>
      <c r="E51" s="57">
        <v>1</v>
      </c>
      <c r="F51" s="53">
        <v>4</v>
      </c>
      <c r="G51" s="53">
        <v>2</v>
      </c>
      <c r="H51" s="56" t="str">
        <f t="shared" si="0"/>
        <v>○</v>
      </c>
      <c r="I51" s="56" t="str">
        <f t="shared" si="1"/>
        <v>✗</v>
      </c>
      <c r="J51" s="60" t="s">
        <v>1152</v>
      </c>
      <c r="K51" s="61" t="s">
        <v>1157</v>
      </c>
    </row>
    <row r="52" spans="1:11" ht="52.8">
      <c r="A52" s="37">
        <v>45</v>
      </c>
      <c r="B52" s="46" t="s">
        <v>535</v>
      </c>
      <c r="C52" s="46" t="s">
        <v>873</v>
      </c>
      <c r="D52" s="57" t="s">
        <v>1116</v>
      </c>
      <c r="E52" s="57" t="s">
        <v>1112</v>
      </c>
      <c r="F52" s="53">
        <v>6</v>
      </c>
      <c r="G52" s="53">
        <v>2</v>
      </c>
      <c r="H52" s="56" t="str">
        <f t="shared" si="0"/>
        <v>✗</v>
      </c>
      <c r="I52" s="56" t="str">
        <f t="shared" si="1"/>
        <v>✗</v>
      </c>
      <c r="J52" s="60" t="s">
        <v>1153</v>
      </c>
    </row>
    <row r="53" spans="1:11" ht="28.8">
      <c r="A53" s="37">
        <v>46</v>
      </c>
      <c r="B53" s="46" t="s">
        <v>545</v>
      </c>
      <c r="C53" s="46" t="s">
        <v>883</v>
      </c>
      <c r="D53" s="57" t="s">
        <v>1117</v>
      </c>
      <c r="E53" s="57" t="s">
        <v>1118</v>
      </c>
      <c r="F53" s="53">
        <v>0</v>
      </c>
      <c r="G53" s="53">
        <v>0</v>
      </c>
      <c r="H53" s="56" t="str">
        <f t="shared" si="0"/>
        <v>✗</v>
      </c>
      <c r="I53" s="56" t="str">
        <f t="shared" si="1"/>
        <v>✗</v>
      </c>
      <c r="J53" s="60" t="s">
        <v>1154</v>
      </c>
    </row>
    <row r="54" spans="1:11" ht="39.6">
      <c r="A54" s="37">
        <v>47</v>
      </c>
      <c r="B54" s="46" t="s">
        <v>550</v>
      </c>
      <c r="C54" s="45" t="s">
        <v>888</v>
      </c>
      <c r="D54" s="57" t="s">
        <v>1119</v>
      </c>
      <c r="E54" s="57" t="s">
        <v>1110</v>
      </c>
      <c r="F54" s="53">
        <v>6</v>
      </c>
      <c r="G54" s="53">
        <v>2</v>
      </c>
      <c r="H54" s="56" t="str">
        <f t="shared" si="0"/>
        <v>✗</v>
      </c>
      <c r="I54" s="56" t="str">
        <f t="shared" si="1"/>
        <v>✗</v>
      </c>
      <c r="J54" s="60" t="s">
        <v>1159</v>
      </c>
    </row>
    <row r="55" spans="1:11" ht="26.4">
      <c r="A55" s="37">
        <v>48</v>
      </c>
      <c r="B55" s="46" t="s">
        <v>568</v>
      </c>
      <c r="C55" s="46" t="s">
        <v>906</v>
      </c>
      <c r="D55" s="57">
        <v>6</v>
      </c>
      <c r="E55" s="57">
        <v>2</v>
      </c>
      <c r="F55" s="53">
        <v>6</v>
      </c>
      <c r="G55" s="53">
        <v>3</v>
      </c>
      <c r="H55" s="56" t="str">
        <f t="shared" si="0"/>
        <v>○</v>
      </c>
      <c r="I55" s="56" t="str">
        <f t="shared" si="1"/>
        <v>✗</v>
      </c>
      <c r="J55" s="60" t="s">
        <v>1132</v>
      </c>
    </row>
    <row r="56" spans="1:11" ht="26.4">
      <c r="A56" s="37">
        <v>49</v>
      </c>
      <c r="B56" s="46" t="s">
        <v>580</v>
      </c>
      <c r="C56" s="46" t="s">
        <v>918</v>
      </c>
      <c r="D56" s="57" t="s">
        <v>1109</v>
      </c>
      <c r="E56" s="57" t="s">
        <v>1110</v>
      </c>
      <c r="F56" s="53">
        <v>0</v>
      </c>
      <c r="G56" s="53">
        <v>0</v>
      </c>
      <c r="H56" s="56" t="str">
        <f t="shared" si="0"/>
        <v>✗</v>
      </c>
      <c r="I56" s="56" t="str">
        <f t="shared" si="1"/>
        <v>✗</v>
      </c>
      <c r="J56" s="60" t="s">
        <v>1133</v>
      </c>
    </row>
    <row r="57" spans="1:11">
      <c r="A57" s="37">
        <v>50</v>
      </c>
      <c r="B57" s="46" t="s">
        <v>338</v>
      </c>
      <c r="C57" s="45"/>
      <c r="D57" s="57">
        <v>11</v>
      </c>
      <c r="E57" s="57">
        <v>1</v>
      </c>
      <c r="F57" s="38"/>
      <c r="G57" s="38"/>
      <c r="H57" s="37" t="str">
        <f t="shared" si="0"/>
        <v/>
      </c>
      <c r="I57" s="37" t="str">
        <f t="shared" si="1"/>
        <v/>
      </c>
      <c r="J57" s="19" t="s">
        <v>1155</v>
      </c>
    </row>
    <row r="59" spans="1:11" ht="15.6">
      <c r="A59" s="65" t="s">
        <v>230</v>
      </c>
      <c r="B59" s="66"/>
      <c r="C59" s="66"/>
      <c r="D59" s="66"/>
      <c r="E59" s="66"/>
      <c r="F59" s="66"/>
      <c r="G59" s="66"/>
      <c r="H59" s="66"/>
      <c r="I59" s="66"/>
      <c r="J59" s="66"/>
    </row>
    <row r="60" spans="1:11" ht="39.6">
      <c r="A60" s="10" t="s">
        <v>231</v>
      </c>
      <c r="B60" s="24" t="s">
        <v>232</v>
      </c>
      <c r="C60" s="25">
        <f>COUNTIF(H8:H57,"○")+COUNTIF(H8:H57,"✗")</f>
        <v>49</v>
      </c>
      <c r="D60" s="39" t="s">
        <v>233</v>
      </c>
      <c r="E60" s="24"/>
      <c r="F60" s="24"/>
      <c r="G60" s="24"/>
      <c r="H60" s="24"/>
      <c r="I60" s="24"/>
      <c r="J60" s="24"/>
    </row>
    <row r="61" spans="1:11" ht="52.8">
      <c r="A61" s="10" t="s">
        <v>234</v>
      </c>
      <c r="B61" s="24" t="s">
        <v>235</v>
      </c>
      <c r="C61" s="25">
        <f>IFERROR(COUNTIF(H8:H57,"○")/(COUNTIF(H8:H57,"○")+COUNTIF(H8:H57,"✗"))*100,0)</f>
        <v>20.408163265306122</v>
      </c>
      <c r="D61" s="24" t="str">
        <f>IF(C61="","",IF(C61&gt;=70,"✅ 본 평가 진입 가능",IF(C61&gt;=50,"⚠ 합의 부족","❌ 평가 불가")))</f>
        <v>❌ 평가 불가</v>
      </c>
      <c r="E61" s="24"/>
      <c r="F61" s="24"/>
      <c r="G61" s="24"/>
      <c r="H61" s="24"/>
      <c r="I61" s="24"/>
      <c r="J61" s="24"/>
    </row>
    <row r="62" spans="1:11" ht="39.6">
      <c r="A62" s="10" t="s">
        <v>236</v>
      </c>
      <c r="B62" s="24" t="s">
        <v>237</v>
      </c>
      <c r="C62" s="25">
        <f>IFERROR(COUNTIF(I8:I57,"○")/(COUNTIF(I8:I57,"○")+COUNTIF(I8:I57,"✗"))*100,0)</f>
        <v>6.1224489795918364</v>
      </c>
      <c r="D62" s="24" t="str">
        <f>IF(C62="","",IF(C62&gt;=60,"✅ 충분","⚠ 강도 합의 부족"))</f>
        <v>⚠ 강도 합의 부족</v>
      </c>
      <c r="E62" s="24"/>
      <c r="F62" s="24"/>
      <c r="G62" s="24"/>
      <c r="H62" s="24"/>
      <c r="I62" s="24"/>
      <c r="J62" s="24"/>
    </row>
  </sheetData>
  <mergeCells count="11">
    <mergeCell ref="D6:E6"/>
    <mergeCell ref="A1:J1"/>
    <mergeCell ref="A59:J59"/>
    <mergeCell ref="H6:H7"/>
    <mergeCell ref="I6:I7"/>
    <mergeCell ref="F6:G6"/>
    <mergeCell ref="J6:J7"/>
    <mergeCell ref="C6:C7"/>
    <mergeCell ref="A2:J2"/>
    <mergeCell ref="B6:B7"/>
    <mergeCell ref="A6:A7"/>
  </mergeCells>
  <phoneticPr fontId="21" type="noConversion"/>
  <conditionalFormatting sqref="H8:I57">
    <cfRule type="cellIs" dxfId="6" priority="2" operator="equal">
      <formula>"○"</formula>
    </cfRule>
    <cfRule type="cellIs" dxfId="5" priority="3" operator="equal">
      <formula>"✗"</formula>
    </cfRule>
  </conditionalFormatting>
  <dataValidations count="2">
    <dataValidation type="list" allowBlank="1" sqref="F8:F57 D8:D57" xr:uid="{00000000-0002-0000-0700-000000000000}">
      <formula1>"0,1,2,3,4,5,6,7,8,9,10,11,12,13,14"</formula1>
      <formula2>0</formula2>
    </dataValidation>
    <dataValidation type="list" allowBlank="1" sqref="G8:G57 E8:E57" xr:uid="{00000000-0002-0000-0700-000001000000}">
      <formula1>"0,1,2,3"</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357"/>
  <sheetViews>
    <sheetView zoomScaleNormal="100" workbookViewId="0">
      <pane xSplit="4" ySplit="4" topLeftCell="E5" activePane="bottomRight" state="frozen"/>
      <selection pane="topRight" activeCell="E1" sqref="E1"/>
      <selection pane="bottomLeft" activeCell="A5" sqref="A5"/>
      <selection pane="bottomRight" activeCell="K13" sqref="K13"/>
    </sheetView>
  </sheetViews>
  <sheetFormatPr defaultColWidth="8.6640625" defaultRowHeight="14.4"/>
  <cols>
    <col min="1" max="1" width="7" customWidth="1"/>
    <col min="2" max="3" width="28" customWidth="1"/>
    <col min="4" max="4" width="9.21875" customWidth="1"/>
    <col min="5" max="32" width="6.44140625" customWidth="1"/>
    <col min="33" max="33" width="11" customWidth="1"/>
    <col min="34" max="34" width="10" customWidth="1"/>
    <col min="35" max="35" width="14" customWidth="1"/>
    <col min="36" max="36" width="24" customWidth="1"/>
  </cols>
  <sheetData>
    <row r="1" spans="1:36" ht="21" customHeight="1">
      <c r="A1" s="32" t="s">
        <v>238</v>
      </c>
    </row>
    <row r="3" spans="1:36" ht="24" customHeight="1">
      <c r="A3" s="87" t="s">
        <v>223</v>
      </c>
      <c r="B3" s="87" t="s">
        <v>214</v>
      </c>
      <c r="C3" s="91" t="s">
        <v>215</v>
      </c>
      <c r="D3" s="87" t="s">
        <v>239</v>
      </c>
      <c r="E3" s="76" t="s">
        <v>240</v>
      </c>
      <c r="F3" s="68"/>
      <c r="G3" s="68"/>
      <c r="H3" s="68"/>
      <c r="I3" s="68"/>
      <c r="J3" s="68"/>
      <c r="K3" s="68"/>
      <c r="L3" s="68"/>
      <c r="M3" s="68"/>
      <c r="N3" s="68"/>
      <c r="O3" s="68"/>
      <c r="P3" s="68"/>
      <c r="Q3" s="68"/>
      <c r="R3" s="69"/>
      <c r="S3" s="89" t="s">
        <v>241</v>
      </c>
      <c r="T3" s="68"/>
      <c r="U3" s="68"/>
      <c r="V3" s="68"/>
      <c r="W3" s="68"/>
      <c r="X3" s="68"/>
      <c r="Y3" s="68"/>
      <c r="Z3" s="68"/>
      <c r="AA3" s="68"/>
      <c r="AB3" s="68"/>
      <c r="AC3" s="68"/>
      <c r="AD3" s="68"/>
      <c r="AE3" s="68"/>
      <c r="AF3" s="69"/>
      <c r="AG3" s="92" t="s">
        <v>226</v>
      </c>
      <c r="AH3" s="92" t="s">
        <v>227</v>
      </c>
      <c r="AI3" s="92" t="s">
        <v>242</v>
      </c>
      <c r="AJ3" s="92" t="s">
        <v>128</v>
      </c>
    </row>
    <row r="4" spans="1:36" ht="21.75" customHeight="1">
      <c r="A4" s="88"/>
      <c r="B4" s="88"/>
      <c r="C4" s="88"/>
      <c r="D4" s="88"/>
      <c r="E4" s="40" t="s">
        <v>129</v>
      </c>
      <c r="F4" s="40" t="s">
        <v>130</v>
      </c>
      <c r="G4" s="40" t="s">
        <v>131</v>
      </c>
      <c r="H4" s="40" t="s">
        <v>132</v>
      </c>
      <c r="I4" s="40" t="s">
        <v>133</v>
      </c>
      <c r="J4" s="40" t="s">
        <v>134</v>
      </c>
      <c r="K4" s="40" t="s">
        <v>135</v>
      </c>
      <c r="L4" s="40" t="s">
        <v>136</v>
      </c>
      <c r="M4" s="40" t="s">
        <v>137</v>
      </c>
      <c r="N4" s="40" t="s">
        <v>138</v>
      </c>
      <c r="O4" s="40" t="s">
        <v>139</v>
      </c>
      <c r="P4" s="40" t="s">
        <v>140</v>
      </c>
      <c r="Q4" s="40" t="s">
        <v>141</v>
      </c>
      <c r="R4" s="40" t="s">
        <v>142</v>
      </c>
      <c r="S4" s="41" t="s">
        <v>129</v>
      </c>
      <c r="T4" s="41" t="s">
        <v>130</v>
      </c>
      <c r="U4" s="41" t="s">
        <v>131</v>
      </c>
      <c r="V4" s="41" t="s">
        <v>132</v>
      </c>
      <c r="W4" s="41" t="s">
        <v>133</v>
      </c>
      <c r="X4" s="41" t="s">
        <v>134</v>
      </c>
      <c r="Y4" s="41" t="s">
        <v>135</v>
      </c>
      <c r="Z4" s="41" t="s">
        <v>136</v>
      </c>
      <c r="AA4" s="41" t="s">
        <v>137</v>
      </c>
      <c r="AB4" s="41" t="s">
        <v>138</v>
      </c>
      <c r="AC4" s="41" t="s">
        <v>139</v>
      </c>
      <c r="AD4" s="41" t="s">
        <v>140</v>
      </c>
      <c r="AE4" s="41" t="s">
        <v>141</v>
      </c>
      <c r="AF4" s="41" t="s">
        <v>142</v>
      </c>
      <c r="AG4" s="88"/>
      <c r="AH4" s="88"/>
      <c r="AI4" s="88"/>
      <c r="AJ4" s="88"/>
    </row>
    <row r="5" spans="1:36" ht="27.75" customHeight="1">
      <c r="A5" s="37">
        <v>1</v>
      </c>
      <c r="B5" s="45" t="s">
        <v>247</v>
      </c>
      <c r="C5" s="46" t="s">
        <v>590</v>
      </c>
      <c r="D5" s="16"/>
      <c r="E5" s="55"/>
      <c r="F5" s="55"/>
      <c r="G5" s="55"/>
      <c r="H5" s="55"/>
      <c r="I5" s="55"/>
      <c r="J5" s="55"/>
      <c r="K5" s="55"/>
      <c r="L5" s="55"/>
      <c r="M5" s="55"/>
      <c r="N5" s="55"/>
      <c r="O5" s="55"/>
      <c r="P5" s="55"/>
      <c r="Q5" s="55"/>
      <c r="R5" s="55"/>
      <c r="S5" s="38"/>
      <c r="T5" s="38"/>
      <c r="U5" s="38"/>
      <c r="V5" s="38"/>
      <c r="W5" s="38"/>
      <c r="X5" s="38"/>
      <c r="Y5" s="38"/>
      <c r="Z5" s="38"/>
      <c r="AA5" s="38"/>
      <c r="AB5" s="38"/>
      <c r="AC5" s="38"/>
      <c r="AD5" s="38"/>
      <c r="AE5" s="38"/>
      <c r="AF5" s="38"/>
      <c r="AG5" s="37" t="str">
        <f t="shared" ref="AG5:AG36" si="0">IF(AND(B5="",E5="",S5=""),"",IF(SUMPRODUCT(((E5:R5&gt;=1)&lt;&gt;(S5:AF5&gt;=1))*1)=0,"○","✗"))</f>
        <v>○</v>
      </c>
      <c r="AH5" s="37" t="str">
        <f t="shared" ref="AH5:AH36" si="1">IF(AG5="","",IF(AG5="✗","✗",IF(SUMPRODUCT((E5:R5&lt;&gt;S5:AF5)*1)=0,"○","✗")))</f>
        <v>○</v>
      </c>
      <c r="AI5" s="42">
        <f t="shared" ref="AI5:AI36" si="2">IF(AND(SUM(E5:R5)=0,SUM(S5:AF5)=0),0,(SUM(E5:R5)+SUM(S5:AF5))/2)</f>
        <v>0</v>
      </c>
      <c r="AJ5" s="11"/>
    </row>
    <row r="6" spans="1:36" ht="27.75" customHeight="1">
      <c r="A6" s="37">
        <v>2</v>
      </c>
      <c r="B6" s="45" t="s">
        <v>248</v>
      </c>
      <c r="C6" s="46" t="s">
        <v>591</v>
      </c>
      <c r="D6" s="16"/>
      <c r="E6" s="55"/>
      <c r="F6" s="55"/>
      <c r="G6" s="55"/>
      <c r="H6" s="55"/>
      <c r="I6" s="55"/>
      <c r="J6" s="55"/>
      <c r="K6" s="55"/>
      <c r="L6" s="55"/>
      <c r="M6" s="55"/>
      <c r="N6" s="55"/>
      <c r="O6" s="55"/>
      <c r="P6" s="55"/>
      <c r="Q6" s="55"/>
      <c r="R6" s="55"/>
      <c r="S6" s="38"/>
      <c r="T6" s="38"/>
      <c r="U6" s="38"/>
      <c r="V6" s="38"/>
      <c r="W6" s="38"/>
      <c r="X6" s="38"/>
      <c r="Y6" s="38"/>
      <c r="Z6" s="38"/>
      <c r="AA6" s="38"/>
      <c r="AB6" s="38"/>
      <c r="AC6" s="38"/>
      <c r="AD6" s="38"/>
      <c r="AE6" s="38"/>
      <c r="AF6" s="38"/>
      <c r="AG6" s="37" t="str">
        <f t="shared" si="0"/>
        <v>○</v>
      </c>
      <c r="AH6" s="37" t="str">
        <f t="shared" si="1"/>
        <v>○</v>
      </c>
      <c r="AI6" s="42">
        <f t="shared" si="2"/>
        <v>0</v>
      </c>
      <c r="AJ6" s="11"/>
    </row>
    <row r="7" spans="1:36" ht="27.75" customHeight="1">
      <c r="A7" s="37">
        <v>3</v>
      </c>
      <c r="B7" s="45" t="s">
        <v>249</v>
      </c>
      <c r="C7" s="46" t="s">
        <v>592</v>
      </c>
      <c r="D7" s="16"/>
      <c r="E7" s="55"/>
      <c r="F7" s="55"/>
      <c r="G7" s="55"/>
      <c r="H7" s="55"/>
      <c r="I7" s="55"/>
      <c r="J7" s="55"/>
      <c r="K7" s="55"/>
      <c r="L7" s="55"/>
      <c r="M7" s="55"/>
      <c r="N7" s="55"/>
      <c r="O7" s="55"/>
      <c r="P7" s="55"/>
      <c r="Q7" s="55"/>
      <c r="R7" s="55"/>
      <c r="S7" s="38"/>
      <c r="T7" s="38"/>
      <c r="U7" s="38"/>
      <c r="V7" s="38"/>
      <c r="W7" s="38"/>
      <c r="X7" s="38"/>
      <c r="Y7" s="38"/>
      <c r="Z7" s="38"/>
      <c r="AA7" s="38"/>
      <c r="AB7" s="38"/>
      <c r="AC7" s="38"/>
      <c r="AD7" s="38"/>
      <c r="AE7" s="38"/>
      <c r="AF7" s="38"/>
      <c r="AG7" s="37" t="str">
        <f t="shared" si="0"/>
        <v>○</v>
      </c>
      <c r="AH7" s="37" t="str">
        <f t="shared" si="1"/>
        <v>○</v>
      </c>
      <c r="AI7" s="42">
        <f t="shared" si="2"/>
        <v>0</v>
      </c>
      <c r="AJ7" s="11"/>
    </row>
    <row r="8" spans="1:36" ht="27.75" customHeight="1">
      <c r="A8" s="37">
        <v>4</v>
      </c>
      <c r="B8" s="45" t="s">
        <v>250</v>
      </c>
      <c r="C8" s="46" t="s">
        <v>593</v>
      </c>
      <c r="D8" s="16"/>
      <c r="E8" s="55"/>
      <c r="F8" s="55"/>
      <c r="G8" s="55"/>
      <c r="H8" s="55"/>
      <c r="I8" s="55"/>
      <c r="J8" s="55"/>
      <c r="K8" s="55"/>
      <c r="L8" s="55"/>
      <c r="M8" s="55"/>
      <c r="N8" s="55"/>
      <c r="O8" s="55"/>
      <c r="P8" s="55"/>
      <c r="Q8" s="55"/>
      <c r="R8" s="55"/>
      <c r="S8" s="38"/>
      <c r="T8" s="38"/>
      <c r="U8" s="38"/>
      <c r="V8" s="38"/>
      <c r="W8" s="38"/>
      <c r="X8" s="38"/>
      <c r="Y8" s="38"/>
      <c r="Z8" s="38"/>
      <c r="AA8" s="38"/>
      <c r="AB8" s="38"/>
      <c r="AC8" s="38"/>
      <c r="AD8" s="38"/>
      <c r="AE8" s="38"/>
      <c r="AF8" s="38"/>
      <c r="AG8" s="37" t="str">
        <f t="shared" si="0"/>
        <v>○</v>
      </c>
      <c r="AH8" s="37" t="str">
        <f t="shared" si="1"/>
        <v>○</v>
      </c>
      <c r="AI8" s="42">
        <f t="shared" si="2"/>
        <v>0</v>
      </c>
      <c r="AJ8" s="11"/>
    </row>
    <row r="9" spans="1:36" ht="27.75" customHeight="1">
      <c r="A9" s="37">
        <v>5</v>
      </c>
      <c r="B9" s="45" t="s">
        <v>251</v>
      </c>
      <c r="C9" s="46" t="s">
        <v>594</v>
      </c>
      <c r="D9" s="16"/>
      <c r="E9" s="55"/>
      <c r="F9" s="55"/>
      <c r="G9" s="55"/>
      <c r="H9" s="55"/>
      <c r="I9" s="55"/>
      <c r="J9" s="55"/>
      <c r="K9" s="55"/>
      <c r="L9" s="55"/>
      <c r="M9" s="55"/>
      <c r="N9" s="55"/>
      <c r="O9" s="55"/>
      <c r="P9" s="55"/>
      <c r="Q9" s="55"/>
      <c r="R9" s="55"/>
      <c r="S9" s="38"/>
      <c r="T9" s="38"/>
      <c r="U9" s="38"/>
      <c r="V9" s="38"/>
      <c r="W9" s="38"/>
      <c r="X9" s="38"/>
      <c r="Y9" s="38"/>
      <c r="Z9" s="38"/>
      <c r="AA9" s="38"/>
      <c r="AB9" s="38"/>
      <c r="AC9" s="38"/>
      <c r="AD9" s="38"/>
      <c r="AE9" s="38"/>
      <c r="AF9" s="38"/>
      <c r="AG9" s="37" t="str">
        <f t="shared" si="0"/>
        <v>○</v>
      </c>
      <c r="AH9" s="37" t="str">
        <f t="shared" si="1"/>
        <v>○</v>
      </c>
      <c r="AI9" s="42">
        <f t="shared" si="2"/>
        <v>0</v>
      </c>
      <c r="AJ9" s="11"/>
    </row>
    <row r="10" spans="1:36" ht="27.75" customHeight="1">
      <c r="A10" s="37">
        <v>6</v>
      </c>
      <c r="B10" s="45" t="s">
        <v>252</v>
      </c>
      <c r="C10" s="46" t="s">
        <v>595</v>
      </c>
      <c r="D10" s="16"/>
      <c r="E10" s="55"/>
      <c r="F10" s="55"/>
      <c r="G10" s="55"/>
      <c r="H10" s="55"/>
      <c r="I10" s="55"/>
      <c r="J10" s="55"/>
      <c r="K10" s="55"/>
      <c r="L10" s="55"/>
      <c r="M10" s="55"/>
      <c r="N10" s="55"/>
      <c r="O10" s="55"/>
      <c r="P10" s="55"/>
      <c r="Q10" s="55"/>
      <c r="R10" s="55"/>
      <c r="S10" s="38"/>
      <c r="T10" s="38"/>
      <c r="U10" s="38"/>
      <c r="V10" s="38"/>
      <c r="W10" s="38"/>
      <c r="X10" s="38"/>
      <c r="Y10" s="38"/>
      <c r="Z10" s="38"/>
      <c r="AA10" s="38"/>
      <c r="AB10" s="38"/>
      <c r="AC10" s="38"/>
      <c r="AD10" s="38"/>
      <c r="AE10" s="38"/>
      <c r="AF10" s="38"/>
      <c r="AG10" s="37" t="str">
        <f t="shared" si="0"/>
        <v>○</v>
      </c>
      <c r="AH10" s="37" t="str">
        <f t="shared" si="1"/>
        <v>○</v>
      </c>
      <c r="AI10" s="42">
        <f t="shared" si="2"/>
        <v>0</v>
      </c>
      <c r="AJ10" s="11"/>
    </row>
    <row r="11" spans="1:36" ht="27.75" customHeight="1">
      <c r="A11" s="37">
        <v>7</v>
      </c>
      <c r="B11" s="45" t="s">
        <v>253</v>
      </c>
      <c r="C11" s="46" t="s">
        <v>596</v>
      </c>
      <c r="D11" s="16"/>
      <c r="E11" s="55"/>
      <c r="F11" s="55"/>
      <c r="G11" s="55"/>
      <c r="H11" s="55"/>
      <c r="I11" s="55"/>
      <c r="J11" s="55"/>
      <c r="K11" s="55"/>
      <c r="L11" s="55"/>
      <c r="M11" s="55"/>
      <c r="N11" s="55"/>
      <c r="O11" s="55"/>
      <c r="P11" s="55"/>
      <c r="Q11" s="55"/>
      <c r="R11" s="55"/>
      <c r="S11" s="38"/>
      <c r="T11" s="38"/>
      <c r="U11" s="38"/>
      <c r="V11" s="38"/>
      <c r="W11" s="38"/>
      <c r="X11" s="38"/>
      <c r="Y11" s="38"/>
      <c r="Z11" s="38"/>
      <c r="AA11" s="38"/>
      <c r="AB11" s="38"/>
      <c r="AC11" s="38"/>
      <c r="AD11" s="38"/>
      <c r="AE11" s="38"/>
      <c r="AF11" s="38"/>
      <c r="AG11" s="37" t="str">
        <f t="shared" si="0"/>
        <v>○</v>
      </c>
      <c r="AH11" s="37" t="str">
        <f t="shared" si="1"/>
        <v>○</v>
      </c>
      <c r="AI11" s="42">
        <f t="shared" si="2"/>
        <v>0</v>
      </c>
      <c r="AJ11" s="11"/>
    </row>
    <row r="12" spans="1:36" ht="27.75" customHeight="1">
      <c r="A12" s="37">
        <v>8</v>
      </c>
      <c r="B12" s="45" t="s">
        <v>254</v>
      </c>
      <c r="C12" s="46" t="s">
        <v>928</v>
      </c>
      <c r="D12" s="16"/>
      <c r="E12" s="55"/>
      <c r="F12" s="55"/>
      <c r="G12" s="55"/>
      <c r="H12" s="55"/>
      <c r="I12" s="55"/>
      <c r="J12" s="55"/>
      <c r="K12" s="55"/>
      <c r="L12" s="55"/>
      <c r="M12" s="55"/>
      <c r="N12" s="55"/>
      <c r="O12" s="55"/>
      <c r="P12" s="55"/>
      <c r="Q12" s="55"/>
      <c r="R12" s="55"/>
      <c r="S12" s="38"/>
      <c r="T12" s="38"/>
      <c r="U12" s="38"/>
      <c r="V12" s="38"/>
      <c r="W12" s="38"/>
      <c r="X12" s="38"/>
      <c r="Y12" s="38"/>
      <c r="Z12" s="38"/>
      <c r="AA12" s="38"/>
      <c r="AB12" s="38"/>
      <c r="AC12" s="38"/>
      <c r="AD12" s="38"/>
      <c r="AE12" s="38"/>
      <c r="AF12" s="38"/>
      <c r="AG12" s="37" t="str">
        <f t="shared" si="0"/>
        <v>○</v>
      </c>
      <c r="AH12" s="37" t="str">
        <f t="shared" si="1"/>
        <v>○</v>
      </c>
      <c r="AI12" s="42">
        <f t="shared" si="2"/>
        <v>0</v>
      </c>
      <c r="AJ12" s="11"/>
    </row>
    <row r="13" spans="1:36" ht="27.75" customHeight="1">
      <c r="A13" s="37">
        <v>9</v>
      </c>
      <c r="B13" s="45" t="s">
        <v>255</v>
      </c>
      <c r="C13" s="46" t="s">
        <v>597</v>
      </c>
      <c r="D13" s="16"/>
      <c r="E13" s="55"/>
      <c r="F13" s="55"/>
      <c r="G13" s="55"/>
      <c r="H13" s="55"/>
      <c r="I13" s="55"/>
      <c r="J13" s="55"/>
      <c r="K13" s="55"/>
      <c r="L13" s="55"/>
      <c r="M13" s="55"/>
      <c r="N13" s="55"/>
      <c r="O13" s="55"/>
      <c r="P13" s="55"/>
      <c r="Q13" s="55"/>
      <c r="R13" s="55"/>
      <c r="S13" s="38"/>
      <c r="T13" s="38"/>
      <c r="U13" s="38"/>
      <c r="V13" s="38"/>
      <c r="W13" s="38"/>
      <c r="X13" s="38"/>
      <c r="Y13" s="38"/>
      <c r="Z13" s="38"/>
      <c r="AA13" s="38"/>
      <c r="AB13" s="38"/>
      <c r="AC13" s="38"/>
      <c r="AD13" s="38"/>
      <c r="AE13" s="38"/>
      <c r="AF13" s="38"/>
      <c r="AG13" s="37" t="str">
        <f t="shared" si="0"/>
        <v>○</v>
      </c>
      <c r="AH13" s="37" t="str">
        <f t="shared" si="1"/>
        <v>○</v>
      </c>
      <c r="AI13" s="42">
        <f t="shared" si="2"/>
        <v>0</v>
      </c>
      <c r="AJ13" s="11"/>
    </row>
    <row r="14" spans="1:36" ht="27.75" customHeight="1">
      <c r="A14" s="37">
        <v>10</v>
      </c>
      <c r="B14" s="45" t="s">
        <v>256</v>
      </c>
      <c r="C14" s="46" t="s">
        <v>598</v>
      </c>
      <c r="D14" s="16"/>
      <c r="E14" s="55"/>
      <c r="F14" s="55"/>
      <c r="G14" s="55"/>
      <c r="H14" s="55"/>
      <c r="I14" s="55"/>
      <c r="J14" s="55"/>
      <c r="K14" s="55"/>
      <c r="L14" s="55"/>
      <c r="M14" s="55"/>
      <c r="N14" s="55"/>
      <c r="O14" s="55"/>
      <c r="P14" s="55"/>
      <c r="Q14" s="55"/>
      <c r="R14" s="55"/>
      <c r="S14" s="38"/>
      <c r="T14" s="38"/>
      <c r="U14" s="38"/>
      <c r="V14" s="38"/>
      <c r="W14" s="38"/>
      <c r="X14" s="38"/>
      <c r="Y14" s="38"/>
      <c r="Z14" s="38"/>
      <c r="AA14" s="38"/>
      <c r="AB14" s="38"/>
      <c r="AC14" s="38"/>
      <c r="AD14" s="38"/>
      <c r="AE14" s="38"/>
      <c r="AF14" s="38"/>
      <c r="AG14" s="37" t="str">
        <f t="shared" si="0"/>
        <v>○</v>
      </c>
      <c r="AH14" s="37" t="str">
        <f t="shared" si="1"/>
        <v>○</v>
      </c>
      <c r="AI14" s="42">
        <f t="shared" si="2"/>
        <v>0</v>
      </c>
      <c r="AJ14" s="11"/>
    </row>
    <row r="15" spans="1:36" ht="27.75" customHeight="1">
      <c r="A15" s="37">
        <v>11</v>
      </c>
      <c r="B15" s="45" t="s">
        <v>257</v>
      </c>
      <c r="C15" s="46" t="s">
        <v>599</v>
      </c>
      <c r="D15" s="16"/>
      <c r="E15" s="55"/>
      <c r="F15" s="55"/>
      <c r="G15" s="55"/>
      <c r="H15" s="55"/>
      <c r="I15" s="55"/>
      <c r="J15" s="55"/>
      <c r="K15" s="55"/>
      <c r="L15" s="55"/>
      <c r="M15" s="55"/>
      <c r="N15" s="55"/>
      <c r="O15" s="55"/>
      <c r="P15" s="55"/>
      <c r="Q15" s="55"/>
      <c r="R15" s="55"/>
      <c r="S15" s="38"/>
      <c r="T15" s="38"/>
      <c r="U15" s="38"/>
      <c r="V15" s="38"/>
      <c r="W15" s="38"/>
      <c r="X15" s="38"/>
      <c r="Y15" s="38"/>
      <c r="Z15" s="38"/>
      <c r="AA15" s="38"/>
      <c r="AB15" s="38"/>
      <c r="AC15" s="38"/>
      <c r="AD15" s="38"/>
      <c r="AE15" s="38"/>
      <c r="AF15" s="38"/>
      <c r="AG15" s="37" t="str">
        <f t="shared" si="0"/>
        <v>○</v>
      </c>
      <c r="AH15" s="37" t="str">
        <f t="shared" si="1"/>
        <v>○</v>
      </c>
      <c r="AI15" s="42">
        <f t="shared" si="2"/>
        <v>0</v>
      </c>
      <c r="AJ15" s="11"/>
    </row>
    <row r="16" spans="1:36" ht="27.75" customHeight="1">
      <c r="A16" s="37">
        <v>12</v>
      </c>
      <c r="B16" s="45" t="s">
        <v>258</v>
      </c>
      <c r="C16" s="46" t="s">
        <v>600</v>
      </c>
      <c r="D16" s="16"/>
      <c r="E16" s="55"/>
      <c r="F16" s="55"/>
      <c r="G16" s="55"/>
      <c r="H16" s="55"/>
      <c r="I16" s="55"/>
      <c r="J16" s="55"/>
      <c r="K16" s="55"/>
      <c r="L16" s="55"/>
      <c r="M16" s="55"/>
      <c r="N16" s="55"/>
      <c r="O16" s="55"/>
      <c r="P16" s="55"/>
      <c r="Q16" s="55"/>
      <c r="R16" s="55"/>
      <c r="S16" s="38"/>
      <c r="T16" s="38"/>
      <c r="U16" s="38"/>
      <c r="V16" s="38"/>
      <c r="W16" s="38"/>
      <c r="X16" s="38"/>
      <c r="Y16" s="38"/>
      <c r="Z16" s="38"/>
      <c r="AA16" s="38"/>
      <c r="AB16" s="38"/>
      <c r="AC16" s="38"/>
      <c r="AD16" s="38"/>
      <c r="AE16" s="38"/>
      <c r="AF16" s="38"/>
      <c r="AG16" s="37" t="str">
        <f t="shared" si="0"/>
        <v>○</v>
      </c>
      <c r="AH16" s="37" t="str">
        <f t="shared" si="1"/>
        <v>○</v>
      </c>
      <c r="AI16" s="42">
        <f t="shared" si="2"/>
        <v>0</v>
      </c>
      <c r="AJ16" s="11"/>
    </row>
    <row r="17" spans="1:36" ht="27.75" customHeight="1">
      <c r="A17" s="37">
        <v>13</v>
      </c>
      <c r="B17" s="45" t="s">
        <v>259</v>
      </c>
      <c r="C17" s="46" t="s">
        <v>601</v>
      </c>
      <c r="D17" s="16"/>
      <c r="E17" s="55"/>
      <c r="F17" s="55"/>
      <c r="G17" s="55"/>
      <c r="H17" s="55"/>
      <c r="I17" s="55"/>
      <c r="J17" s="55"/>
      <c r="K17" s="55"/>
      <c r="L17" s="55"/>
      <c r="M17" s="55"/>
      <c r="N17" s="55"/>
      <c r="O17" s="55"/>
      <c r="P17" s="55"/>
      <c r="Q17" s="55"/>
      <c r="R17" s="55"/>
      <c r="S17" s="38"/>
      <c r="T17" s="38"/>
      <c r="U17" s="38"/>
      <c r="V17" s="38"/>
      <c r="W17" s="38"/>
      <c r="X17" s="38"/>
      <c r="Y17" s="38"/>
      <c r="Z17" s="38"/>
      <c r="AA17" s="38"/>
      <c r="AB17" s="38"/>
      <c r="AC17" s="38"/>
      <c r="AD17" s="38"/>
      <c r="AE17" s="38"/>
      <c r="AF17" s="38"/>
      <c r="AG17" s="37" t="str">
        <f t="shared" si="0"/>
        <v>○</v>
      </c>
      <c r="AH17" s="37" t="str">
        <f t="shared" si="1"/>
        <v>○</v>
      </c>
      <c r="AI17" s="42">
        <f t="shared" si="2"/>
        <v>0</v>
      </c>
      <c r="AJ17" s="11"/>
    </row>
    <row r="18" spans="1:36" ht="27.75" customHeight="1">
      <c r="A18" s="37">
        <v>14</v>
      </c>
      <c r="B18" s="45" t="s">
        <v>260</v>
      </c>
      <c r="C18" s="46" t="s">
        <v>602</v>
      </c>
      <c r="D18" s="16"/>
      <c r="E18" s="55"/>
      <c r="F18" s="55"/>
      <c r="G18" s="55"/>
      <c r="H18" s="55"/>
      <c r="I18" s="55"/>
      <c r="J18" s="55"/>
      <c r="K18" s="55"/>
      <c r="L18" s="55"/>
      <c r="M18" s="55"/>
      <c r="N18" s="55"/>
      <c r="O18" s="55"/>
      <c r="P18" s="55"/>
      <c r="Q18" s="55"/>
      <c r="R18" s="55"/>
      <c r="S18" s="38"/>
      <c r="T18" s="38"/>
      <c r="U18" s="38"/>
      <c r="V18" s="38"/>
      <c r="W18" s="38"/>
      <c r="X18" s="38"/>
      <c r="Y18" s="38"/>
      <c r="Z18" s="38"/>
      <c r="AA18" s="38"/>
      <c r="AB18" s="38"/>
      <c r="AC18" s="38"/>
      <c r="AD18" s="38"/>
      <c r="AE18" s="38"/>
      <c r="AF18" s="38"/>
      <c r="AG18" s="37" t="str">
        <f t="shared" si="0"/>
        <v>○</v>
      </c>
      <c r="AH18" s="37" t="str">
        <f t="shared" si="1"/>
        <v>○</v>
      </c>
      <c r="AI18" s="42">
        <f t="shared" si="2"/>
        <v>0</v>
      </c>
      <c r="AJ18" s="11"/>
    </row>
    <row r="19" spans="1:36" ht="27.75" customHeight="1">
      <c r="A19" s="37">
        <v>15</v>
      </c>
      <c r="B19" s="45" t="s">
        <v>261</v>
      </c>
      <c r="C19" s="46" t="s">
        <v>603</v>
      </c>
      <c r="D19" s="16"/>
      <c r="E19" s="55"/>
      <c r="F19" s="55"/>
      <c r="G19" s="55"/>
      <c r="H19" s="55"/>
      <c r="I19" s="55"/>
      <c r="J19" s="55"/>
      <c r="K19" s="55"/>
      <c r="L19" s="55"/>
      <c r="M19" s="55"/>
      <c r="N19" s="55"/>
      <c r="O19" s="55"/>
      <c r="P19" s="55"/>
      <c r="Q19" s="55"/>
      <c r="R19" s="55"/>
      <c r="S19" s="38"/>
      <c r="T19" s="38"/>
      <c r="U19" s="38"/>
      <c r="V19" s="38"/>
      <c r="W19" s="38"/>
      <c r="X19" s="38"/>
      <c r="Y19" s="38"/>
      <c r="Z19" s="38"/>
      <c r="AA19" s="38"/>
      <c r="AB19" s="38"/>
      <c r="AC19" s="38"/>
      <c r="AD19" s="38"/>
      <c r="AE19" s="38"/>
      <c r="AF19" s="38"/>
      <c r="AG19" s="37" t="str">
        <f t="shared" si="0"/>
        <v>○</v>
      </c>
      <c r="AH19" s="37" t="str">
        <f t="shared" si="1"/>
        <v>○</v>
      </c>
      <c r="AI19" s="42">
        <f t="shared" si="2"/>
        <v>0</v>
      </c>
      <c r="AJ19" s="11"/>
    </row>
    <row r="20" spans="1:36" ht="27.75" customHeight="1">
      <c r="A20" s="37">
        <v>16</v>
      </c>
      <c r="B20" s="45" t="s">
        <v>262</v>
      </c>
      <c r="C20" s="46" t="s">
        <v>604</v>
      </c>
      <c r="D20" s="16"/>
      <c r="E20" s="55"/>
      <c r="F20" s="55"/>
      <c r="G20" s="55"/>
      <c r="H20" s="55"/>
      <c r="I20" s="55"/>
      <c r="J20" s="55"/>
      <c r="K20" s="55"/>
      <c r="L20" s="55"/>
      <c r="M20" s="55"/>
      <c r="N20" s="55"/>
      <c r="O20" s="55"/>
      <c r="P20" s="55"/>
      <c r="Q20" s="55"/>
      <c r="R20" s="55"/>
      <c r="S20" s="38"/>
      <c r="T20" s="38"/>
      <c r="U20" s="38"/>
      <c r="V20" s="38"/>
      <c r="W20" s="38"/>
      <c r="X20" s="38"/>
      <c r="Y20" s="38"/>
      <c r="Z20" s="38"/>
      <c r="AA20" s="38"/>
      <c r="AB20" s="38"/>
      <c r="AC20" s="38"/>
      <c r="AD20" s="38"/>
      <c r="AE20" s="38"/>
      <c r="AF20" s="38"/>
      <c r="AG20" s="37" t="str">
        <f t="shared" si="0"/>
        <v>○</v>
      </c>
      <c r="AH20" s="37" t="str">
        <f t="shared" si="1"/>
        <v>○</v>
      </c>
      <c r="AI20" s="42">
        <f t="shared" si="2"/>
        <v>0</v>
      </c>
      <c r="AJ20" s="11"/>
    </row>
    <row r="21" spans="1:36" ht="27.75" customHeight="1">
      <c r="A21" s="37">
        <v>17</v>
      </c>
      <c r="B21" s="45" t="s">
        <v>263</v>
      </c>
      <c r="C21" s="46" t="s">
        <v>605</v>
      </c>
      <c r="D21" s="16"/>
      <c r="E21" s="55"/>
      <c r="F21" s="55"/>
      <c r="G21" s="55"/>
      <c r="H21" s="55"/>
      <c r="I21" s="55"/>
      <c r="J21" s="55"/>
      <c r="K21" s="55"/>
      <c r="L21" s="55"/>
      <c r="M21" s="55"/>
      <c r="N21" s="55"/>
      <c r="O21" s="55"/>
      <c r="P21" s="55"/>
      <c r="Q21" s="55"/>
      <c r="R21" s="55"/>
      <c r="S21" s="38"/>
      <c r="T21" s="38"/>
      <c r="U21" s="38"/>
      <c r="V21" s="38"/>
      <c r="W21" s="38"/>
      <c r="X21" s="38"/>
      <c r="Y21" s="38"/>
      <c r="Z21" s="38"/>
      <c r="AA21" s="38"/>
      <c r="AB21" s="38"/>
      <c r="AC21" s="38"/>
      <c r="AD21" s="38"/>
      <c r="AE21" s="38"/>
      <c r="AF21" s="38"/>
      <c r="AG21" s="37" t="str">
        <f t="shared" si="0"/>
        <v>○</v>
      </c>
      <c r="AH21" s="37" t="str">
        <f t="shared" si="1"/>
        <v>○</v>
      </c>
      <c r="AI21" s="42">
        <f t="shared" si="2"/>
        <v>0</v>
      </c>
      <c r="AJ21" s="11"/>
    </row>
    <row r="22" spans="1:36" ht="27.75" customHeight="1">
      <c r="A22" s="37">
        <v>18</v>
      </c>
      <c r="B22" s="45" t="s">
        <v>264</v>
      </c>
      <c r="C22" s="46" t="s">
        <v>606</v>
      </c>
      <c r="D22" s="16"/>
      <c r="E22" s="55"/>
      <c r="F22" s="55"/>
      <c r="G22" s="55"/>
      <c r="H22" s="55"/>
      <c r="I22" s="55"/>
      <c r="J22" s="55"/>
      <c r="K22" s="55"/>
      <c r="L22" s="55"/>
      <c r="M22" s="55"/>
      <c r="N22" s="55"/>
      <c r="O22" s="55"/>
      <c r="P22" s="55"/>
      <c r="Q22" s="55"/>
      <c r="R22" s="55"/>
      <c r="S22" s="38"/>
      <c r="T22" s="38"/>
      <c r="U22" s="38"/>
      <c r="V22" s="38"/>
      <c r="W22" s="38"/>
      <c r="X22" s="38"/>
      <c r="Y22" s="38"/>
      <c r="Z22" s="38"/>
      <c r="AA22" s="38"/>
      <c r="AB22" s="38"/>
      <c r="AC22" s="38"/>
      <c r="AD22" s="38"/>
      <c r="AE22" s="38"/>
      <c r="AF22" s="38"/>
      <c r="AG22" s="37" t="str">
        <f t="shared" si="0"/>
        <v>○</v>
      </c>
      <c r="AH22" s="37" t="str">
        <f t="shared" si="1"/>
        <v>○</v>
      </c>
      <c r="AI22" s="42">
        <f t="shared" si="2"/>
        <v>0</v>
      </c>
      <c r="AJ22" s="11"/>
    </row>
    <row r="23" spans="1:36" ht="27.75" customHeight="1">
      <c r="A23" s="37">
        <v>19</v>
      </c>
      <c r="B23" s="45" t="s">
        <v>265</v>
      </c>
      <c r="C23" s="46" t="s">
        <v>607</v>
      </c>
      <c r="D23" s="16"/>
      <c r="E23" s="55"/>
      <c r="F23" s="55"/>
      <c r="G23" s="55"/>
      <c r="H23" s="55"/>
      <c r="I23" s="55"/>
      <c r="J23" s="55"/>
      <c r="K23" s="55"/>
      <c r="L23" s="55"/>
      <c r="M23" s="55"/>
      <c r="N23" s="55"/>
      <c r="O23" s="55"/>
      <c r="P23" s="55"/>
      <c r="Q23" s="55"/>
      <c r="R23" s="55"/>
      <c r="S23" s="38"/>
      <c r="T23" s="38"/>
      <c r="U23" s="38"/>
      <c r="V23" s="38"/>
      <c r="W23" s="38"/>
      <c r="X23" s="38"/>
      <c r="Y23" s="38"/>
      <c r="Z23" s="38"/>
      <c r="AA23" s="38"/>
      <c r="AB23" s="38"/>
      <c r="AC23" s="38"/>
      <c r="AD23" s="38"/>
      <c r="AE23" s="38"/>
      <c r="AF23" s="38"/>
      <c r="AG23" s="37" t="str">
        <f t="shared" si="0"/>
        <v>○</v>
      </c>
      <c r="AH23" s="37" t="str">
        <f t="shared" si="1"/>
        <v>○</v>
      </c>
      <c r="AI23" s="42">
        <f t="shared" si="2"/>
        <v>0</v>
      </c>
      <c r="AJ23" s="11"/>
    </row>
    <row r="24" spans="1:36" ht="27.75" customHeight="1">
      <c r="A24" s="37">
        <v>20</v>
      </c>
      <c r="B24" s="45" t="s">
        <v>266</v>
      </c>
      <c r="C24" s="46" t="s">
        <v>608</v>
      </c>
      <c r="D24" s="16"/>
      <c r="E24" s="55"/>
      <c r="F24" s="55"/>
      <c r="G24" s="55"/>
      <c r="H24" s="55"/>
      <c r="I24" s="55"/>
      <c r="J24" s="55"/>
      <c r="K24" s="55"/>
      <c r="L24" s="55"/>
      <c r="M24" s="55"/>
      <c r="N24" s="55"/>
      <c r="O24" s="55"/>
      <c r="P24" s="55"/>
      <c r="Q24" s="55"/>
      <c r="R24" s="55"/>
      <c r="S24" s="38"/>
      <c r="T24" s="38"/>
      <c r="U24" s="38"/>
      <c r="V24" s="38"/>
      <c r="W24" s="38"/>
      <c r="X24" s="38"/>
      <c r="Y24" s="38"/>
      <c r="Z24" s="38"/>
      <c r="AA24" s="38"/>
      <c r="AB24" s="38"/>
      <c r="AC24" s="38"/>
      <c r="AD24" s="38"/>
      <c r="AE24" s="38"/>
      <c r="AF24" s="38"/>
      <c r="AG24" s="37" t="str">
        <f t="shared" si="0"/>
        <v>○</v>
      </c>
      <c r="AH24" s="37" t="str">
        <f t="shared" si="1"/>
        <v>○</v>
      </c>
      <c r="AI24" s="42">
        <f t="shared" si="2"/>
        <v>0</v>
      </c>
      <c r="AJ24" s="11"/>
    </row>
    <row r="25" spans="1:36" ht="27.75" customHeight="1">
      <c r="A25" s="37">
        <v>21</v>
      </c>
      <c r="B25" s="45" t="s">
        <v>267</v>
      </c>
      <c r="C25" s="46" t="s">
        <v>609</v>
      </c>
      <c r="D25" s="16"/>
      <c r="E25" s="55"/>
      <c r="F25" s="55"/>
      <c r="G25" s="55"/>
      <c r="H25" s="55"/>
      <c r="I25" s="55"/>
      <c r="J25" s="55"/>
      <c r="K25" s="55"/>
      <c r="L25" s="55"/>
      <c r="M25" s="55"/>
      <c r="N25" s="55"/>
      <c r="O25" s="55"/>
      <c r="P25" s="55"/>
      <c r="Q25" s="55"/>
      <c r="R25" s="55"/>
      <c r="S25" s="38"/>
      <c r="T25" s="38"/>
      <c r="U25" s="38"/>
      <c r="V25" s="38"/>
      <c r="W25" s="38"/>
      <c r="X25" s="38"/>
      <c r="Y25" s="38"/>
      <c r="Z25" s="38"/>
      <c r="AA25" s="38"/>
      <c r="AB25" s="38"/>
      <c r="AC25" s="38"/>
      <c r="AD25" s="38"/>
      <c r="AE25" s="38"/>
      <c r="AF25" s="38"/>
      <c r="AG25" s="37" t="str">
        <f t="shared" si="0"/>
        <v>○</v>
      </c>
      <c r="AH25" s="37" t="str">
        <f t="shared" si="1"/>
        <v>○</v>
      </c>
      <c r="AI25" s="42">
        <f t="shared" si="2"/>
        <v>0</v>
      </c>
      <c r="AJ25" s="11"/>
    </row>
    <row r="26" spans="1:36" ht="27.75" customHeight="1">
      <c r="A26" s="37">
        <v>22</v>
      </c>
      <c r="B26" s="45" t="s">
        <v>268</v>
      </c>
      <c r="C26" s="46" t="s">
        <v>610</v>
      </c>
      <c r="D26" s="16"/>
      <c r="E26" s="55"/>
      <c r="F26" s="55"/>
      <c r="G26" s="55"/>
      <c r="H26" s="55"/>
      <c r="I26" s="55"/>
      <c r="J26" s="55"/>
      <c r="K26" s="55"/>
      <c r="L26" s="55"/>
      <c r="M26" s="55"/>
      <c r="N26" s="55"/>
      <c r="O26" s="55"/>
      <c r="P26" s="55"/>
      <c r="Q26" s="55"/>
      <c r="R26" s="55"/>
      <c r="S26" s="38"/>
      <c r="T26" s="38"/>
      <c r="U26" s="38"/>
      <c r="V26" s="38"/>
      <c r="W26" s="38"/>
      <c r="X26" s="38"/>
      <c r="Y26" s="38"/>
      <c r="Z26" s="38"/>
      <c r="AA26" s="38"/>
      <c r="AB26" s="38"/>
      <c r="AC26" s="38"/>
      <c r="AD26" s="38"/>
      <c r="AE26" s="38"/>
      <c r="AF26" s="38"/>
      <c r="AG26" s="37" t="str">
        <f t="shared" si="0"/>
        <v>○</v>
      </c>
      <c r="AH26" s="37" t="str">
        <f t="shared" si="1"/>
        <v>○</v>
      </c>
      <c r="AI26" s="42">
        <f t="shared" si="2"/>
        <v>0</v>
      </c>
      <c r="AJ26" s="11"/>
    </row>
    <row r="27" spans="1:36" ht="27.75" customHeight="1">
      <c r="A27" s="37">
        <v>23</v>
      </c>
      <c r="B27" s="45" t="s">
        <v>269</v>
      </c>
      <c r="C27" s="46" t="s">
        <v>611</v>
      </c>
      <c r="D27" s="16"/>
      <c r="E27" s="55"/>
      <c r="F27" s="55"/>
      <c r="G27" s="55"/>
      <c r="H27" s="55"/>
      <c r="I27" s="55"/>
      <c r="J27" s="55"/>
      <c r="K27" s="55"/>
      <c r="L27" s="55"/>
      <c r="M27" s="55"/>
      <c r="N27" s="55"/>
      <c r="O27" s="55"/>
      <c r="P27" s="55"/>
      <c r="Q27" s="55"/>
      <c r="R27" s="55"/>
      <c r="S27" s="38"/>
      <c r="T27" s="38"/>
      <c r="U27" s="38"/>
      <c r="V27" s="38"/>
      <c r="W27" s="38"/>
      <c r="X27" s="38"/>
      <c r="Y27" s="38"/>
      <c r="Z27" s="38"/>
      <c r="AA27" s="38"/>
      <c r="AB27" s="38"/>
      <c r="AC27" s="38"/>
      <c r="AD27" s="38"/>
      <c r="AE27" s="38"/>
      <c r="AF27" s="38"/>
      <c r="AG27" s="37" t="str">
        <f t="shared" si="0"/>
        <v>○</v>
      </c>
      <c r="AH27" s="37" t="str">
        <f t="shared" si="1"/>
        <v>○</v>
      </c>
      <c r="AI27" s="42">
        <f t="shared" si="2"/>
        <v>0</v>
      </c>
      <c r="AJ27" s="11"/>
    </row>
    <row r="28" spans="1:36" ht="27.75" customHeight="1">
      <c r="A28" s="37">
        <v>24</v>
      </c>
      <c r="B28" s="45" t="s">
        <v>270</v>
      </c>
      <c r="C28" s="46" t="s">
        <v>612</v>
      </c>
      <c r="D28" s="16"/>
      <c r="E28" s="55"/>
      <c r="F28" s="55"/>
      <c r="G28" s="55"/>
      <c r="H28" s="55"/>
      <c r="I28" s="55"/>
      <c r="J28" s="55"/>
      <c r="K28" s="55"/>
      <c r="L28" s="55"/>
      <c r="M28" s="55"/>
      <c r="N28" s="55"/>
      <c r="O28" s="55"/>
      <c r="P28" s="55"/>
      <c r="Q28" s="55"/>
      <c r="R28" s="55"/>
      <c r="S28" s="38"/>
      <c r="T28" s="38"/>
      <c r="U28" s="38"/>
      <c r="V28" s="38"/>
      <c r="W28" s="38"/>
      <c r="X28" s="38"/>
      <c r="Y28" s="38"/>
      <c r="Z28" s="38"/>
      <c r="AA28" s="38"/>
      <c r="AB28" s="38"/>
      <c r="AC28" s="38"/>
      <c r="AD28" s="38"/>
      <c r="AE28" s="38"/>
      <c r="AF28" s="38"/>
      <c r="AG28" s="37" t="str">
        <f t="shared" si="0"/>
        <v>○</v>
      </c>
      <c r="AH28" s="37" t="str">
        <f t="shared" si="1"/>
        <v>○</v>
      </c>
      <c r="AI28" s="42">
        <f t="shared" si="2"/>
        <v>0</v>
      </c>
      <c r="AJ28" s="11"/>
    </row>
    <row r="29" spans="1:36" ht="27.75" customHeight="1">
      <c r="A29" s="37">
        <v>25</v>
      </c>
      <c r="B29" s="45" t="s">
        <v>271</v>
      </c>
      <c r="C29" s="46" t="s">
        <v>613</v>
      </c>
      <c r="D29" s="16"/>
      <c r="E29" s="55"/>
      <c r="F29" s="55"/>
      <c r="G29" s="55"/>
      <c r="H29" s="55"/>
      <c r="I29" s="55"/>
      <c r="J29" s="55"/>
      <c r="K29" s="55"/>
      <c r="L29" s="55"/>
      <c r="M29" s="55"/>
      <c r="N29" s="55"/>
      <c r="O29" s="55"/>
      <c r="P29" s="55"/>
      <c r="Q29" s="55"/>
      <c r="R29" s="55"/>
      <c r="S29" s="38"/>
      <c r="T29" s="38"/>
      <c r="U29" s="38"/>
      <c r="V29" s="38"/>
      <c r="W29" s="38"/>
      <c r="X29" s="38"/>
      <c r="Y29" s="38"/>
      <c r="Z29" s="38"/>
      <c r="AA29" s="38"/>
      <c r="AB29" s="38"/>
      <c r="AC29" s="38"/>
      <c r="AD29" s="38"/>
      <c r="AE29" s="38"/>
      <c r="AF29" s="38"/>
      <c r="AG29" s="37" t="str">
        <f t="shared" si="0"/>
        <v>○</v>
      </c>
      <c r="AH29" s="37" t="str">
        <f t="shared" si="1"/>
        <v>○</v>
      </c>
      <c r="AI29" s="42">
        <f t="shared" si="2"/>
        <v>0</v>
      </c>
      <c r="AJ29" s="11"/>
    </row>
    <row r="30" spans="1:36" ht="27.75" customHeight="1">
      <c r="A30" s="37">
        <v>26</v>
      </c>
      <c r="B30" s="46" t="s">
        <v>272</v>
      </c>
      <c r="C30" s="46" t="s">
        <v>614</v>
      </c>
      <c r="D30" s="16"/>
      <c r="E30" s="55"/>
      <c r="F30" s="55"/>
      <c r="G30" s="55"/>
      <c r="H30" s="55"/>
      <c r="I30" s="55"/>
      <c r="J30" s="55"/>
      <c r="K30" s="55"/>
      <c r="L30" s="55"/>
      <c r="M30" s="55"/>
      <c r="N30" s="55"/>
      <c r="O30" s="55"/>
      <c r="P30" s="55"/>
      <c r="Q30" s="55"/>
      <c r="R30" s="55"/>
      <c r="S30" s="38"/>
      <c r="T30" s="38"/>
      <c r="U30" s="38"/>
      <c r="V30" s="38"/>
      <c r="W30" s="38"/>
      <c r="X30" s="38"/>
      <c r="Y30" s="38"/>
      <c r="Z30" s="38"/>
      <c r="AA30" s="38"/>
      <c r="AB30" s="38"/>
      <c r="AC30" s="38"/>
      <c r="AD30" s="38"/>
      <c r="AE30" s="38"/>
      <c r="AF30" s="38"/>
      <c r="AG30" s="37" t="str">
        <f t="shared" si="0"/>
        <v>○</v>
      </c>
      <c r="AH30" s="37" t="str">
        <f t="shared" si="1"/>
        <v>○</v>
      </c>
      <c r="AI30" s="42">
        <f t="shared" si="2"/>
        <v>0</v>
      </c>
      <c r="AJ30" s="11"/>
    </row>
    <row r="31" spans="1:36" ht="27.75" customHeight="1">
      <c r="A31" s="37">
        <v>27</v>
      </c>
      <c r="B31" s="46" t="s">
        <v>273</v>
      </c>
      <c r="C31" s="46" t="s">
        <v>615</v>
      </c>
      <c r="D31" s="16"/>
      <c r="E31" s="55"/>
      <c r="F31" s="55"/>
      <c r="G31" s="55"/>
      <c r="H31" s="55"/>
      <c r="I31" s="55"/>
      <c r="J31" s="55"/>
      <c r="K31" s="55"/>
      <c r="L31" s="55"/>
      <c r="M31" s="55"/>
      <c r="N31" s="55"/>
      <c r="O31" s="55"/>
      <c r="P31" s="55"/>
      <c r="Q31" s="55"/>
      <c r="R31" s="55"/>
      <c r="S31" s="38"/>
      <c r="T31" s="38"/>
      <c r="U31" s="38"/>
      <c r="V31" s="38"/>
      <c r="W31" s="38"/>
      <c r="X31" s="38"/>
      <c r="Y31" s="38"/>
      <c r="Z31" s="38"/>
      <c r="AA31" s="38"/>
      <c r="AB31" s="38"/>
      <c r="AC31" s="38"/>
      <c r="AD31" s="38"/>
      <c r="AE31" s="38"/>
      <c r="AF31" s="38"/>
      <c r="AG31" s="37" t="str">
        <f t="shared" si="0"/>
        <v>○</v>
      </c>
      <c r="AH31" s="37" t="str">
        <f t="shared" si="1"/>
        <v>○</v>
      </c>
      <c r="AI31" s="42">
        <f t="shared" si="2"/>
        <v>0</v>
      </c>
      <c r="AJ31" s="11"/>
    </row>
    <row r="32" spans="1:36" ht="27.75" customHeight="1">
      <c r="A32" s="37">
        <v>28</v>
      </c>
      <c r="B32" s="45" t="s">
        <v>274</v>
      </c>
      <c r="C32" s="46" t="s">
        <v>616</v>
      </c>
      <c r="D32" s="16"/>
      <c r="E32" s="55"/>
      <c r="F32" s="55"/>
      <c r="G32" s="55"/>
      <c r="H32" s="55"/>
      <c r="I32" s="55"/>
      <c r="J32" s="55"/>
      <c r="K32" s="55"/>
      <c r="L32" s="55"/>
      <c r="M32" s="55"/>
      <c r="N32" s="55"/>
      <c r="O32" s="55"/>
      <c r="P32" s="55"/>
      <c r="Q32" s="55"/>
      <c r="R32" s="55"/>
      <c r="S32" s="38"/>
      <c r="T32" s="38"/>
      <c r="U32" s="38"/>
      <c r="V32" s="38"/>
      <c r="W32" s="38"/>
      <c r="X32" s="38"/>
      <c r="Y32" s="38"/>
      <c r="Z32" s="38"/>
      <c r="AA32" s="38"/>
      <c r="AB32" s="38"/>
      <c r="AC32" s="38"/>
      <c r="AD32" s="38"/>
      <c r="AE32" s="38"/>
      <c r="AF32" s="38"/>
      <c r="AG32" s="37" t="str">
        <f t="shared" si="0"/>
        <v>○</v>
      </c>
      <c r="AH32" s="37" t="str">
        <f t="shared" si="1"/>
        <v>○</v>
      </c>
      <c r="AI32" s="42">
        <f t="shared" si="2"/>
        <v>0</v>
      </c>
      <c r="AJ32" s="11"/>
    </row>
    <row r="33" spans="1:36" ht="27.75" customHeight="1">
      <c r="A33" s="37">
        <v>29</v>
      </c>
      <c r="B33" s="45" t="s">
        <v>275</v>
      </c>
      <c r="C33" s="46" t="s">
        <v>617</v>
      </c>
      <c r="D33" s="16"/>
      <c r="E33" s="55"/>
      <c r="F33" s="55"/>
      <c r="G33" s="55"/>
      <c r="H33" s="55"/>
      <c r="I33" s="55"/>
      <c r="J33" s="55"/>
      <c r="K33" s="55"/>
      <c r="L33" s="55"/>
      <c r="M33" s="55"/>
      <c r="N33" s="55"/>
      <c r="O33" s="55"/>
      <c r="P33" s="55"/>
      <c r="Q33" s="55"/>
      <c r="R33" s="55"/>
      <c r="S33" s="38"/>
      <c r="T33" s="38"/>
      <c r="U33" s="38"/>
      <c r="V33" s="38"/>
      <c r="W33" s="38"/>
      <c r="X33" s="38"/>
      <c r="Y33" s="38"/>
      <c r="Z33" s="38"/>
      <c r="AA33" s="38"/>
      <c r="AB33" s="38"/>
      <c r="AC33" s="38"/>
      <c r="AD33" s="38"/>
      <c r="AE33" s="38"/>
      <c r="AF33" s="38"/>
      <c r="AG33" s="37" t="str">
        <f t="shared" si="0"/>
        <v>○</v>
      </c>
      <c r="AH33" s="37" t="str">
        <f t="shared" si="1"/>
        <v>○</v>
      </c>
      <c r="AI33" s="42">
        <f t="shared" si="2"/>
        <v>0</v>
      </c>
      <c r="AJ33" s="11"/>
    </row>
    <row r="34" spans="1:36" ht="27.75" customHeight="1">
      <c r="A34" s="37">
        <v>30</v>
      </c>
      <c r="B34" s="45" t="s">
        <v>276</v>
      </c>
      <c r="C34" s="46" t="s">
        <v>618</v>
      </c>
      <c r="D34" s="16"/>
      <c r="E34" s="55"/>
      <c r="F34" s="55"/>
      <c r="G34" s="55"/>
      <c r="H34" s="55"/>
      <c r="I34" s="55"/>
      <c r="J34" s="55"/>
      <c r="K34" s="55"/>
      <c r="L34" s="55"/>
      <c r="M34" s="55"/>
      <c r="N34" s="55"/>
      <c r="O34" s="55"/>
      <c r="P34" s="55"/>
      <c r="Q34" s="55"/>
      <c r="R34" s="55"/>
      <c r="S34" s="38"/>
      <c r="T34" s="38"/>
      <c r="U34" s="38"/>
      <c r="V34" s="38"/>
      <c r="W34" s="38"/>
      <c r="X34" s="38"/>
      <c r="Y34" s="38"/>
      <c r="Z34" s="38"/>
      <c r="AA34" s="38"/>
      <c r="AB34" s="38"/>
      <c r="AC34" s="38"/>
      <c r="AD34" s="38"/>
      <c r="AE34" s="38"/>
      <c r="AF34" s="38"/>
      <c r="AG34" s="37" t="str">
        <f t="shared" si="0"/>
        <v>○</v>
      </c>
      <c r="AH34" s="37" t="str">
        <f t="shared" si="1"/>
        <v>○</v>
      </c>
      <c r="AI34" s="42">
        <f t="shared" si="2"/>
        <v>0</v>
      </c>
      <c r="AJ34" s="11"/>
    </row>
    <row r="35" spans="1:36" ht="27.75" customHeight="1">
      <c r="A35" s="37">
        <v>31</v>
      </c>
      <c r="B35" s="45" t="s">
        <v>277</v>
      </c>
      <c r="C35" s="46" t="s">
        <v>619</v>
      </c>
      <c r="D35" s="16"/>
      <c r="E35" s="55"/>
      <c r="F35" s="55"/>
      <c r="G35" s="55"/>
      <c r="H35" s="55"/>
      <c r="I35" s="55"/>
      <c r="J35" s="55"/>
      <c r="K35" s="55"/>
      <c r="L35" s="55"/>
      <c r="M35" s="55"/>
      <c r="N35" s="55"/>
      <c r="O35" s="55"/>
      <c r="P35" s="55"/>
      <c r="Q35" s="55"/>
      <c r="R35" s="55"/>
      <c r="S35" s="38"/>
      <c r="T35" s="38"/>
      <c r="U35" s="38"/>
      <c r="V35" s="38"/>
      <c r="W35" s="38"/>
      <c r="X35" s="38"/>
      <c r="Y35" s="38"/>
      <c r="Z35" s="38"/>
      <c r="AA35" s="38"/>
      <c r="AB35" s="38"/>
      <c r="AC35" s="38"/>
      <c r="AD35" s="38"/>
      <c r="AE35" s="38"/>
      <c r="AF35" s="38"/>
      <c r="AG35" s="37" t="str">
        <f t="shared" si="0"/>
        <v>○</v>
      </c>
      <c r="AH35" s="37" t="str">
        <f t="shared" si="1"/>
        <v>○</v>
      </c>
      <c r="AI35" s="42">
        <f t="shared" si="2"/>
        <v>0</v>
      </c>
      <c r="AJ35" s="11"/>
    </row>
    <row r="36" spans="1:36" ht="27.75" customHeight="1">
      <c r="A36" s="37">
        <v>32</v>
      </c>
      <c r="B36" s="45" t="s">
        <v>278</v>
      </c>
      <c r="C36" s="46" t="s">
        <v>620</v>
      </c>
      <c r="D36" s="16"/>
      <c r="E36" s="55"/>
      <c r="F36" s="55"/>
      <c r="G36" s="55"/>
      <c r="H36" s="55"/>
      <c r="I36" s="55"/>
      <c r="J36" s="55"/>
      <c r="K36" s="55"/>
      <c r="L36" s="55"/>
      <c r="M36" s="55"/>
      <c r="N36" s="55"/>
      <c r="O36" s="55"/>
      <c r="P36" s="55"/>
      <c r="Q36" s="55"/>
      <c r="R36" s="55"/>
      <c r="S36" s="38"/>
      <c r="T36" s="38"/>
      <c r="U36" s="38"/>
      <c r="V36" s="38"/>
      <c r="W36" s="38"/>
      <c r="X36" s="38"/>
      <c r="Y36" s="38"/>
      <c r="Z36" s="38"/>
      <c r="AA36" s="38"/>
      <c r="AB36" s="38"/>
      <c r="AC36" s="38"/>
      <c r="AD36" s="38"/>
      <c r="AE36" s="38"/>
      <c r="AF36" s="38"/>
      <c r="AG36" s="37" t="str">
        <f t="shared" si="0"/>
        <v>○</v>
      </c>
      <c r="AH36" s="37" t="str">
        <f t="shared" si="1"/>
        <v>○</v>
      </c>
      <c r="AI36" s="42">
        <f t="shared" si="2"/>
        <v>0</v>
      </c>
      <c r="AJ36" s="11"/>
    </row>
    <row r="37" spans="1:36" ht="27.75" customHeight="1">
      <c r="A37" s="37">
        <v>33</v>
      </c>
      <c r="B37" s="45" t="s">
        <v>279</v>
      </c>
      <c r="C37" s="46" t="s">
        <v>621</v>
      </c>
      <c r="D37" s="16"/>
      <c r="E37" s="55"/>
      <c r="F37" s="55"/>
      <c r="G37" s="55"/>
      <c r="H37" s="55"/>
      <c r="I37" s="55"/>
      <c r="J37" s="55"/>
      <c r="K37" s="55"/>
      <c r="L37" s="55"/>
      <c r="M37" s="55"/>
      <c r="N37" s="55"/>
      <c r="O37" s="55"/>
      <c r="P37" s="55"/>
      <c r="Q37" s="55"/>
      <c r="R37" s="55"/>
      <c r="S37" s="38"/>
      <c r="T37" s="38"/>
      <c r="U37" s="38"/>
      <c r="V37" s="38"/>
      <c r="W37" s="38"/>
      <c r="X37" s="38"/>
      <c r="Y37" s="38"/>
      <c r="Z37" s="38"/>
      <c r="AA37" s="38"/>
      <c r="AB37" s="38"/>
      <c r="AC37" s="38"/>
      <c r="AD37" s="38"/>
      <c r="AE37" s="38"/>
      <c r="AF37" s="38"/>
      <c r="AG37" s="37" t="str">
        <f t="shared" ref="AG37:AG68" si="3">IF(AND(B37="",E37="",S37=""),"",IF(SUMPRODUCT(((E37:R37&gt;=1)&lt;&gt;(S37:AF37&gt;=1))*1)=0,"○","✗"))</f>
        <v>○</v>
      </c>
      <c r="AH37" s="37" t="str">
        <f t="shared" ref="AH37:AH68" si="4">IF(AG37="","",IF(AG37="✗","✗",IF(SUMPRODUCT((E37:R37&lt;&gt;S37:AF37)*1)=0,"○","✗")))</f>
        <v>○</v>
      </c>
      <c r="AI37" s="42">
        <f t="shared" ref="AI37:AI68" si="5">IF(AND(SUM(E37:R37)=0,SUM(S37:AF37)=0),0,(SUM(E37:R37)+SUM(S37:AF37))/2)</f>
        <v>0</v>
      </c>
      <c r="AJ37" s="11"/>
    </row>
    <row r="38" spans="1:36" ht="27.75" customHeight="1">
      <c r="A38" s="37">
        <v>34</v>
      </c>
      <c r="B38" s="45" t="s">
        <v>280</v>
      </c>
      <c r="C38" s="46" t="s">
        <v>622</v>
      </c>
      <c r="D38" s="16"/>
      <c r="E38" s="55"/>
      <c r="F38" s="55"/>
      <c r="G38" s="55"/>
      <c r="H38" s="55"/>
      <c r="I38" s="55"/>
      <c r="J38" s="55"/>
      <c r="K38" s="55"/>
      <c r="L38" s="55"/>
      <c r="M38" s="55"/>
      <c r="N38" s="55"/>
      <c r="O38" s="55"/>
      <c r="P38" s="55"/>
      <c r="Q38" s="55"/>
      <c r="R38" s="55"/>
      <c r="S38" s="38"/>
      <c r="T38" s="38"/>
      <c r="U38" s="38"/>
      <c r="V38" s="38"/>
      <c r="W38" s="38"/>
      <c r="X38" s="38"/>
      <c r="Y38" s="38"/>
      <c r="Z38" s="38"/>
      <c r="AA38" s="38"/>
      <c r="AB38" s="38"/>
      <c r="AC38" s="38"/>
      <c r="AD38" s="38"/>
      <c r="AE38" s="38"/>
      <c r="AF38" s="38"/>
      <c r="AG38" s="37" t="str">
        <f t="shared" si="3"/>
        <v>○</v>
      </c>
      <c r="AH38" s="37" t="str">
        <f t="shared" si="4"/>
        <v>○</v>
      </c>
      <c r="AI38" s="42">
        <f t="shared" si="5"/>
        <v>0</v>
      </c>
      <c r="AJ38" s="11"/>
    </row>
    <row r="39" spans="1:36" ht="27.75" customHeight="1">
      <c r="A39" s="37">
        <v>35</v>
      </c>
      <c r="B39" s="45" t="s">
        <v>281</v>
      </c>
      <c r="C39" s="46" t="s">
        <v>623</v>
      </c>
      <c r="D39" s="16"/>
      <c r="E39" s="55"/>
      <c r="F39" s="55"/>
      <c r="G39" s="55"/>
      <c r="H39" s="55"/>
      <c r="I39" s="55"/>
      <c r="J39" s="55"/>
      <c r="K39" s="55"/>
      <c r="L39" s="55"/>
      <c r="M39" s="55"/>
      <c r="N39" s="55"/>
      <c r="O39" s="55"/>
      <c r="P39" s="55"/>
      <c r="Q39" s="55"/>
      <c r="R39" s="55"/>
      <c r="S39" s="38"/>
      <c r="T39" s="38"/>
      <c r="U39" s="38"/>
      <c r="V39" s="38"/>
      <c r="W39" s="38"/>
      <c r="X39" s="38"/>
      <c r="Y39" s="38"/>
      <c r="Z39" s="38"/>
      <c r="AA39" s="38"/>
      <c r="AB39" s="38"/>
      <c r="AC39" s="38"/>
      <c r="AD39" s="38"/>
      <c r="AE39" s="38"/>
      <c r="AF39" s="38"/>
      <c r="AG39" s="37" t="str">
        <f t="shared" si="3"/>
        <v>○</v>
      </c>
      <c r="AH39" s="37" t="str">
        <f t="shared" si="4"/>
        <v>○</v>
      </c>
      <c r="AI39" s="42">
        <f t="shared" si="5"/>
        <v>0</v>
      </c>
      <c r="AJ39" s="11"/>
    </row>
    <row r="40" spans="1:36" ht="27.75" customHeight="1">
      <c r="A40" s="37">
        <v>36</v>
      </c>
      <c r="B40" s="45" t="s">
        <v>282</v>
      </c>
      <c r="C40" s="46" t="s">
        <v>624</v>
      </c>
      <c r="D40" s="16"/>
      <c r="E40" s="55"/>
      <c r="F40" s="55"/>
      <c r="G40" s="55"/>
      <c r="H40" s="55"/>
      <c r="I40" s="55"/>
      <c r="J40" s="55"/>
      <c r="K40" s="55"/>
      <c r="L40" s="55"/>
      <c r="M40" s="55"/>
      <c r="N40" s="55"/>
      <c r="O40" s="55"/>
      <c r="P40" s="55"/>
      <c r="Q40" s="55"/>
      <c r="R40" s="55"/>
      <c r="S40" s="38"/>
      <c r="T40" s="38"/>
      <c r="U40" s="38"/>
      <c r="V40" s="38"/>
      <c r="W40" s="38"/>
      <c r="X40" s="38"/>
      <c r="Y40" s="38"/>
      <c r="Z40" s="38"/>
      <c r="AA40" s="38"/>
      <c r="AB40" s="38"/>
      <c r="AC40" s="38"/>
      <c r="AD40" s="38"/>
      <c r="AE40" s="38"/>
      <c r="AF40" s="38"/>
      <c r="AG40" s="37" t="str">
        <f t="shared" si="3"/>
        <v>○</v>
      </c>
      <c r="AH40" s="37" t="str">
        <f t="shared" si="4"/>
        <v>○</v>
      </c>
      <c r="AI40" s="42">
        <f t="shared" si="5"/>
        <v>0</v>
      </c>
      <c r="AJ40" s="11"/>
    </row>
    <row r="41" spans="1:36" ht="27.75" customHeight="1">
      <c r="A41" s="37">
        <v>37</v>
      </c>
      <c r="B41" s="45" t="s">
        <v>283</v>
      </c>
      <c r="C41" s="46" t="s">
        <v>625</v>
      </c>
      <c r="D41" s="16"/>
      <c r="E41" s="55"/>
      <c r="F41" s="55"/>
      <c r="G41" s="55"/>
      <c r="H41" s="55"/>
      <c r="I41" s="55"/>
      <c r="J41" s="55"/>
      <c r="K41" s="55"/>
      <c r="L41" s="55"/>
      <c r="M41" s="55"/>
      <c r="N41" s="55"/>
      <c r="O41" s="55"/>
      <c r="P41" s="55"/>
      <c r="Q41" s="55"/>
      <c r="R41" s="55"/>
      <c r="S41" s="38"/>
      <c r="T41" s="38"/>
      <c r="U41" s="38"/>
      <c r="V41" s="38"/>
      <c r="W41" s="38"/>
      <c r="X41" s="38"/>
      <c r="Y41" s="38"/>
      <c r="Z41" s="38"/>
      <c r="AA41" s="38"/>
      <c r="AB41" s="38"/>
      <c r="AC41" s="38"/>
      <c r="AD41" s="38"/>
      <c r="AE41" s="38"/>
      <c r="AF41" s="38"/>
      <c r="AG41" s="37" t="str">
        <f t="shared" si="3"/>
        <v>○</v>
      </c>
      <c r="AH41" s="37" t="str">
        <f t="shared" si="4"/>
        <v>○</v>
      </c>
      <c r="AI41" s="42">
        <f t="shared" si="5"/>
        <v>0</v>
      </c>
      <c r="AJ41" s="11"/>
    </row>
    <row r="42" spans="1:36" ht="27.75" customHeight="1">
      <c r="A42" s="37">
        <v>38</v>
      </c>
      <c r="B42" s="45" t="s">
        <v>284</v>
      </c>
      <c r="C42" s="46" t="s">
        <v>626</v>
      </c>
      <c r="D42" s="16"/>
      <c r="E42" s="55"/>
      <c r="F42" s="55"/>
      <c r="G42" s="55"/>
      <c r="H42" s="55"/>
      <c r="I42" s="55"/>
      <c r="J42" s="55"/>
      <c r="K42" s="55"/>
      <c r="L42" s="55"/>
      <c r="M42" s="55"/>
      <c r="N42" s="55"/>
      <c r="O42" s="55"/>
      <c r="P42" s="55"/>
      <c r="Q42" s="55"/>
      <c r="R42" s="55"/>
      <c r="S42" s="38"/>
      <c r="T42" s="38"/>
      <c r="U42" s="38"/>
      <c r="V42" s="38"/>
      <c r="W42" s="38"/>
      <c r="X42" s="38"/>
      <c r="Y42" s="38"/>
      <c r="Z42" s="38"/>
      <c r="AA42" s="38"/>
      <c r="AB42" s="38"/>
      <c r="AC42" s="38"/>
      <c r="AD42" s="38"/>
      <c r="AE42" s="38"/>
      <c r="AF42" s="38"/>
      <c r="AG42" s="37" t="str">
        <f t="shared" si="3"/>
        <v>○</v>
      </c>
      <c r="AH42" s="37" t="str">
        <f t="shared" si="4"/>
        <v>○</v>
      </c>
      <c r="AI42" s="42">
        <f t="shared" si="5"/>
        <v>0</v>
      </c>
      <c r="AJ42" s="11"/>
    </row>
    <row r="43" spans="1:36" ht="27.75" customHeight="1">
      <c r="A43" s="37">
        <v>39</v>
      </c>
      <c r="B43" s="45" t="s">
        <v>285</v>
      </c>
      <c r="C43" s="46" t="s">
        <v>627</v>
      </c>
      <c r="D43" s="16"/>
      <c r="E43" s="55"/>
      <c r="F43" s="55"/>
      <c r="G43" s="55"/>
      <c r="H43" s="55"/>
      <c r="I43" s="55"/>
      <c r="J43" s="55"/>
      <c r="K43" s="55"/>
      <c r="L43" s="55"/>
      <c r="M43" s="55"/>
      <c r="N43" s="55"/>
      <c r="O43" s="55"/>
      <c r="P43" s="55"/>
      <c r="Q43" s="55"/>
      <c r="R43" s="55"/>
      <c r="S43" s="38"/>
      <c r="T43" s="38"/>
      <c r="U43" s="38"/>
      <c r="V43" s="38"/>
      <c r="W43" s="38"/>
      <c r="X43" s="38"/>
      <c r="Y43" s="38"/>
      <c r="Z43" s="38"/>
      <c r="AA43" s="38"/>
      <c r="AB43" s="38"/>
      <c r="AC43" s="38"/>
      <c r="AD43" s="38"/>
      <c r="AE43" s="38"/>
      <c r="AF43" s="38"/>
      <c r="AG43" s="37" t="str">
        <f t="shared" si="3"/>
        <v>○</v>
      </c>
      <c r="AH43" s="37" t="str">
        <f t="shared" si="4"/>
        <v>○</v>
      </c>
      <c r="AI43" s="42">
        <f t="shared" si="5"/>
        <v>0</v>
      </c>
      <c r="AJ43" s="11"/>
    </row>
    <row r="44" spans="1:36" ht="27.75" customHeight="1">
      <c r="A44" s="37">
        <v>40</v>
      </c>
      <c r="B44" s="45" t="s">
        <v>286</v>
      </c>
      <c r="C44" s="46" t="s">
        <v>628</v>
      </c>
      <c r="D44" s="16"/>
      <c r="E44" s="55"/>
      <c r="F44" s="55"/>
      <c r="G44" s="55"/>
      <c r="H44" s="55"/>
      <c r="I44" s="55"/>
      <c r="J44" s="55"/>
      <c r="K44" s="55"/>
      <c r="L44" s="55"/>
      <c r="M44" s="55"/>
      <c r="N44" s="55"/>
      <c r="O44" s="55"/>
      <c r="P44" s="55"/>
      <c r="Q44" s="55"/>
      <c r="R44" s="55"/>
      <c r="S44" s="38"/>
      <c r="T44" s="38"/>
      <c r="U44" s="38"/>
      <c r="V44" s="38"/>
      <c r="W44" s="38"/>
      <c r="X44" s="38"/>
      <c r="Y44" s="38"/>
      <c r="Z44" s="38"/>
      <c r="AA44" s="38"/>
      <c r="AB44" s="38"/>
      <c r="AC44" s="38"/>
      <c r="AD44" s="38"/>
      <c r="AE44" s="38"/>
      <c r="AF44" s="38"/>
      <c r="AG44" s="37" t="str">
        <f t="shared" si="3"/>
        <v>○</v>
      </c>
      <c r="AH44" s="37" t="str">
        <f t="shared" si="4"/>
        <v>○</v>
      </c>
      <c r="AI44" s="42">
        <f t="shared" si="5"/>
        <v>0</v>
      </c>
      <c r="AJ44" s="11"/>
    </row>
    <row r="45" spans="1:36" ht="27.75" customHeight="1">
      <c r="A45" s="37">
        <v>41</v>
      </c>
      <c r="B45" s="45" t="s">
        <v>287</v>
      </c>
      <c r="C45" s="46" t="s">
        <v>629</v>
      </c>
      <c r="D45" s="16"/>
      <c r="E45" s="55"/>
      <c r="F45" s="55"/>
      <c r="G45" s="55"/>
      <c r="H45" s="55"/>
      <c r="I45" s="55"/>
      <c r="J45" s="55"/>
      <c r="K45" s="55"/>
      <c r="L45" s="55"/>
      <c r="M45" s="55"/>
      <c r="N45" s="55"/>
      <c r="O45" s="55"/>
      <c r="P45" s="55"/>
      <c r="Q45" s="55"/>
      <c r="R45" s="55"/>
      <c r="S45" s="38"/>
      <c r="T45" s="38"/>
      <c r="U45" s="38"/>
      <c r="V45" s="38"/>
      <c r="W45" s="38"/>
      <c r="X45" s="38"/>
      <c r="Y45" s="38"/>
      <c r="Z45" s="38"/>
      <c r="AA45" s="38"/>
      <c r="AB45" s="38"/>
      <c r="AC45" s="38"/>
      <c r="AD45" s="38"/>
      <c r="AE45" s="38"/>
      <c r="AF45" s="38"/>
      <c r="AG45" s="37" t="str">
        <f t="shared" si="3"/>
        <v>○</v>
      </c>
      <c r="AH45" s="37" t="str">
        <f t="shared" si="4"/>
        <v>○</v>
      </c>
      <c r="AI45" s="42">
        <f t="shared" si="5"/>
        <v>0</v>
      </c>
      <c r="AJ45" s="11"/>
    </row>
    <row r="46" spans="1:36" ht="27.75" customHeight="1">
      <c r="A46" s="37">
        <v>42</v>
      </c>
      <c r="B46" s="45" t="s">
        <v>288</v>
      </c>
      <c r="C46" s="46" t="s">
        <v>630</v>
      </c>
      <c r="D46" s="16"/>
      <c r="E46" s="55"/>
      <c r="F46" s="55"/>
      <c r="G46" s="55"/>
      <c r="H46" s="55"/>
      <c r="I46" s="55"/>
      <c r="J46" s="55"/>
      <c r="K46" s="55"/>
      <c r="L46" s="55"/>
      <c r="M46" s="55"/>
      <c r="N46" s="55"/>
      <c r="O46" s="55"/>
      <c r="P46" s="55"/>
      <c r="Q46" s="55"/>
      <c r="R46" s="55"/>
      <c r="S46" s="38"/>
      <c r="T46" s="38"/>
      <c r="U46" s="38"/>
      <c r="V46" s="38"/>
      <c r="W46" s="38"/>
      <c r="X46" s="38"/>
      <c r="Y46" s="38"/>
      <c r="Z46" s="38"/>
      <c r="AA46" s="38"/>
      <c r="AB46" s="38"/>
      <c r="AC46" s="38"/>
      <c r="AD46" s="38"/>
      <c r="AE46" s="38"/>
      <c r="AF46" s="38"/>
      <c r="AG46" s="37" t="str">
        <f t="shared" si="3"/>
        <v>○</v>
      </c>
      <c r="AH46" s="37" t="str">
        <f t="shared" si="4"/>
        <v>○</v>
      </c>
      <c r="AI46" s="42">
        <f t="shared" si="5"/>
        <v>0</v>
      </c>
      <c r="AJ46" s="11"/>
    </row>
    <row r="47" spans="1:36" ht="27.75" customHeight="1">
      <c r="A47" s="37">
        <v>43</v>
      </c>
      <c r="B47" s="45" t="s">
        <v>289</v>
      </c>
      <c r="C47" s="48" t="s">
        <v>631</v>
      </c>
      <c r="D47" s="16"/>
      <c r="E47" s="55"/>
      <c r="F47" s="55"/>
      <c r="G47" s="55"/>
      <c r="H47" s="55"/>
      <c r="I47" s="55"/>
      <c r="J47" s="55"/>
      <c r="K47" s="55"/>
      <c r="L47" s="55"/>
      <c r="M47" s="55"/>
      <c r="N47" s="55"/>
      <c r="O47" s="55"/>
      <c r="P47" s="55"/>
      <c r="Q47" s="55"/>
      <c r="R47" s="55"/>
      <c r="S47" s="38"/>
      <c r="T47" s="38"/>
      <c r="U47" s="38"/>
      <c r="V47" s="38"/>
      <c r="W47" s="38"/>
      <c r="X47" s="38"/>
      <c r="Y47" s="38"/>
      <c r="Z47" s="38"/>
      <c r="AA47" s="38"/>
      <c r="AB47" s="38"/>
      <c r="AC47" s="38"/>
      <c r="AD47" s="38"/>
      <c r="AE47" s="38"/>
      <c r="AF47" s="38"/>
      <c r="AG47" s="37" t="str">
        <f t="shared" si="3"/>
        <v>○</v>
      </c>
      <c r="AH47" s="37" t="str">
        <f t="shared" si="4"/>
        <v>○</v>
      </c>
      <c r="AI47" s="42">
        <f t="shared" si="5"/>
        <v>0</v>
      </c>
      <c r="AJ47" s="11"/>
    </row>
    <row r="48" spans="1:36" ht="27.75" customHeight="1">
      <c r="A48" s="37">
        <v>44</v>
      </c>
      <c r="B48" s="45" t="s">
        <v>290</v>
      </c>
      <c r="C48" s="46" t="s">
        <v>632</v>
      </c>
      <c r="D48" s="16"/>
      <c r="E48" s="55"/>
      <c r="F48" s="55"/>
      <c r="G48" s="55"/>
      <c r="H48" s="55"/>
      <c r="I48" s="55"/>
      <c r="J48" s="55"/>
      <c r="K48" s="55"/>
      <c r="L48" s="55"/>
      <c r="M48" s="55"/>
      <c r="N48" s="55"/>
      <c r="O48" s="55"/>
      <c r="P48" s="55"/>
      <c r="Q48" s="55"/>
      <c r="R48" s="55"/>
      <c r="S48" s="38"/>
      <c r="T48" s="38"/>
      <c r="U48" s="38"/>
      <c r="V48" s="38"/>
      <c r="W48" s="38"/>
      <c r="X48" s="38"/>
      <c r="Y48" s="38"/>
      <c r="Z48" s="38"/>
      <c r="AA48" s="38"/>
      <c r="AB48" s="38"/>
      <c r="AC48" s="38"/>
      <c r="AD48" s="38"/>
      <c r="AE48" s="38"/>
      <c r="AF48" s="38"/>
      <c r="AG48" s="37" t="str">
        <f t="shared" si="3"/>
        <v>○</v>
      </c>
      <c r="AH48" s="37" t="str">
        <f t="shared" si="4"/>
        <v>○</v>
      </c>
      <c r="AI48" s="42">
        <f t="shared" si="5"/>
        <v>0</v>
      </c>
      <c r="AJ48" s="11"/>
    </row>
    <row r="49" spans="1:36" ht="27.75" customHeight="1">
      <c r="A49" s="37">
        <v>45</v>
      </c>
      <c r="B49" s="45" t="s">
        <v>291</v>
      </c>
      <c r="C49" s="46" t="s">
        <v>633</v>
      </c>
      <c r="D49" s="16"/>
      <c r="E49" s="55"/>
      <c r="F49" s="55"/>
      <c r="G49" s="55"/>
      <c r="H49" s="55"/>
      <c r="I49" s="55"/>
      <c r="J49" s="55"/>
      <c r="K49" s="55"/>
      <c r="L49" s="55"/>
      <c r="M49" s="55"/>
      <c r="N49" s="55"/>
      <c r="O49" s="55"/>
      <c r="P49" s="55"/>
      <c r="Q49" s="55"/>
      <c r="R49" s="55"/>
      <c r="S49" s="38"/>
      <c r="T49" s="38"/>
      <c r="U49" s="38"/>
      <c r="V49" s="38"/>
      <c r="W49" s="38"/>
      <c r="X49" s="38"/>
      <c r="Y49" s="38"/>
      <c r="Z49" s="38"/>
      <c r="AA49" s="38"/>
      <c r="AB49" s="38"/>
      <c r="AC49" s="38"/>
      <c r="AD49" s="38"/>
      <c r="AE49" s="38"/>
      <c r="AF49" s="38"/>
      <c r="AG49" s="37" t="str">
        <f t="shared" si="3"/>
        <v>○</v>
      </c>
      <c r="AH49" s="37" t="str">
        <f t="shared" si="4"/>
        <v>○</v>
      </c>
      <c r="AI49" s="42">
        <f t="shared" si="5"/>
        <v>0</v>
      </c>
      <c r="AJ49" s="11"/>
    </row>
    <row r="50" spans="1:36" ht="27.75" customHeight="1">
      <c r="A50" s="37">
        <v>46</v>
      </c>
      <c r="B50" s="45" t="s">
        <v>292</v>
      </c>
      <c r="C50" s="48" t="s">
        <v>634</v>
      </c>
      <c r="D50" s="16"/>
      <c r="E50" s="55"/>
      <c r="F50" s="55"/>
      <c r="G50" s="55"/>
      <c r="H50" s="55"/>
      <c r="I50" s="55"/>
      <c r="J50" s="55"/>
      <c r="K50" s="55"/>
      <c r="L50" s="55"/>
      <c r="M50" s="55"/>
      <c r="N50" s="55"/>
      <c r="O50" s="55"/>
      <c r="P50" s="55"/>
      <c r="Q50" s="55"/>
      <c r="R50" s="55"/>
      <c r="S50" s="38"/>
      <c r="T50" s="38"/>
      <c r="U50" s="38"/>
      <c r="V50" s="38"/>
      <c r="W50" s="38"/>
      <c r="X50" s="38"/>
      <c r="Y50" s="38"/>
      <c r="Z50" s="38"/>
      <c r="AA50" s="38"/>
      <c r="AB50" s="38"/>
      <c r="AC50" s="38"/>
      <c r="AD50" s="38"/>
      <c r="AE50" s="38"/>
      <c r="AF50" s="38"/>
      <c r="AG50" s="37" t="str">
        <f t="shared" si="3"/>
        <v>○</v>
      </c>
      <c r="AH50" s="37" t="str">
        <f t="shared" si="4"/>
        <v>○</v>
      </c>
      <c r="AI50" s="42">
        <f t="shared" si="5"/>
        <v>0</v>
      </c>
      <c r="AJ50" s="11"/>
    </row>
    <row r="51" spans="1:36" ht="27.75" customHeight="1">
      <c r="A51" s="37">
        <v>47</v>
      </c>
      <c r="B51" s="45" t="s">
        <v>293</v>
      </c>
      <c r="C51" s="46" t="s">
        <v>635</v>
      </c>
      <c r="D51" s="16"/>
      <c r="E51" s="55"/>
      <c r="F51" s="55"/>
      <c r="G51" s="55"/>
      <c r="H51" s="55"/>
      <c r="I51" s="55"/>
      <c r="J51" s="55"/>
      <c r="K51" s="55"/>
      <c r="L51" s="55"/>
      <c r="M51" s="55"/>
      <c r="N51" s="55"/>
      <c r="O51" s="55"/>
      <c r="P51" s="55"/>
      <c r="Q51" s="55"/>
      <c r="R51" s="55"/>
      <c r="S51" s="38"/>
      <c r="T51" s="38"/>
      <c r="U51" s="38"/>
      <c r="V51" s="38"/>
      <c r="W51" s="38"/>
      <c r="X51" s="38"/>
      <c r="Y51" s="38"/>
      <c r="Z51" s="38"/>
      <c r="AA51" s="38"/>
      <c r="AB51" s="38"/>
      <c r="AC51" s="38"/>
      <c r="AD51" s="38"/>
      <c r="AE51" s="38"/>
      <c r="AF51" s="38"/>
      <c r="AG51" s="37" t="str">
        <f t="shared" si="3"/>
        <v>○</v>
      </c>
      <c r="AH51" s="37" t="str">
        <f t="shared" si="4"/>
        <v>○</v>
      </c>
      <c r="AI51" s="42">
        <f t="shared" si="5"/>
        <v>0</v>
      </c>
      <c r="AJ51" s="11"/>
    </row>
    <row r="52" spans="1:36" ht="27.75" customHeight="1">
      <c r="A52" s="37">
        <v>48</v>
      </c>
      <c r="B52" s="45" t="s">
        <v>294</v>
      </c>
      <c r="C52" s="46" t="s">
        <v>637</v>
      </c>
      <c r="D52" s="16"/>
      <c r="E52" s="55"/>
      <c r="F52" s="55"/>
      <c r="G52" s="55"/>
      <c r="H52" s="55"/>
      <c r="I52" s="55"/>
      <c r="J52" s="55"/>
      <c r="K52" s="55"/>
      <c r="L52" s="55"/>
      <c r="M52" s="55"/>
      <c r="N52" s="55"/>
      <c r="O52" s="55"/>
      <c r="P52" s="55"/>
      <c r="Q52" s="55"/>
      <c r="R52" s="55"/>
      <c r="S52" s="38"/>
      <c r="T52" s="38"/>
      <c r="U52" s="38"/>
      <c r="V52" s="38"/>
      <c r="W52" s="38"/>
      <c r="X52" s="38"/>
      <c r="Y52" s="38"/>
      <c r="Z52" s="38"/>
      <c r="AA52" s="38"/>
      <c r="AB52" s="38"/>
      <c r="AC52" s="38"/>
      <c r="AD52" s="38"/>
      <c r="AE52" s="38"/>
      <c r="AF52" s="38"/>
      <c r="AG52" s="37" t="str">
        <f t="shared" si="3"/>
        <v>○</v>
      </c>
      <c r="AH52" s="37" t="str">
        <f t="shared" si="4"/>
        <v>○</v>
      </c>
      <c r="AI52" s="42">
        <f t="shared" si="5"/>
        <v>0</v>
      </c>
      <c r="AJ52" s="11"/>
    </row>
    <row r="53" spans="1:36" ht="27.75" customHeight="1">
      <c r="A53" s="37">
        <v>49</v>
      </c>
      <c r="B53" s="45" t="s">
        <v>295</v>
      </c>
      <c r="C53" s="46" t="s">
        <v>636</v>
      </c>
      <c r="D53" s="16"/>
      <c r="E53" s="55"/>
      <c r="F53" s="55"/>
      <c r="G53" s="55"/>
      <c r="H53" s="55"/>
      <c r="I53" s="55"/>
      <c r="J53" s="55"/>
      <c r="K53" s="55"/>
      <c r="L53" s="55"/>
      <c r="M53" s="55"/>
      <c r="N53" s="55"/>
      <c r="O53" s="55"/>
      <c r="P53" s="55"/>
      <c r="Q53" s="55"/>
      <c r="R53" s="55"/>
      <c r="S53" s="38"/>
      <c r="T53" s="38"/>
      <c r="U53" s="38"/>
      <c r="V53" s="38"/>
      <c r="W53" s="38"/>
      <c r="X53" s="38"/>
      <c r="Y53" s="38"/>
      <c r="Z53" s="38"/>
      <c r="AA53" s="38"/>
      <c r="AB53" s="38"/>
      <c r="AC53" s="38"/>
      <c r="AD53" s="38"/>
      <c r="AE53" s="38"/>
      <c r="AF53" s="38"/>
      <c r="AG53" s="37" t="str">
        <f t="shared" si="3"/>
        <v>○</v>
      </c>
      <c r="AH53" s="37" t="str">
        <f t="shared" si="4"/>
        <v>○</v>
      </c>
      <c r="AI53" s="42">
        <f t="shared" si="5"/>
        <v>0</v>
      </c>
      <c r="AJ53" s="11"/>
    </row>
    <row r="54" spans="1:36" ht="27.75" customHeight="1">
      <c r="A54" s="37">
        <v>50</v>
      </c>
      <c r="B54" s="45" t="s">
        <v>296</v>
      </c>
      <c r="C54" s="46" t="s">
        <v>638</v>
      </c>
      <c r="D54" s="16"/>
      <c r="E54" s="55"/>
      <c r="F54" s="55"/>
      <c r="G54" s="55"/>
      <c r="H54" s="55"/>
      <c r="I54" s="55"/>
      <c r="J54" s="55"/>
      <c r="K54" s="55"/>
      <c r="L54" s="55"/>
      <c r="M54" s="55"/>
      <c r="N54" s="55"/>
      <c r="O54" s="55"/>
      <c r="P54" s="55"/>
      <c r="Q54" s="55"/>
      <c r="R54" s="55"/>
      <c r="S54" s="38"/>
      <c r="T54" s="38"/>
      <c r="U54" s="38"/>
      <c r="V54" s="38"/>
      <c r="W54" s="38"/>
      <c r="X54" s="38"/>
      <c r="Y54" s="38"/>
      <c r="Z54" s="38"/>
      <c r="AA54" s="38"/>
      <c r="AB54" s="38"/>
      <c r="AC54" s="38"/>
      <c r="AD54" s="38"/>
      <c r="AE54" s="38"/>
      <c r="AF54" s="38"/>
      <c r="AG54" s="37" t="str">
        <f t="shared" si="3"/>
        <v>○</v>
      </c>
      <c r="AH54" s="37" t="str">
        <f t="shared" si="4"/>
        <v>○</v>
      </c>
      <c r="AI54" s="42">
        <f t="shared" si="5"/>
        <v>0</v>
      </c>
      <c r="AJ54" s="11"/>
    </row>
    <row r="55" spans="1:36" ht="27.75" customHeight="1">
      <c r="A55" s="37">
        <v>51</v>
      </c>
      <c r="B55" s="45" t="s">
        <v>297</v>
      </c>
      <c r="C55" s="48" t="s">
        <v>639</v>
      </c>
      <c r="D55" s="16"/>
      <c r="E55" s="55"/>
      <c r="F55" s="55"/>
      <c r="G55" s="55"/>
      <c r="H55" s="55"/>
      <c r="I55" s="55"/>
      <c r="J55" s="55"/>
      <c r="K55" s="55"/>
      <c r="L55" s="55"/>
      <c r="M55" s="55"/>
      <c r="N55" s="55"/>
      <c r="O55" s="55"/>
      <c r="P55" s="55"/>
      <c r="Q55" s="55"/>
      <c r="R55" s="55"/>
      <c r="S55" s="38"/>
      <c r="T55" s="38"/>
      <c r="U55" s="38"/>
      <c r="V55" s="38"/>
      <c r="W55" s="38"/>
      <c r="X55" s="38"/>
      <c r="Y55" s="38"/>
      <c r="Z55" s="38"/>
      <c r="AA55" s="38"/>
      <c r="AB55" s="38"/>
      <c r="AC55" s="38"/>
      <c r="AD55" s="38"/>
      <c r="AE55" s="38"/>
      <c r="AF55" s="38"/>
      <c r="AG55" s="37" t="str">
        <f t="shared" si="3"/>
        <v>○</v>
      </c>
      <c r="AH55" s="37" t="str">
        <f t="shared" si="4"/>
        <v>○</v>
      </c>
      <c r="AI55" s="42">
        <f t="shared" si="5"/>
        <v>0</v>
      </c>
      <c r="AJ55" s="11"/>
    </row>
    <row r="56" spans="1:36" ht="27.75" customHeight="1">
      <c r="A56" s="37">
        <v>52</v>
      </c>
      <c r="B56" s="45" t="s">
        <v>298</v>
      </c>
      <c r="C56" s="46" t="s">
        <v>640</v>
      </c>
      <c r="D56" s="16"/>
      <c r="E56" s="55"/>
      <c r="F56" s="55"/>
      <c r="G56" s="55"/>
      <c r="H56" s="55"/>
      <c r="I56" s="55"/>
      <c r="J56" s="55"/>
      <c r="K56" s="55"/>
      <c r="L56" s="55"/>
      <c r="M56" s="55"/>
      <c r="N56" s="55"/>
      <c r="O56" s="55"/>
      <c r="P56" s="55"/>
      <c r="Q56" s="55"/>
      <c r="R56" s="55"/>
      <c r="S56" s="38"/>
      <c r="T56" s="38"/>
      <c r="U56" s="38"/>
      <c r="V56" s="38"/>
      <c r="W56" s="38"/>
      <c r="X56" s="38"/>
      <c r="Y56" s="38"/>
      <c r="Z56" s="38"/>
      <c r="AA56" s="38"/>
      <c r="AB56" s="38"/>
      <c r="AC56" s="38"/>
      <c r="AD56" s="38"/>
      <c r="AE56" s="38"/>
      <c r="AF56" s="38"/>
      <c r="AG56" s="37" t="str">
        <f t="shared" si="3"/>
        <v>○</v>
      </c>
      <c r="AH56" s="37" t="str">
        <f t="shared" si="4"/>
        <v>○</v>
      </c>
      <c r="AI56" s="42">
        <f t="shared" si="5"/>
        <v>0</v>
      </c>
      <c r="AJ56" s="11"/>
    </row>
    <row r="57" spans="1:36" ht="27.75" customHeight="1">
      <c r="A57" s="37">
        <v>53</v>
      </c>
      <c r="B57" s="45" t="s">
        <v>299</v>
      </c>
      <c r="C57" s="46" t="s">
        <v>641</v>
      </c>
      <c r="D57" s="16"/>
      <c r="E57" s="55"/>
      <c r="F57" s="55"/>
      <c r="G57" s="55"/>
      <c r="H57" s="55"/>
      <c r="I57" s="55"/>
      <c r="J57" s="55"/>
      <c r="K57" s="55"/>
      <c r="L57" s="55"/>
      <c r="M57" s="55"/>
      <c r="N57" s="55"/>
      <c r="O57" s="55"/>
      <c r="P57" s="55"/>
      <c r="Q57" s="55"/>
      <c r="R57" s="55"/>
      <c r="S57" s="38"/>
      <c r="T57" s="38"/>
      <c r="U57" s="38"/>
      <c r="V57" s="38"/>
      <c r="W57" s="38"/>
      <c r="X57" s="38"/>
      <c r="Y57" s="38"/>
      <c r="Z57" s="38"/>
      <c r="AA57" s="38"/>
      <c r="AB57" s="38"/>
      <c r="AC57" s="38"/>
      <c r="AD57" s="38"/>
      <c r="AE57" s="38"/>
      <c r="AF57" s="38"/>
      <c r="AG57" s="37" t="str">
        <f t="shared" si="3"/>
        <v>○</v>
      </c>
      <c r="AH57" s="37" t="str">
        <f t="shared" si="4"/>
        <v>○</v>
      </c>
      <c r="AI57" s="42">
        <f t="shared" si="5"/>
        <v>0</v>
      </c>
      <c r="AJ57" s="11"/>
    </row>
    <row r="58" spans="1:36" ht="27.75" customHeight="1">
      <c r="A58" s="37">
        <v>54</v>
      </c>
      <c r="B58" s="45" t="s">
        <v>300</v>
      </c>
      <c r="C58" s="46" t="s">
        <v>642</v>
      </c>
      <c r="D58" s="16"/>
      <c r="E58" s="55"/>
      <c r="F58" s="55"/>
      <c r="G58" s="55"/>
      <c r="H58" s="55"/>
      <c r="I58" s="55"/>
      <c r="J58" s="55"/>
      <c r="K58" s="55"/>
      <c r="L58" s="55"/>
      <c r="M58" s="55"/>
      <c r="N58" s="55"/>
      <c r="O58" s="55"/>
      <c r="P58" s="55"/>
      <c r="Q58" s="55"/>
      <c r="R58" s="55"/>
      <c r="S58" s="38"/>
      <c r="T58" s="38"/>
      <c r="U58" s="38"/>
      <c r="V58" s="38"/>
      <c r="W58" s="38"/>
      <c r="X58" s="38"/>
      <c r="Y58" s="38"/>
      <c r="Z58" s="38"/>
      <c r="AA58" s="38"/>
      <c r="AB58" s="38"/>
      <c r="AC58" s="38"/>
      <c r="AD58" s="38"/>
      <c r="AE58" s="38"/>
      <c r="AF58" s="38"/>
      <c r="AG58" s="37" t="str">
        <f t="shared" si="3"/>
        <v>○</v>
      </c>
      <c r="AH58" s="37" t="str">
        <f t="shared" si="4"/>
        <v>○</v>
      </c>
      <c r="AI58" s="42">
        <f t="shared" si="5"/>
        <v>0</v>
      </c>
      <c r="AJ58" s="11"/>
    </row>
    <row r="59" spans="1:36" ht="27.75" customHeight="1">
      <c r="A59" s="37">
        <v>55</v>
      </c>
      <c r="B59" s="45" t="s">
        <v>301</v>
      </c>
      <c r="C59" s="48" t="s">
        <v>643</v>
      </c>
      <c r="D59" s="16"/>
      <c r="E59" s="55"/>
      <c r="F59" s="55"/>
      <c r="G59" s="55"/>
      <c r="H59" s="55"/>
      <c r="I59" s="55"/>
      <c r="J59" s="55"/>
      <c r="K59" s="55"/>
      <c r="L59" s="55"/>
      <c r="M59" s="55"/>
      <c r="N59" s="55"/>
      <c r="O59" s="55"/>
      <c r="P59" s="55"/>
      <c r="Q59" s="55"/>
      <c r="R59" s="55"/>
      <c r="S59" s="38"/>
      <c r="T59" s="38"/>
      <c r="U59" s="38"/>
      <c r="V59" s="38"/>
      <c r="W59" s="38"/>
      <c r="X59" s="38"/>
      <c r="Y59" s="38"/>
      <c r="Z59" s="38"/>
      <c r="AA59" s="38"/>
      <c r="AB59" s="38"/>
      <c r="AC59" s="38"/>
      <c r="AD59" s="38"/>
      <c r="AE59" s="38"/>
      <c r="AF59" s="38"/>
      <c r="AG59" s="37" t="str">
        <f t="shared" si="3"/>
        <v>○</v>
      </c>
      <c r="AH59" s="37" t="str">
        <f t="shared" si="4"/>
        <v>○</v>
      </c>
      <c r="AI59" s="42">
        <f t="shared" si="5"/>
        <v>0</v>
      </c>
      <c r="AJ59" s="11"/>
    </row>
    <row r="60" spans="1:36" ht="27.75" customHeight="1">
      <c r="A60" s="37">
        <v>56</v>
      </c>
      <c r="B60" s="45" t="s">
        <v>302</v>
      </c>
      <c r="C60" s="46" t="s">
        <v>644</v>
      </c>
      <c r="D60" s="16"/>
      <c r="E60" s="55"/>
      <c r="F60" s="55"/>
      <c r="G60" s="55"/>
      <c r="H60" s="55"/>
      <c r="I60" s="55"/>
      <c r="J60" s="55"/>
      <c r="K60" s="55"/>
      <c r="L60" s="55"/>
      <c r="M60" s="55"/>
      <c r="N60" s="55"/>
      <c r="O60" s="55"/>
      <c r="P60" s="55"/>
      <c r="Q60" s="55"/>
      <c r="R60" s="55"/>
      <c r="S60" s="38"/>
      <c r="T60" s="38"/>
      <c r="U60" s="38"/>
      <c r="V60" s="38"/>
      <c r="W60" s="38"/>
      <c r="X60" s="38"/>
      <c r="Y60" s="38"/>
      <c r="Z60" s="38"/>
      <c r="AA60" s="38"/>
      <c r="AB60" s="38"/>
      <c r="AC60" s="38"/>
      <c r="AD60" s="38"/>
      <c r="AE60" s="38"/>
      <c r="AF60" s="38"/>
      <c r="AG60" s="37" t="str">
        <f t="shared" si="3"/>
        <v>○</v>
      </c>
      <c r="AH60" s="37" t="str">
        <f t="shared" si="4"/>
        <v>○</v>
      </c>
      <c r="AI60" s="42">
        <f t="shared" si="5"/>
        <v>0</v>
      </c>
      <c r="AJ60" s="11"/>
    </row>
    <row r="61" spans="1:36" ht="27.75" customHeight="1">
      <c r="A61" s="37">
        <v>57</v>
      </c>
      <c r="B61" s="45" t="s">
        <v>303</v>
      </c>
      <c r="C61" s="46" t="s">
        <v>645</v>
      </c>
      <c r="D61" s="16"/>
      <c r="E61" s="55"/>
      <c r="F61" s="55"/>
      <c r="G61" s="55"/>
      <c r="H61" s="55"/>
      <c r="I61" s="55"/>
      <c r="J61" s="55"/>
      <c r="K61" s="55"/>
      <c r="L61" s="55"/>
      <c r="M61" s="55"/>
      <c r="N61" s="55"/>
      <c r="O61" s="55"/>
      <c r="P61" s="55"/>
      <c r="Q61" s="55"/>
      <c r="R61" s="55"/>
      <c r="S61" s="38"/>
      <c r="T61" s="38"/>
      <c r="U61" s="38"/>
      <c r="V61" s="38"/>
      <c r="W61" s="38"/>
      <c r="X61" s="38"/>
      <c r="Y61" s="38"/>
      <c r="Z61" s="38"/>
      <c r="AA61" s="38"/>
      <c r="AB61" s="38"/>
      <c r="AC61" s="38"/>
      <c r="AD61" s="38"/>
      <c r="AE61" s="38"/>
      <c r="AF61" s="38"/>
      <c r="AG61" s="37" t="str">
        <f t="shared" si="3"/>
        <v>○</v>
      </c>
      <c r="AH61" s="37" t="str">
        <f t="shared" si="4"/>
        <v>○</v>
      </c>
      <c r="AI61" s="42">
        <f t="shared" si="5"/>
        <v>0</v>
      </c>
      <c r="AJ61" s="11"/>
    </row>
    <row r="62" spans="1:36" ht="27.75" customHeight="1">
      <c r="A62" s="37">
        <v>58</v>
      </c>
      <c r="B62" s="45" t="s">
        <v>304</v>
      </c>
      <c r="C62" s="46" t="s">
        <v>646</v>
      </c>
      <c r="D62" s="16"/>
      <c r="E62" s="55"/>
      <c r="F62" s="55"/>
      <c r="G62" s="55"/>
      <c r="H62" s="55"/>
      <c r="I62" s="55"/>
      <c r="J62" s="55"/>
      <c r="K62" s="55"/>
      <c r="L62" s="55"/>
      <c r="M62" s="55"/>
      <c r="N62" s="55"/>
      <c r="O62" s="55"/>
      <c r="P62" s="55"/>
      <c r="Q62" s="55"/>
      <c r="R62" s="55"/>
      <c r="S62" s="38"/>
      <c r="T62" s="38"/>
      <c r="U62" s="38"/>
      <c r="V62" s="38"/>
      <c r="W62" s="38"/>
      <c r="X62" s="38"/>
      <c r="Y62" s="38"/>
      <c r="Z62" s="38"/>
      <c r="AA62" s="38"/>
      <c r="AB62" s="38"/>
      <c r="AC62" s="38"/>
      <c r="AD62" s="38"/>
      <c r="AE62" s="38"/>
      <c r="AF62" s="38"/>
      <c r="AG62" s="37" t="str">
        <f t="shared" si="3"/>
        <v>○</v>
      </c>
      <c r="AH62" s="37" t="str">
        <f t="shared" si="4"/>
        <v>○</v>
      </c>
      <c r="AI62" s="42">
        <f t="shared" si="5"/>
        <v>0</v>
      </c>
      <c r="AJ62" s="11"/>
    </row>
    <row r="63" spans="1:36" ht="27.75" customHeight="1">
      <c r="A63" s="37">
        <v>59</v>
      </c>
      <c r="B63" s="45" t="s">
        <v>305</v>
      </c>
      <c r="C63" s="46" t="s">
        <v>647</v>
      </c>
      <c r="D63" s="16"/>
      <c r="E63" s="55"/>
      <c r="F63" s="55"/>
      <c r="G63" s="55"/>
      <c r="H63" s="55"/>
      <c r="I63" s="55"/>
      <c r="J63" s="55"/>
      <c r="K63" s="55"/>
      <c r="L63" s="55"/>
      <c r="M63" s="55"/>
      <c r="N63" s="55"/>
      <c r="O63" s="55"/>
      <c r="P63" s="55"/>
      <c r="Q63" s="55"/>
      <c r="R63" s="55"/>
      <c r="S63" s="38"/>
      <c r="T63" s="38"/>
      <c r="U63" s="38"/>
      <c r="V63" s="38"/>
      <c r="W63" s="38"/>
      <c r="X63" s="38"/>
      <c r="Y63" s="38"/>
      <c r="Z63" s="38"/>
      <c r="AA63" s="38"/>
      <c r="AB63" s="38"/>
      <c r="AC63" s="38"/>
      <c r="AD63" s="38"/>
      <c r="AE63" s="38"/>
      <c r="AF63" s="38"/>
      <c r="AG63" s="37" t="str">
        <f t="shared" si="3"/>
        <v>○</v>
      </c>
      <c r="AH63" s="37" t="str">
        <f t="shared" si="4"/>
        <v>○</v>
      </c>
      <c r="AI63" s="42">
        <f t="shared" si="5"/>
        <v>0</v>
      </c>
      <c r="AJ63" s="11"/>
    </row>
    <row r="64" spans="1:36" ht="27.75" customHeight="1">
      <c r="A64" s="37">
        <v>60</v>
      </c>
      <c r="B64" s="45" t="s">
        <v>306</v>
      </c>
      <c r="C64" s="46" t="s">
        <v>648</v>
      </c>
      <c r="D64" s="16"/>
      <c r="E64" s="55"/>
      <c r="F64" s="55"/>
      <c r="G64" s="55"/>
      <c r="H64" s="55"/>
      <c r="I64" s="55"/>
      <c r="J64" s="55"/>
      <c r="K64" s="55"/>
      <c r="L64" s="55"/>
      <c r="M64" s="55"/>
      <c r="N64" s="55"/>
      <c r="O64" s="55"/>
      <c r="P64" s="55"/>
      <c r="Q64" s="55"/>
      <c r="R64" s="55"/>
      <c r="S64" s="38"/>
      <c r="T64" s="38"/>
      <c r="U64" s="38"/>
      <c r="V64" s="38"/>
      <c r="W64" s="38"/>
      <c r="X64" s="38"/>
      <c r="Y64" s="38"/>
      <c r="Z64" s="38"/>
      <c r="AA64" s="38"/>
      <c r="AB64" s="38"/>
      <c r="AC64" s="38"/>
      <c r="AD64" s="38"/>
      <c r="AE64" s="38"/>
      <c r="AF64" s="38"/>
      <c r="AG64" s="37" t="str">
        <f t="shared" si="3"/>
        <v>○</v>
      </c>
      <c r="AH64" s="37" t="str">
        <f t="shared" si="4"/>
        <v>○</v>
      </c>
      <c r="AI64" s="42">
        <f t="shared" si="5"/>
        <v>0</v>
      </c>
      <c r="AJ64" s="11"/>
    </row>
    <row r="65" spans="1:36" ht="27.75" customHeight="1">
      <c r="A65" s="37">
        <v>61</v>
      </c>
      <c r="B65" s="45" t="s">
        <v>307</v>
      </c>
      <c r="C65" s="46" t="s">
        <v>649</v>
      </c>
      <c r="D65" s="16"/>
      <c r="E65" s="55"/>
      <c r="F65" s="55"/>
      <c r="G65" s="55"/>
      <c r="H65" s="55"/>
      <c r="I65" s="55"/>
      <c r="J65" s="55"/>
      <c r="K65" s="55"/>
      <c r="L65" s="55"/>
      <c r="M65" s="55"/>
      <c r="N65" s="55"/>
      <c r="O65" s="55"/>
      <c r="P65" s="55"/>
      <c r="Q65" s="55"/>
      <c r="R65" s="55"/>
      <c r="S65" s="38"/>
      <c r="T65" s="38"/>
      <c r="U65" s="38"/>
      <c r="V65" s="38"/>
      <c r="W65" s="38"/>
      <c r="X65" s="38"/>
      <c r="Y65" s="38"/>
      <c r="Z65" s="38"/>
      <c r="AA65" s="38"/>
      <c r="AB65" s="38"/>
      <c r="AC65" s="38"/>
      <c r="AD65" s="38"/>
      <c r="AE65" s="38"/>
      <c r="AF65" s="38"/>
      <c r="AG65" s="37" t="str">
        <f t="shared" si="3"/>
        <v>○</v>
      </c>
      <c r="AH65" s="37" t="str">
        <f t="shared" si="4"/>
        <v>○</v>
      </c>
      <c r="AI65" s="42">
        <f t="shared" si="5"/>
        <v>0</v>
      </c>
      <c r="AJ65" s="11"/>
    </row>
    <row r="66" spans="1:36" ht="27.75" customHeight="1">
      <c r="A66" s="37">
        <v>62</v>
      </c>
      <c r="B66" s="45" t="s">
        <v>308</v>
      </c>
      <c r="C66" s="46" t="s">
        <v>650</v>
      </c>
      <c r="D66" s="16"/>
      <c r="E66" s="55"/>
      <c r="F66" s="55"/>
      <c r="G66" s="55"/>
      <c r="H66" s="55"/>
      <c r="I66" s="55"/>
      <c r="J66" s="55"/>
      <c r="K66" s="55"/>
      <c r="L66" s="55"/>
      <c r="M66" s="55"/>
      <c r="N66" s="55"/>
      <c r="O66" s="55"/>
      <c r="P66" s="55"/>
      <c r="Q66" s="55"/>
      <c r="R66" s="55"/>
      <c r="S66" s="38"/>
      <c r="T66" s="38"/>
      <c r="U66" s="38"/>
      <c r="V66" s="38"/>
      <c r="W66" s="38"/>
      <c r="X66" s="38"/>
      <c r="Y66" s="38"/>
      <c r="Z66" s="38"/>
      <c r="AA66" s="38"/>
      <c r="AB66" s="38"/>
      <c r="AC66" s="38"/>
      <c r="AD66" s="38"/>
      <c r="AE66" s="38"/>
      <c r="AF66" s="38"/>
      <c r="AG66" s="37" t="str">
        <f t="shared" si="3"/>
        <v>○</v>
      </c>
      <c r="AH66" s="37" t="str">
        <f t="shared" si="4"/>
        <v>○</v>
      </c>
      <c r="AI66" s="42">
        <f t="shared" si="5"/>
        <v>0</v>
      </c>
      <c r="AJ66" s="11"/>
    </row>
    <row r="67" spans="1:36" ht="27.75" customHeight="1">
      <c r="A67" s="37">
        <v>63</v>
      </c>
      <c r="B67" s="45" t="s">
        <v>309</v>
      </c>
      <c r="C67" s="46" t="s">
        <v>651</v>
      </c>
      <c r="D67" s="16"/>
      <c r="E67" s="55"/>
      <c r="F67" s="55"/>
      <c r="G67" s="55"/>
      <c r="H67" s="55"/>
      <c r="I67" s="55"/>
      <c r="J67" s="55"/>
      <c r="K67" s="55"/>
      <c r="L67" s="55"/>
      <c r="M67" s="55"/>
      <c r="N67" s="55"/>
      <c r="O67" s="55"/>
      <c r="P67" s="55"/>
      <c r="Q67" s="55"/>
      <c r="R67" s="55"/>
      <c r="S67" s="38"/>
      <c r="T67" s="38"/>
      <c r="U67" s="38"/>
      <c r="V67" s="38"/>
      <c r="W67" s="38"/>
      <c r="X67" s="38"/>
      <c r="Y67" s="38"/>
      <c r="Z67" s="38"/>
      <c r="AA67" s="38"/>
      <c r="AB67" s="38"/>
      <c r="AC67" s="38"/>
      <c r="AD67" s="38"/>
      <c r="AE67" s="38"/>
      <c r="AF67" s="38"/>
      <c r="AG67" s="37" t="str">
        <f t="shared" si="3"/>
        <v>○</v>
      </c>
      <c r="AH67" s="37" t="str">
        <f t="shared" si="4"/>
        <v>○</v>
      </c>
      <c r="AI67" s="42">
        <f t="shared" si="5"/>
        <v>0</v>
      </c>
      <c r="AJ67" s="11"/>
    </row>
    <row r="68" spans="1:36" ht="27.75" customHeight="1">
      <c r="A68" s="37">
        <v>64</v>
      </c>
      <c r="B68" s="45" t="s">
        <v>310</v>
      </c>
      <c r="C68" s="46" t="s">
        <v>652</v>
      </c>
      <c r="D68" s="16"/>
      <c r="E68" s="55"/>
      <c r="F68" s="55"/>
      <c r="G68" s="55"/>
      <c r="H68" s="55"/>
      <c r="I68" s="55"/>
      <c r="J68" s="55"/>
      <c r="K68" s="55"/>
      <c r="L68" s="55"/>
      <c r="M68" s="55"/>
      <c r="N68" s="55"/>
      <c r="O68" s="55"/>
      <c r="P68" s="55"/>
      <c r="Q68" s="55"/>
      <c r="R68" s="55"/>
      <c r="S68" s="38"/>
      <c r="T68" s="38"/>
      <c r="U68" s="38"/>
      <c r="V68" s="38"/>
      <c r="W68" s="38"/>
      <c r="X68" s="38"/>
      <c r="Y68" s="38"/>
      <c r="Z68" s="38"/>
      <c r="AA68" s="38"/>
      <c r="AB68" s="38"/>
      <c r="AC68" s="38"/>
      <c r="AD68" s="38"/>
      <c r="AE68" s="38"/>
      <c r="AF68" s="38"/>
      <c r="AG68" s="37" t="str">
        <f t="shared" si="3"/>
        <v>○</v>
      </c>
      <c r="AH68" s="37" t="str">
        <f t="shared" si="4"/>
        <v>○</v>
      </c>
      <c r="AI68" s="42">
        <f t="shared" si="5"/>
        <v>0</v>
      </c>
      <c r="AJ68" s="11"/>
    </row>
    <row r="69" spans="1:36" ht="27.75" customHeight="1">
      <c r="A69" s="37">
        <v>65</v>
      </c>
      <c r="B69" s="46" t="s">
        <v>311</v>
      </c>
      <c r="C69" s="46" t="s">
        <v>653</v>
      </c>
      <c r="D69" s="16"/>
      <c r="E69" s="55"/>
      <c r="F69" s="55"/>
      <c r="G69" s="55"/>
      <c r="H69" s="55"/>
      <c r="I69" s="55"/>
      <c r="J69" s="55"/>
      <c r="K69" s="55"/>
      <c r="L69" s="55"/>
      <c r="M69" s="55"/>
      <c r="N69" s="55"/>
      <c r="O69" s="55"/>
      <c r="P69" s="55"/>
      <c r="Q69" s="55"/>
      <c r="R69" s="55"/>
      <c r="S69" s="38"/>
      <c r="T69" s="38"/>
      <c r="U69" s="38"/>
      <c r="V69" s="38"/>
      <c r="W69" s="38"/>
      <c r="X69" s="38"/>
      <c r="Y69" s="38"/>
      <c r="Z69" s="38"/>
      <c r="AA69" s="38"/>
      <c r="AB69" s="38"/>
      <c r="AC69" s="38"/>
      <c r="AD69" s="38"/>
      <c r="AE69" s="38"/>
      <c r="AF69" s="38"/>
      <c r="AG69" s="37" t="str">
        <f t="shared" ref="AG69:AG100" si="6">IF(AND(B69="",E69="",S69=""),"",IF(SUMPRODUCT(((E69:R69&gt;=1)&lt;&gt;(S69:AF69&gt;=1))*1)=0,"○","✗"))</f>
        <v>○</v>
      </c>
      <c r="AH69" s="37" t="str">
        <f t="shared" ref="AH69:AH100" si="7">IF(AG69="","",IF(AG69="✗","✗",IF(SUMPRODUCT((E69:R69&lt;&gt;S69:AF69)*1)=0,"○","✗")))</f>
        <v>○</v>
      </c>
      <c r="AI69" s="42">
        <f t="shared" ref="AI69:AI100" si="8">IF(AND(SUM(E69:R69)=0,SUM(S69:AF69)=0),0,(SUM(E69:R69)+SUM(S69:AF69))/2)</f>
        <v>0</v>
      </c>
      <c r="AJ69" s="11"/>
    </row>
    <row r="70" spans="1:36" ht="27.75" customHeight="1">
      <c r="A70" s="37">
        <v>66</v>
      </c>
      <c r="B70" s="46" t="s">
        <v>312</v>
      </c>
      <c r="C70" s="46" t="s">
        <v>654</v>
      </c>
      <c r="D70" s="16"/>
      <c r="E70" s="55"/>
      <c r="F70" s="55"/>
      <c r="G70" s="55"/>
      <c r="H70" s="55"/>
      <c r="I70" s="55"/>
      <c r="J70" s="55"/>
      <c r="K70" s="55"/>
      <c r="L70" s="55"/>
      <c r="M70" s="55"/>
      <c r="N70" s="55"/>
      <c r="O70" s="55"/>
      <c r="P70" s="55"/>
      <c r="Q70" s="55"/>
      <c r="R70" s="55"/>
      <c r="S70" s="38"/>
      <c r="T70" s="38"/>
      <c r="U70" s="38"/>
      <c r="V70" s="38"/>
      <c r="W70" s="38"/>
      <c r="X70" s="38"/>
      <c r="Y70" s="38"/>
      <c r="Z70" s="38"/>
      <c r="AA70" s="38"/>
      <c r="AB70" s="38"/>
      <c r="AC70" s="38"/>
      <c r="AD70" s="38"/>
      <c r="AE70" s="38"/>
      <c r="AF70" s="38"/>
      <c r="AG70" s="37" t="str">
        <f t="shared" si="6"/>
        <v>○</v>
      </c>
      <c r="AH70" s="37" t="str">
        <f t="shared" si="7"/>
        <v>○</v>
      </c>
      <c r="AI70" s="42">
        <f t="shared" si="8"/>
        <v>0</v>
      </c>
      <c r="AJ70" s="11"/>
    </row>
    <row r="71" spans="1:36" ht="27.75" customHeight="1">
      <c r="A71" s="37">
        <v>67</v>
      </c>
      <c r="B71" s="46" t="s">
        <v>313</v>
      </c>
      <c r="C71" s="46" t="s">
        <v>655</v>
      </c>
      <c r="D71" s="16"/>
      <c r="E71" s="55"/>
      <c r="F71" s="55"/>
      <c r="G71" s="55"/>
      <c r="H71" s="55"/>
      <c r="I71" s="55"/>
      <c r="J71" s="55"/>
      <c r="K71" s="55"/>
      <c r="L71" s="55"/>
      <c r="M71" s="55"/>
      <c r="N71" s="55"/>
      <c r="O71" s="55"/>
      <c r="P71" s="55"/>
      <c r="Q71" s="55"/>
      <c r="R71" s="55"/>
      <c r="S71" s="38"/>
      <c r="T71" s="38"/>
      <c r="U71" s="38"/>
      <c r="V71" s="38"/>
      <c r="W71" s="38"/>
      <c r="X71" s="38"/>
      <c r="Y71" s="38"/>
      <c r="Z71" s="38"/>
      <c r="AA71" s="38"/>
      <c r="AB71" s="38"/>
      <c r="AC71" s="38"/>
      <c r="AD71" s="38"/>
      <c r="AE71" s="38"/>
      <c r="AF71" s="38"/>
      <c r="AG71" s="37" t="str">
        <f t="shared" si="6"/>
        <v>○</v>
      </c>
      <c r="AH71" s="37" t="str">
        <f t="shared" si="7"/>
        <v>○</v>
      </c>
      <c r="AI71" s="42">
        <f t="shared" si="8"/>
        <v>0</v>
      </c>
      <c r="AJ71" s="11"/>
    </row>
    <row r="72" spans="1:36" ht="27.75" customHeight="1">
      <c r="A72" s="37">
        <v>68</v>
      </c>
      <c r="B72" s="46" t="s">
        <v>314</v>
      </c>
      <c r="C72" s="46" t="s">
        <v>656</v>
      </c>
      <c r="D72" s="16"/>
      <c r="E72" s="55"/>
      <c r="F72" s="55"/>
      <c r="G72" s="55"/>
      <c r="H72" s="55"/>
      <c r="I72" s="55"/>
      <c r="J72" s="55"/>
      <c r="K72" s="55"/>
      <c r="L72" s="55"/>
      <c r="M72" s="55"/>
      <c r="N72" s="55"/>
      <c r="O72" s="55"/>
      <c r="P72" s="55"/>
      <c r="Q72" s="55"/>
      <c r="R72" s="55"/>
      <c r="S72" s="38"/>
      <c r="T72" s="38"/>
      <c r="U72" s="38"/>
      <c r="V72" s="38"/>
      <c r="W72" s="38"/>
      <c r="X72" s="38"/>
      <c r="Y72" s="38"/>
      <c r="Z72" s="38"/>
      <c r="AA72" s="38"/>
      <c r="AB72" s="38"/>
      <c r="AC72" s="38"/>
      <c r="AD72" s="38"/>
      <c r="AE72" s="38"/>
      <c r="AF72" s="38"/>
      <c r="AG72" s="37" t="str">
        <f t="shared" si="6"/>
        <v>○</v>
      </c>
      <c r="AH72" s="37" t="str">
        <f t="shared" si="7"/>
        <v>○</v>
      </c>
      <c r="AI72" s="42">
        <f t="shared" si="8"/>
        <v>0</v>
      </c>
      <c r="AJ72" s="11"/>
    </row>
    <row r="73" spans="1:36" ht="27.75" customHeight="1">
      <c r="A73" s="37">
        <v>69</v>
      </c>
      <c r="B73" s="46" t="s">
        <v>315</v>
      </c>
      <c r="C73" s="46" t="s">
        <v>657</v>
      </c>
      <c r="D73" s="16"/>
      <c r="E73" s="55"/>
      <c r="F73" s="55"/>
      <c r="G73" s="55"/>
      <c r="H73" s="55"/>
      <c r="I73" s="55"/>
      <c r="J73" s="55"/>
      <c r="K73" s="55"/>
      <c r="L73" s="55"/>
      <c r="M73" s="55"/>
      <c r="N73" s="55"/>
      <c r="O73" s="55"/>
      <c r="P73" s="55"/>
      <c r="Q73" s="55"/>
      <c r="R73" s="55"/>
      <c r="S73" s="38"/>
      <c r="T73" s="38"/>
      <c r="U73" s="38"/>
      <c r="V73" s="38"/>
      <c r="W73" s="38"/>
      <c r="X73" s="38"/>
      <c r="Y73" s="38"/>
      <c r="Z73" s="38"/>
      <c r="AA73" s="38"/>
      <c r="AB73" s="38"/>
      <c r="AC73" s="38"/>
      <c r="AD73" s="38"/>
      <c r="AE73" s="38"/>
      <c r="AF73" s="38"/>
      <c r="AG73" s="37" t="str">
        <f t="shared" si="6"/>
        <v>○</v>
      </c>
      <c r="AH73" s="37" t="str">
        <f t="shared" si="7"/>
        <v>○</v>
      </c>
      <c r="AI73" s="42">
        <f t="shared" si="8"/>
        <v>0</v>
      </c>
      <c r="AJ73" s="11"/>
    </row>
    <row r="74" spans="1:36" ht="27.75" customHeight="1">
      <c r="A74" s="37">
        <v>70</v>
      </c>
      <c r="B74" s="46" t="s">
        <v>316</v>
      </c>
      <c r="C74" s="46" t="s">
        <v>658</v>
      </c>
      <c r="D74" s="16"/>
      <c r="E74" s="55"/>
      <c r="F74" s="55"/>
      <c r="G74" s="55"/>
      <c r="H74" s="55"/>
      <c r="I74" s="55"/>
      <c r="J74" s="55"/>
      <c r="K74" s="55"/>
      <c r="L74" s="55"/>
      <c r="M74" s="55"/>
      <c r="N74" s="55"/>
      <c r="O74" s="55"/>
      <c r="P74" s="55"/>
      <c r="Q74" s="55"/>
      <c r="R74" s="55"/>
      <c r="S74" s="38"/>
      <c r="T74" s="38"/>
      <c r="U74" s="38"/>
      <c r="V74" s="38"/>
      <c r="W74" s="38"/>
      <c r="X74" s="38"/>
      <c r="Y74" s="38"/>
      <c r="Z74" s="38"/>
      <c r="AA74" s="38"/>
      <c r="AB74" s="38"/>
      <c r="AC74" s="38"/>
      <c r="AD74" s="38"/>
      <c r="AE74" s="38"/>
      <c r="AF74" s="38"/>
      <c r="AG74" s="37" t="str">
        <f t="shared" si="6"/>
        <v>○</v>
      </c>
      <c r="AH74" s="37" t="str">
        <f t="shared" si="7"/>
        <v>○</v>
      </c>
      <c r="AI74" s="42">
        <f t="shared" si="8"/>
        <v>0</v>
      </c>
      <c r="AJ74" s="11"/>
    </row>
    <row r="75" spans="1:36" ht="27.75" customHeight="1">
      <c r="A75" s="37">
        <v>71</v>
      </c>
      <c r="B75" s="46" t="s">
        <v>317</v>
      </c>
      <c r="C75" s="46" t="s">
        <v>659</v>
      </c>
      <c r="D75" s="16"/>
      <c r="E75" s="55"/>
      <c r="F75" s="55"/>
      <c r="G75" s="55"/>
      <c r="H75" s="55"/>
      <c r="I75" s="55"/>
      <c r="J75" s="55"/>
      <c r="K75" s="55"/>
      <c r="L75" s="55"/>
      <c r="M75" s="55"/>
      <c r="N75" s="55"/>
      <c r="O75" s="55"/>
      <c r="P75" s="55"/>
      <c r="Q75" s="55"/>
      <c r="R75" s="55"/>
      <c r="S75" s="38"/>
      <c r="T75" s="38"/>
      <c r="U75" s="38"/>
      <c r="V75" s="38"/>
      <c r="W75" s="38"/>
      <c r="X75" s="38"/>
      <c r="Y75" s="38"/>
      <c r="Z75" s="38"/>
      <c r="AA75" s="38"/>
      <c r="AB75" s="38"/>
      <c r="AC75" s="38"/>
      <c r="AD75" s="38"/>
      <c r="AE75" s="38"/>
      <c r="AF75" s="38"/>
      <c r="AG75" s="37" t="str">
        <f t="shared" si="6"/>
        <v>○</v>
      </c>
      <c r="AH75" s="37" t="str">
        <f t="shared" si="7"/>
        <v>○</v>
      </c>
      <c r="AI75" s="42">
        <f t="shared" si="8"/>
        <v>0</v>
      </c>
      <c r="AJ75" s="11"/>
    </row>
    <row r="76" spans="1:36" ht="27.75" customHeight="1">
      <c r="A76" s="37">
        <v>72</v>
      </c>
      <c r="B76" s="46" t="s">
        <v>318</v>
      </c>
      <c r="C76" s="46" t="s">
        <v>660</v>
      </c>
      <c r="D76" s="16"/>
      <c r="E76" s="55"/>
      <c r="F76" s="55"/>
      <c r="G76" s="55"/>
      <c r="H76" s="55"/>
      <c r="I76" s="55"/>
      <c r="J76" s="55"/>
      <c r="K76" s="55"/>
      <c r="L76" s="55"/>
      <c r="M76" s="55"/>
      <c r="N76" s="55"/>
      <c r="O76" s="55"/>
      <c r="P76" s="55"/>
      <c r="Q76" s="55"/>
      <c r="R76" s="55"/>
      <c r="S76" s="38"/>
      <c r="T76" s="38"/>
      <c r="U76" s="38"/>
      <c r="V76" s="38"/>
      <c r="W76" s="38"/>
      <c r="X76" s="38"/>
      <c r="Y76" s="38"/>
      <c r="Z76" s="38"/>
      <c r="AA76" s="38"/>
      <c r="AB76" s="38"/>
      <c r="AC76" s="38"/>
      <c r="AD76" s="38"/>
      <c r="AE76" s="38"/>
      <c r="AF76" s="38"/>
      <c r="AG76" s="37" t="str">
        <f t="shared" si="6"/>
        <v>○</v>
      </c>
      <c r="AH76" s="37" t="str">
        <f t="shared" si="7"/>
        <v>○</v>
      </c>
      <c r="AI76" s="42">
        <f t="shared" si="8"/>
        <v>0</v>
      </c>
      <c r="AJ76" s="11"/>
    </row>
    <row r="77" spans="1:36" ht="27.75" customHeight="1">
      <c r="A77" s="37">
        <v>73</v>
      </c>
      <c r="B77" s="46" t="s">
        <v>319</v>
      </c>
      <c r="C77" s="46" t="s">
        <v>661</v>
      </c>
      <c r="D77" s="16"/>
      <c r="E77" s="55"/>
      <c r="F77" s="55"/>
      <c r="G77" s="55"/>
      <c r="H77" s="55"/>
      <c r="I77" s="55"/>
      <c r="J77" s="55"/>
      <c r="K77" s="55"/>
      <c r="L77" s="55"/>
      <c r="M77" s="55"/>
      <c r="N77" s="55"/>
      <c r="O77" s="55"/>
      <c r="P77" s="55"/>
      <c r="Q77" s="55"/>
      <c r="R77" s="55"/>
      <c r="S77" s="38"/>
      <c r="T77" s="38"/>
      <c r="U77" s="38"/>
      <c r="V77" s="38"/>
      <c r="W77" s="38"/>
      <c r="X77" s="38"/>
      <c r="Y77" s="38"/>
      <c r="Z77" s="38"/>
      <c r="AA77" s="38"/>
      <c r="AB77" s="38"/>
      <c r="AC77" s="38"/>
      <c r="AD77" s="38"/>
      <c r="AE77" s="38"/>
      <c r="AF77" s="38"/>
      <c r="AG77" s="37" t="str">
        <f t="shared" si="6"/>
        <v>○</v>
      </c>
      <c r="AH77" s="37" t="str">
        <f t="shared" si="7"/>
        <v>○</v>
      </c>
      <c r="AI77" s="42">
        <f t="shared" si="8"/>
        <v>0</v>
      </c>
      <c r="AJ77" s="11"/>
    </row>
    <row r="78" spans="1:36" ht="27.75" customHeight="1">
      <c r="A78" s="37">
        <v>74</v>
      </c>
      <c r="B78" s="46" t="s">
        <v>320</v>
      </c>
      <c r="C78" s="46" t="s">
        <v>662</v>
      </c>
      <c r="D78" s="16"/>
      <c r="E78" s="55"/>
      <c r="F78" s="55"/>
      <c r="G78" s="55"/>
      <c r="H78" s="55"/>
      <c r="I78" s="55"/>
      <c r="J78" s="55"/>
      <c r="K78" s="55"/>
      <c r="L78" s="55"/>
      <c r="M78" s="55"/>
      <c r="N78" s="55"/>
      <c r="O78" s="55"/>
      <c r="P78" s="55"/>
      <c r="Q78" s="55"/>
      <c r="R78" s="55"/>
      <c r="S78" s="38"/>
      <c r="T78" s="38"/>
      <c r="U78" s="38"/>
      <c r="V78" s="38"/>
      <c r="W78" s="38"/>
      <c r="X78" s="38"/>
      <c r="Y78" s="38"/>
      <c r="Z78" s="38"/>
      <c r="AA78" s="38"/>
      <c r="AB78" s="38"/>
      <c r="AC78" s="38"/>
      <c r="AD78" s="38"/>
      <c r="AE78" s="38"/>
      <c r="AF78" s="38"/>
      <c r="AG78" s="37" t="str">
        <f t="shared" si="6"/>
        <v>○</v>
      </c>
      <c r="AH78" s="37" t="str">
        <f t="shared" si="7"/>
        <v>○</v>
      </c>
      <c r="AI78" s="42">
        <f t="shared" si="8"/>
        <v>0</v>
      </c>
      <c r="AJ78" s="11"/>
    </row>
    <row r="79" spans="1:36" ht="27.75" customHeight="1">
      <c r="A79" s="37">
        <v>75</v>
      </c>
      <c r="B79" s="46" t="s">
        <v>321</v>
      </c>
      <c r="C79" s="46" t="s">
        <v>663</v>
      </c>
      <c r="D79" s="16"/>
      <c r="E79" s="55"/>
      <c r="F79" s="55"/>
      <c r="G79" s="55"/>
      <c r="H79" s="55"/>
      <c r="I79" s="55"/>
      <c r="J79" s="55"/>
      <c r="K79" s="55"/>
      <c r="L79" s="55"/>
      <c r="M79" s="55"/>
      <c r="N79" s="55"/>
      <c r="O79" s="55"/>
      <c r="P79" s="55"/>
      <c r="Q79" s="55"/>
      <c r="R79" s="55"/>
      <c r="S79" s="38"/>
      <c r="T79" s="38"/>
      <c r="U79" s="38"/>
      <c r="V79" s="38"/>
      <c r="W79" s="38"/>
      <c r="X79" s="38"/>
      <c r="Y79" s="38"/>
      <c r="Z79" s="38"/>
      <c r="AA79" s="38"/>
      <c r="AB79" s="38"/>
      <c r="AC79" s="38"/>
      <c r="AD79" s="38"/>
      <c r="AE79" s="38"/>
      <c r="AF79" s="38"/>
      <c r="AG79" s="37" t="str">
        <f t="shared" si="6"/>
        <v>○</v>
      </c>
      <c r="AH79" s="37" t="str">
        <f t="shared" si="7"/>
        <v>○</v>
      </c>
      <c r="AI79" s="42">
        <f t="shared" si="8"/>
        <v>0</v>
      </c>
      <c r="AJ79" s="11"/>
    </row>
    <row r="80" spans="1:36" ht="27.75" customHeight="1">
      <c r="A80" s="37">
        <v>76</v>
      </c>
      <c r="B80" s="46" t="s">
        <v>322</v>
      </c>
      <c r="C80" s="46" t="s">
        <v>664</v>
      </c>
      <c r="D80" s="16"/>
      <c r="E80" s="55"/>
      <c r="F80" s="55"/>
      <c r="G80" s="55"/>
      <c r="H80" s="55"/>
      <c r="I80" s="55"/>
      <c r="J80" s="55"/>
      <c r="K80" s="55"/>
      <c r="L80" s="55"/>
      <c r="M80" s="55"/>
      <c r="N80" s="55"/>
      <c r="O80" s="55"/>
      <c r="P80" s="55"/>
      <c r="Q80" s="55"/>
      <c r="R80" s="55"/>
      <c r="S80" s="38"/>
      <c r="T80" s="38"/>
      <c r="U80" s="38"/>
      <c r="V80" s="38"/>
      <c r="W80" s="38"/>
      <c r="X80" s="38"/>
      <c r="Y80" s="38"/>
      <c r="Z80" s="38"/>
      <c r="AA80" s="38"/>
      <c r="AB80" s="38"/>
      <c r="AC80" s="38"/>
      <c r="AD80" s="38"/>
      <c r="AE80" s="38"/>
      <c r="AF80" s="38"/>
      <c r="AG80" s="37" t="str">
        <f t="shared" si="6"/>
        <v>○</v>
      </c>
      <c r="AH80" s="37" t="str">
        <f t="shared" si="7"/>
        <v>○</v>
      </c>
      <c r="AI80" s="42">
        <f t="shared" si="8"/>
        <v>0</v>
      </c>
      <c r="AJ80" s="11"/>
    </row>
    <row r="81" spans="1:36" ht="27.75" customHeight="1">
      <c r="A81" s="37">
        <v>77</v>
      </c>
      <c r="B81" s="46" t="s">
        <v>323</v>
      </c>
      <c r="C81" s="46" t="s">
        <v>665</v>
      </c>
      <c r="D81" s="16"/>
      <c r="E81" s="55"/>
      <c r="F81" s="55"/>
      <c r="G81" s="55"/>
      <c r="H81" s="55"/>
      <c r="I81" s="55"/>
      <c r="J81" s="55"/>
      <c r="K81" s="55"/>
      <c r="L81" s="55"/>
      <c r="M81" s="55"/>
      <c r="N81" s="55"/>
      <c r="O81" s="55"/>
      <c r="P81" s="55"/>
      <c r="Q81" s="55"/>
      <c r="R81" s="55"/>
      <c r="S81" s="38"/>
      <c r="T81" s="38"/>
      <c r="U81" s="38"/>
      <c r="V81" s="38"/>
      <c r="W81" s="38"/>
      <c r="X81" s="38"/>
      <c r="Y81" s="38"/>
      <c r="Z81" s="38"/>
      <c r="AA81" s="38"/>
      <c r="AB81" s="38"/>
      <c r="AC81" s="38"/>
      <c r="AD81" s="38"/>
      <c r="AE81" s="38"/>
      <c r="AF81" s="38"/>
      <c r="AG81" s="37" t="str">
        <f t="shared" si="6"/>
        <v>○</v>
      </c>
      <c r="AH81" s="37" t="str">
        <f t="shared" si="7"/>
        <v>○</v>
      </c>
      <c r="AI81" s="42">
        <f t="shared" si="8"/>
        <v>0</v>
      </c>
      <c r="AJ81" s="11"/>
    </row>
    <row r="82" spans="1:36" ht="27.75" customHeight="1">
      <c r="A82" s="37">
        <v>78</v>
      </c>
      <c r="B82" s="46" t="s">
        <v>324</v>
      </c>
      <c r="C82" s="46" t="s">
        <v>666</v>
      </c>
      <c r="D82" s="16"/>
      <c r="E82" s="55"/>
      <c r="F82" s="55"/>
      <c r="G82" s="55"/>
      <c r="H82" s="55"/>
      <c r="I82" s="55"/>
      <c r="J82" s="55"/>
      <c r="K82" s="55"/>
      <c r="L82" s="55"/>
      <c r="M82" s="55"/>
      <c r="N82" s="55"/>
      <c r="O82" s="55"/>
      <c r="P82" s="55"/>
      <c r="Q82" s="55"/>
      <c r="R82" s="55"/>
      <c r="S82" s="38"/>
      <c r="T82" s="38"/>
      <c r="U82" s="38"/>
      <c r="V82" s="38"/>
      <c r="W82" s="38"/>
      <c r="X82" s="38"/>
      <c r="Y82" s="38"/>
      <c r="Z82" s="38"/>
      <c r="AA82" s="38"/>
      <c r="AB82" s="38"/>
      <c r="AC82" s="38"/>
      <c r="AD82" s="38"/>
      <c r="AE82" s="38"/>
      <c r="AF82" s="38"/>
      <c r="AG82" s="37" t="str">
        <f t="shared" si="6"/>
        <v>○</v>
      </c>
      <c r="AH82" s="37" t="str">
        <f t="shared" si="7"/>
        <v>○</v>
      </c>
      <c r="AI82" s="42">
        <f t="shared" si="8"/>
        <v>0</v>
      </c>
      <c r="AJ82" s="11"/>
    </row>
    <row r="83" spans="1:36" ht="27.75" customHeight="1">
      <c r="A83" s="37">
        <v>79</v>
      </c>
      <c r="B83" s="46" t="s">
        <v>325</v>
      </c>
      <c r="C83" s="46" t="s">
        <v>667</v>
      </c>
      <c r="D83" s="16"/>
      <c r="E83" s="55"/>
      <c r="F83" s="55"/>
      <c r="G83" s="55"/>
      <c r="H83" s="55"/>
      <c r="I83" s="55"/>
      <c r="J83" s="55"/>
      <c r="K83" s="55"/>
      <c r="L83" s="55"/>
      <c r="M83" s="55"/>
      <c r="N83" s="55"/>
      <c r="O83" s="55"/>
      <c r="P83" s="55"/>
      <c r="Q83" s="55"/>
      <c r="R83" s="55"/>
      <c r="S83" s="38"/>
      <c r="T83" s="38"/>
      <c r="U83" s="38"/>
      <c r="V83" s="38"/>
      <c r="W83" s="38"/>
      <c r="X83" s="38"/>
      <c r="Y83" s="38"/>
      <c r="Z83" s="38"/>
      <c r="AA83" s="38"/>
      <c r="AB83" s="38"/>
      <c r="AC83" s="38"/>
      <c r="AD83" s="38"/>
      <c r="AE83" s="38"/>
      <c r="AF83" s="38"/>
      <c r="AG83" s="37" t="str">
        <f t="shared" si="6"/>
        <v>○</v>
      </c>
      <c r="AH83" s="37" t="str">
        <f t="shared" si="7"/>
        <v>○</v>
      </c>
      <c r="AI83" s="42">
        <f t="shared" si="8"/>
        <v>0</v>
      </c>
      <c r="AJ83" s="11"/>
    </row>
    <row r="84" spans="1:36" ht="27.75" customHeight="1">
      <c r="A84" s="37">
        <v>80</v>
      </c>
      <c r="B84" s="46" t="s">
        <v>326</v>
      </c>
      <c r="C84" s="45"/>
      <c r="D84" s="16"/>
      <c r="E84" s="55"/>
      <c r="F84" s="55"/>
      <c r="G84" s="55"/>
      <c r="H84" s="55"/>
      <c r="I84" s="55"/>
      <c r="J84" s="55"/>
      <c r="K84" s="55"/>
      <c r="L84" s="55"/>
      <c r="M84" s="55"/>
      <c r="N84" s="55"/>
      <c r="O84" s="55"/>
      <c r="P84" s="55"/>
      <c r="Q84" s="55"/>
      <c r="R84" s="55"/>
      <c r="S84" s="38"/>
      <c r="T84" s="38"/>
      <c r="U84" s="38"/>
      <c r="V84" s="38"/>
      <c r="W84" s="38"/>
      <c r="X84" s="38"/>
      <c r="Y84" s="38"/>
      <c r="Z84" s="38"/>
      <c r="AA84" s="38"/>
      <c r="AB84" s="38"/>
      <c r="AC84" s="38"/>
      <c r="AD84" s="38"/>
      <c r="AE84" s="38"/>
      <c r="AF84" s="38"/>
      <c r="AG84" s="37" t="str">
        <f t="shared" si="6"/>
        <v>○</v>
      </c>
      <c r="AH84" s="37" t="str">
        <f t="shared" si="7"/>
        <v>○</v>
      </c>
      <c r="AI84" s="42">
        <f t="shared" si="8"/>
        <v>0</v>
      </c>
      <c r="AJ84" s="11"/>
    </row>
    <row r="85" spans="1:36" ht="27.75" customHeight="1">
      <c r="A85" s="37">
        <v>81</v>
      </c>
      <c r="B85" s="46" t="s">
        <v>327</v>
      </c>
      <c r="C85" s="46" t="s">
        <v>668</v>
      </c>
      <c r="D85" s="16"/>
      <c r="E85" s="55"/>
      <c r="F85" s="55"/>
      <c r="G85" s="55"/>
      <c r="H85" s="55"/>
      <c r="I85" s="55"/>
      <c r="J85" s="55"/>
      <c r="K85" s="55"/>
      <c r="L85" s="55"/>
      <c r="M85" s="55"/>
      <c r="N85" s="55"/>
      <c r="O85" s="55"/>
      <c r="P85" s="55"/>
      <c r="Q85" s="55"/>
      <c r="R85" s="55"/>
      <c r="S85" s="38"/>
      <c r="T85" s="38"/>
      <c r="U85" s="38"/>
      <c r="V85" s="38"/>
      <c r="W85" s="38"/>
      <c r="X85" s="38"/>
      <c r="Y85" s="38"/>
      <c r="Z85" s="38"/>
      <c r="AA85" s="38"/>
      <c r="AB85" s="38"/>
      <c r="AC85" s="38"/>
      <c r="AD85" s="38"/>
      <c r="AE85" s="38"/>
      <c r="AF85" s="38"/>
      <c r="AG85" s="37" t="str">
        <f t="shared" si="6"/>
        <v>○</v>
      </c>
      <c r="AH85" s="37" t="str">
        <f t="shared" si="7"/>
        <v>○</v>
      </c>
      <c r="AI85" s="42">
        <f t="shared" si="8"/>
        <v>0</v>
      </c>
      <c r="AJ85" s="11"/>
    </row>
    <row r="86" spans="1:36" ht="27.75" customHeight="1">
      <c r="A86" s="37">
        <v>82</v>
      </c>
      <c r="B86" s="46" t="s">
        <v>328</v>
      </c>
      <c r="C86" s="46" t="s">
        <v>669</v>
      </c>
      <c r="D86" s="16"/>
      <c r="E86" s="55"/>
      <c r="F86" s="55"/>
      <c r="G86" s="55"/>
      <c r="H86" s="55"/>
      <c r="I86" s="55"/>
      <c r="J86" s="55"/>
      <c r="K86" s="55"/>
      <c r="L86" s="55"/>
      <c r="M86" s="55"/>
      <c r="N86" s="55"/>
      <c r="O86" s="55"/>
      <c r="P86" s="55"/>
      <c r="Q86" s="55"/>
      <c r="R86" s="55"/>
      <c r="S86" s="38"/>
      <c r="T86" s="38"/>
      <c r="U86" s="38"/>
      <c r="V86" s="38"/>
      <c r="W86" s="38"/>
      <c r="X86" s="38"/>
      <c r="Y86" s="38"/>
      <c r="Z86" s="38"/>
      <c r="AA86" s="38"/>
      <c r="AB86" s="38"/>
      <c r="AC86" s="38"/>
      <c r="AD86" s="38"/>
      <c r="AE86" s="38"/>
      <c r="AF86" s="38"/>
      <c r="AG86" s="37" t="str">
        <f t="shared" si="6"/>
        <v>○</v>
      </c>
      <c r="AH86" s="37" t="str">
        <f t="shared" si="7"/>
        <v>○</v>
      </c>
      <c r="AI86" s="42">
        <f t="shared" si="8"/>
        <v>0</v>
      </c>
      <c r="AJ86" s="11"/>
    </row>
    <row r="87" spans="1:36" ht="27.75" customHeight="1">
      <c r="A87" s="37">
        <v>83</v>
      </c>
      <c r="B87" s="46" t="s">
        <v>329</v>
      </c>
      <c r="C87" s="46" t="s">
        <v>670</v>
      </c>
      <c r="D87" s="16"/>
      <c r="E87" s="55"/>
      <c r="F87" s="55"/>
      <c r="G87" s="55"/>
      <c r="H87" s="55"/>
      <c r="I87" s="55"/>
      <c r="J87" s="55"/>
      <c r="K87" s="55"/>
      <c r="L87" s="55"/>
      <c r="M87" s="55"/>
      <c r="N87" s="55"/>
      <c r="O87" s="55"/>
      <c r="P87" s="55"/>
      <c r="Q87" s="55"/>
      <c r="R87" s="55"/>
      <c r="S87" s="38"/>
      <c r="T87" s="38"/>
      <c r="U87" s="38"/>
      <c r="V87" s="38"/>
      <c r="W87" s="38"/>
      <c r="X87" s="38"/>
      <c r="Y87" s="38"/>
      <c r="Z87" s="38"/>
      <c r="AA87" s="38"/>
      <c r="AB87" s="38"/>
      <c r="AC87" s="38"/>
      <c r="AD87" s="38"/>
      <c r="AE87" s="38"/>
      <c r="AF87" s="38"/>
      <c r="AG87" s="37" t="str">
        <f t="shared" si="6"/>
        <v>○</v>
      </c>
      <c r="AH87" s="37" t="str">
        <f t="shared" si="7"/>
        <v>○</v>
      </c>
      <c r="AI87" s="42">
        <f t="shared" si="8"/>
        <v>0</v>
      </c>
      <c r="AJ87" s="11"/>
    </row>
    <row r="88" spans="1:36" ht="27.75" customHeight="1">
      <c r="A88" s="37">
        <v>84</v>
      </c>
      <c r="B88" s="46" t="s">
        <v>330</v>
      </c>
      <c r="C88" s="46" t="s">
        <v>671</v>
      </c>
      <c r="D88" s="16"/>
      <c r="E88" s="55"/>
      <c r="F88" s="55"/>
      <c r="G88" s="55"/>
      <c r="H88" s="55"/>
      <c r="I88" s="55"/>
      <c r="J88" s="55"/>
      <c r="K88" s="55"/>
      <c r="L88" s="55"/>
      <c r="M88" s="55"/>
      <c r="N88" s="55"/>
      <c r="O88" s="55"/>
      <c r="P88" s="55"/>
      <c r="Q88" s="55"/>
      <c r="R88" s="55"/>
      <c r="S88" s="38"/>
      <c r="T88" s="38"/>
      <c r="U88" s="38"/>
      <c r="V88" s="38"/>
      <c r="W88" s="38"/>
      <c r="X88" s="38"/>
      <c r="Y88" s="38"/>
      <c r="Z88" s="38"/>
      <c r="AA88" s="38"/>
      <c r="AB88" s="38"/>
      <c r="AC88" s="38"/>
      <c r="AD88" s="38"/>
      <c r="AE88" s="38"/>
      <c r="AF88" s="38"/>
      <c r="AG88" s="37" t="str">
        <f t="shared" si="6"/>
        <v>○</v>
      </c>
      <c r="AH88" s="37" t="str">
        <f t="shared" si="7"/>
        <v>○</v>
      </c>
      <c r="AI88" s="42">
        <f t="shared" si="8"/>
        <v>0</v>
      </c>
      <c r="AJ88" s="11"/>
    </row>
    <row r="89" spans="1:36" ht="27.75" customHeight="1">
      <c r="A89" s="37">
        <v>85</v>
      </c>
      <c r="B89" s="46" t="s">
        <v>331</v>
      </c>
      <c r="C89" s="46" t="s">
        <v>672</v>
      </c>
      <c r="D89" s="16"/>
      <c r="E89" s="55"/>
      <c r="F89" s="55"/>
      <c r="G89" s="55"/>
      <c r="H89" s="55"/>
      <c r="I89" s="55"/>
      <c r="J89" s="55"/>
      <c r="K89" s="55"/>
      <c r="L89" s="55"/>
      <c r="M89" s="55"/>
      <c r="N89" s="55"/>
      <c r="O89" s="55"/>
      <c r="P89" s="55"/>
      <c r="Q89" s="55"/>
      <c r="R89" s="55"/>
      <c r="S89" s="38"/>
      <c r="T89" s="38"/>
      <c r="U89" s="38"/>
      <c r="V89" s="38"/>
      <c r="W89" s="38"/>
      <c r="X89" s="38"/>
      <c r="Y89" s="38"/>
      <c r="Z89" s="38"/>
      <c r="AA89" s="38"/>
      <c r="AB89" s="38"/>
      <c r="AC89" s="38"/>
      <c r="AD89" s="38"/>
      <c r="AE89" s="38"/>
      <c r="AF89" s="38"/>
      <c r="AG89" s="37" t="str">
        <f t="shared" si="6"/>
        <v>○</v>
      </c>
      <c r="AH89" s="37" t="str">
        <f t="shared" si="7"/>
        <v>○</v>
      </c>
      <c r="AI89" s="42">
        <f t="shared" si="8"/>
        <v>0</v>
      </c>
      <c r="AJ89" s="11"/>
    </row>
    <row r="90" spans="1:36" ht="27.75" customHeight="1">
      <c r="A90" s="37">
        <v>86</v>
      </c>
      <c r="B90" s="46" t="s">
        <v>332</v>
      </c>
      <c r="C90" s="46" t="s">
        <v>673</v>
      </c>
      <c r="D90" s="16"/>
      <c r="E90" s="55"/>
      <c r="F90" s="55"/>
      <c r="G90" s="55"/>
      <c r="H90" s="55"/>
      <c r="I90" s="55"/>
      <c r="J90" s="55"/>
      <c r="K90" s="55"/>
      <c r="L90" s="55"/>
      <c r="M90" s="55"/>
      <c r="N90" s="55"/>
      <c r="O90" s="55"/>
      <c r="P90" s="55"/>
      <c r="Q90" s="55"/>
      <c r="R90" s="55"/>
      <c r="S90" s="38"/>
      <c r="T90" s="38"/>
      <c r="U90" s="38"/>
      <c r="V90" s="38"/>
      <c r="W90" s="38"/>
      <c r="X90" s="38"/>
      <c r="Y90" s="38"/>
      <c r="Z90" s="38"/>
      <c r="AA90" s="38"/>
      <c r="AB90" s="38"/>
      <c r="AC90" s="38"/>
      <c r="AD90" s="38"/>
      <c r="AE90" s="38"/>
      <c r="AF90" s="38"/>
      <c r="AG90" s="37" t="str">
        <f t="shared" si="6"/>
        <v>○</v>
      </c>
      <c r="AH90" s="37" t="str">
        <f t="shared" si="7"/>
        <v>○</v>
      </c>
      <c r="AI90" s="42">
        <f t="shared" si="8"/>
        <v>0</v>
      </c>
      <c r="AJ90" s="11"/>
    </row>
    <row r="91" spans="1:36" ht="27.75" customHeight="1">
      <c r="A91" s="37">
        <v>87</v>
      </c>
      <c r="B91" s="46" t="s">
        <v>333</v>
      </c>
      <c r="C91" s="48" t="s">
        <v>674</v>
      </c>
      <c r="D91" s="16"/>
      <c r="E91" s="55"/>
      <c r="F91" s="55"/>
      <c r="G91" s="55"/>
      <c r="H91" s="55"/>
      <c r="I91" s="55"/>
      <c r="J91" s="55"/>
      <c r="K91" s="55"/>
      <c r="L91" s="55"/>
      <c r="M91" s="55"/>
      <c r="N91" s="55"/>
      <c r="O91" s="55"/>
      <c r="P91" s="55"/>
      <c r="Q91" s="55"/>
      <c r="R91" s="55"/>
      <c r="S91" s="38"/>
      <c r="T91" s="38"/>
      <c r="U91" s="38"/>
      <c r="V91" s="38"/>
      <c r="W91" s="38"/>
      <c r="X91" s="38"/>
      <c r="Y91" s="38"/>
      <c r="Z91" s="38"/>
      <c r="AA91" s="38"/>
      <c r="AB91" s="38"/>
      <c r="AC91" s="38"/>
      <c r="AD91" s="38"/>
      <c r="AE91" s="38"/>
      <c r="AF91" s="38"/>
      <c r="AG91" s="37" t="str">
        <f t="shared" si="6"/>
        <v>○</v>
      </c>
      <c r="AH91" s="37" t="str">
        <f t="shared" si="7"/>
        <v>○</v>
      </c>
      <c r="AI91" s="42">
        <f t="shared" si="8"/>
        <v>0</v>
      </c>
      <c r="AJ91" s="11"/>
    </row>
    <row r="92" spans="1:36" ht="27.75" customHeight="1">
      <c r="A92" s="37">
        <v>88</v>
      </c>
      <c r="B92" s="46" t="s">
        <v>334</v>
      </c>
      <c r="C92" s="46" t="s">
        <v>675</v>
      </c>
      <c r="D92" s="16"/>
      <c r="E92" s="55"/>
      <c r="F92" s="55"/>
      <c r="G92" s="55"/>
      <c r="H92" s="55"/>
      <c r="I92" s="55"/>
      <c r="J92" s="55"/>
      <c r="K92" s="55"/>
      <c r="L92" s="55"/>
      <c r="M92" s="55"/>
      <c r="N92" s="55"/>
      <c r="O92" s="55"/>
      <c r="P92" s="55"/>
      <c r="Q92" s="55"/>
      <c r="R92" s="55"/>
      <c r="S92" s="38"/>
      <c r="T92" s="38"/>
      <c r="U92" s="38"/>
      <c r="V92" s="38"/>
      <c r="W92" s="38"/>
      <c r="X92" s="38"/>
      <c r="Y92" s="38"/>
      <c r="Z92" s="38"/>
      <c r="AA92" s="38"/>
      <c r="AB92" s="38"/>
      <c r="AC92" s="38"/>
      <c r="AD92" s="38"/>
      <c r="AE92" s="38"/>
      <c r="AF92" s="38"/>
      <c r="AG92" s="37" t="str">
        <f t="shared" si="6"/>
        <v>○</v>
      </c>
      <c r="AH92" s="37" t="str">
        <f t="shared" si="7"/>
        <v>○</v>
      </c>
      <c r="AI92" s="42">
        <f t="shared" si="8"/>
        <v>0</v>
      </c>
      <c r="AJ92" s="11"/>
    </row>
    <row r="93" spans="1:36" ht="27.75" customHeight="1">
      <c r="A93" s="37">
        <v>89</v>
      </c>
      <c r="B93" s="46" t="s">
        <v>335</v>
      </c>
      <c r="C93" s="46" t="s">
        <v>676</v>
      </c>
      <c r="D93" s="16"/>
      <c r="E93" s="55"/>
      <c r="F93" s="55"/>
      <c r="G93" s="55"/>
      <c r="H93" s="55"/>
      <c r="I93" s="55"/>
      <c r="J93" s="55"/>
      <c r="K93" s="55"/>
      <c r="L93" s="55"/>
      <c r="M93" s="55"/>
      <c r="N93" s="55"/>
      <c r="O93" s="55"/>
      <c r="P93" s="55"/>
      <c r="Q93" s="55"/>
      <c r="R93" s="55"/>
      <c r="S93" s="38"/>
      <c r="T93" s="38"/>
      <c r="U93" s="38"/>
      <c r="V93" s="38"/>
      <c r="W93" s="38"/>
      <c r="X93" s="38"/>
      <c r="Y93" s="38"/>
      <c r="Z93" s="38"/>
      <c r="AA93" s="38"/>
      <c r="AB93" s="38"/>
      <c r="AC93" s="38"/>
      <c r="AD93" s="38"/>
      <c r="AE93" s="38"/>
      <c r="AF93" s="38"/>
      <c r="AG93" s="37" t="str">
        <f t="shared" si="6"/>
        <v>○</v>
      </c>
      <c r="AH93" s="37" t="str">
        <f t="shared" si="7"/>
        <v>○</v>
      </c>
      <c r="AI93" s="42">
        <f t="shared" si="8"/>
        <v>0</v>
      </c>
      <c r="AJ93" s="11"/>
    </row>
    <row r="94" spans="1:36" ht="27.75" customHeight="1">
      <c r="A94" s="37">
        <v>90</v>
      </c>
      <c r="B94" s="46" t="s">
        <v>336</v>
      </c>
      <c r="C94" s="46" t="s">
        <v>677</v>
      </c>
      <c r="D94" s="16"/>
      <c r="E94" s="55"/>
      <c r="F94" s="55"/>
      <c r="G94" s="55"/>
      <c r="H94" s="55"/>
      <c r="I94" s="55"/>
      <c r="J94" s="55"/>
      <c r="K94" s="55"/>
      <c r="L94" s="55"/>
      <c r="M94" s="55"/>
      <c r="N94" s="55"/>
      <c r="O94" s="55"/>
      <c r="P94" s="55"/>
      <c r="Q94" s="55"/>
      <c r="R94" s="55"/>
      <c r="S94" s="38"/>
      <c r="T94" s="38"/>
      <c r="U94" s="38"/>
      <c r="V94" s="38"/>
      <c r="W94" s="38"/>
      <c r="X94" s="38"/>
      <c r="Y94" s="38"/>
      <c r="Z94" s="38"/>
      <c r="AA94" s="38"/>
      <c r="AB94" s="38"/>
      <c r="AC94" s="38"/>
      <c r="AD94" s="38"/>
      <c r="AE94" s="38"/>
      <c r="AF94" s="38"/>
      <c r="AG94" s="37" t="str">
        <f t="shared" si="6"/>
        <v>○</v>
      </c>
      <c r="AH94" s="37" t="str">
        <f t="shared" si="7"/>
        <v>○</v>
      </c>
      <c r="AI94" s="42">
        <f t="shared" si="8"/>
        <v>0</v>
      </c>
      <c r="AJ94" s="11"/>
    </row>
    <row r="95" spans="1:36" ht="27.75" customHeight="1">
      <c r="A95" s="37">
        <v>91</v>
      </c>
      <c r="B95" s="46" t="s">
        <v>337</v>
      </c>
      <c r="C95" s="46" t="s">
        <v>678</v>
      </c>
      <c r="D95" s="16"/>
      <c r="E95" s="55"/>
      <c r="F95" s="55"/>
      <c r="G95" s="55"/>
      <c r="H95" s="55"/>
      <c r="I95" s="55"/>
      <c r="J95" s="55"/>
      <c r="K95" s="55"/>
      <c r="L95" s="55"/>
      <c r="M95" s="55"/>
      <c r="N95" s="55"/>
      <c r="O95" s="55"/>
      <c r="P95" s="55"/>
      <c r="Q95" s="55"/>
      <c r="R95" s="55"/>
      <c r="S95" s="38"/>
      <c r="T95" s="38"/>
      <c r="U95" s="38"/>
      <c r="V95" s="38"/>
      <c r="W95" s="38"/>
      <c r="X95" s="38"/>
      <c r="Y95" s="38"/>
      <c r="Z95" s="38"/>
      <c r="AA95" s="38"/>
      <c r="AB95" s="38"/>
      <c r="AC95" s="38"/>
      <c r="AD95" s="38"/>
      <c r="AE95" s="38"/>
      <c r="AF95" s="38"/>
      <c r="AG95" s="37" t="str">
        <f t="shared" si="6"/>
        <v>○</v>
      </c>
      <c r="AH95" s="37" t="str">
        <f t="shared" si="7"/>
        <v>○</v>
      </c>
      <c r="AI95" s="42">
        <f t="shared" si="8"/>
        <v>0</v>
      </c>
      <c r="AJ95" s="11"/>
    </row>
    <row r="96" spans="1:36" ht="27.75" customHeight="1">
      <c r="A96" s="37">
        <v>92</v>
      </c>
      <c r="B96" s="46" t="s">
        <v>338</v>
      </c>
      <c r="C96" s="46" t="s">
        <v>338</v>
      </c>
      <c r="D96" s="16"/>
      <c r="E96" s="55"/>
      <c r="F96" s="55"/>
      <c r="G96" s="55"/>
      <c r="H96" s="55"/>
      <c r="I96" s="55"/>
      <c r="J96" s="55"/>
      <c r="K96" s="55"/>
      <c r="L96" s="55"/>
      <c r="M96" s="55"/>
      <c r="N96" s="55"/>
      <c r="O96" s="55"/>
      <c r="P96" s="55"/>
      <c r="Q96" s="55"/>
      <c r="R96" s="55"/>
      <c r="S96" s="38"/>
      <c r="T96" s="38"/>
      <c r="U96" s="38"/>
      <c r="V96" s="38"/>
      <c r="W96" s="38"/>
      <c r="X96" s="38"/>
      <c r="Y96" s="38"/>
      <c r="Z96" s="38"/>
      <c r="AA96" s="38"/>
      <c r="AB96" s="38"/>
      <c r="AC96" s="38"/>
      <c r="AD96" s="38"/>
      <c r="AE96" s="38"/>
      <c r="AF96" s="38"/>
      <c r="AG96" s="37" t="str">
        <f t="shared" si="6"/>
        <v>○</v>
      </c>
      <c r="AH96" s="37" t="str">
        <f t="shared" si="7"/>
        <v>○</v>
      </c>
      <c r="AI96" s="42">
        <f t="shared" si="8"/>
        <v>0</v>
      </c>
      <c r="AJ96" s="11"/>
    </row>
    <row r="97" spans="1:36" ht="27.75" customHeight="1">
      <c r="A97" s="37">
        <v>93</v>
      </c>
      <c r="B97" s="46" t="s">
        <v>339</v>
      </c>
      <c r="C97" s="46" t="s">
        <v>679</v>
      </c>
      <c r="D97" s="16"/>
      <c r="E97" s="55"/>
      <c r="F97" s="55"/>
      <c r="G97" s="55"/>
      <c r="H97" s="55"/>
      <c r="I97" s="55"/>
      <c r="J97" s="55"/>
      <c r="K97" s="55"/>
      <c r="L97" s="55"/>
      <c r="M97" s="55"/>
      <c r="N97" s="55"/>
      <c r="O97" s="55"/>
      <c r="P97" s="55"/>
      <c r="Q97" s="55"/>
      <c r="R97" s="55"/>
      <c r="S97" s="38"/>
      <c r="T97" s="38"/>
      <c r="U97" s="38"/>
      <c r="V97" s="38"/>
      <c r="W97" s="38"/>
      <c r="X97" s="38"/>
      <c r="Y97" s="38"/>
      <c r="Z97" s="38"/>
      <c r="AA97" s="38"/>
      <c r="AB97" s="38"/>
      <c r="AC97" s="38"/>
      <c r="AD97" s="38"/>
      <c r="AE97" s="38"/>
      <c r="AF97" s="38"/>
      <c r="AG97" s="37" t="str">
        <f t="shared" si="6"/>
        <v>○</v>
      </c>
      <c r="AH97" s="37" t="str">
        <f t="shared" si="7"/>
        <v>○</v>
      </c>
      <c r="AI97" s="42">
        <f t="shared" si="8"/>
        <v>0</v>
      </c>
      <c r="AJ97" s="11"/>
    </row>
    <row r="98" spans="1:36" ht="27.75" customHeight="1">
      <c r="A98" s="37">
        <v>94</v>
      </c>
      <c r="B98" s="46" t="s">
        <v>340</v>
      </c>
      <c r="C98" s="46" t="s">
        <v>680</v>
      </c>
      <c r="D98" s="16"/>
      <c r="E98" s="55"/>
      <c r="F98" s="55"/>
      <c r="G98" s="55"/>
      <c r="H98" s="55"/>
      <c r="I98" s="55"/>
      <c r="J98" s="55"/>
      <c r="K98" s="55"/>
      <c r="L98" s="55"/>
      <c r="M98" s="55"/>
      <c r="N98" s="55"/>
      <c r="O98" s="55"/>
      <c r="P98" s="55"/>
      <c r="Q98" s="55"/>
      <c r="R98" s="55"/>
      <c r="S98" s="38"/>
      <c r="T98" s="38"/>
      <c r="U98" s="38"/>
      <c r="V98" s="38"/>
      <c r="W98" s="38"/>
      <c r="X98" s="38"/>
      <c r="Y98" s="38"/>
      <c r="Z98" s="38"/>
      <c r="AA98" s="38"/>
      <c r="AB98" s="38"/>
      <c r="AC98" s="38"/>
      <c r="AD98" s="38"/>
      <c r="AE98" s="38"/>
      <c r="AF98" s="38"/>
      <c r="AG98" s="37" t="str">
        <f t="shared" si="6"/>
        <v>○</v>
      </c>
      <c r="AH98" s="37" t="str">
        <f t="shared" si="7"/>
        <v>○</v>
      </c>
      <c r="AI98" s="42">
        <f t="shared" si="8"/>
        <v>0</v>
      </c>
      <c r="AJ98" s="11"/>
    </row>
    <row r="99" spans="1:36" ht="27.75" customHeight="1">
      <c r="A99" s="37">
        <v>95</v>
      </c>
      <c r="B99" s="46" t="s">
        <v>341</v>
      </c>
      <c r="C99" s="46" t="s">
        <v>681</v>
      </c>
      <c r="D99" s="16"/>
      <c r="E99" s="55"/>
      <c r="F99" s="55"/>
      <c r="G99" s="55"/>
      <c r="H99" s="55"/>
      <c r="I99" s="55"/>
      <c r="J99" s="55"/>
      <c r="K99" s="55"/>
      <c r="L99" s="55"/>
      <c r="M99" s="55"/>
      <c r="N99" s="55"/>
      <c r="O99" s="55"/>
      <c r="P99" s="55"/>
      <c r="Q99" s="55"/>
      <c r="R99" s="55"/>
      <c r="S99" s="38"/>
      <c r="T99" s="38"/>
      <c r="U99" s="38"/>
      <c r="V99" s="38"/>
      <c r="W99" s="38"/>
      <c r="X99" s="38"/>
      <c r="Y99" s="38"/>
      <c r="Z99" s="38"/>
      <c r="AA99" s="38"/>
      <c r="AB99" s="38"/>
      <c r="AC99" s="38"/>
      <c r="AD99" s="38"/>
      <c r="AE99" s="38"/>
      <c r="AF99" s="38"/>
      <c r="AG99" s="37" t="str">
        <f t="shared" si="6"/>
        <v>○</v>
      </c>
      <c r="AH99" s="37" t="str">
        <f t="shared" si="7"/>
        <v>○</v>
      </c>
      <c r="AI99" s="42">
        <f t="shared" si="8"/>
        <v>0</v>
      </c>
      <c r="AJ99" s="11"/>
    </row>
    <row r="100" spans="1:36" ht="27.75" customHeight="1">
      <c r="A100" s="37">
        <v>96</v>
      </c>
      <c r="B100" s="46" t="s">
        <v>342</v>
      </c>
      <c r="C100" s="46" t="s">
        <v>682</v>
      </c>
      <c r="D100" s="16"/>
      <c r="E100" s="55"/>
      <c r="F100" s="55"/>
      <c r="G100" s="55"/>
      <c r="H100" s="55"/>
      <c r="I100" s="55"/>
      <c r="J100" s="55"/>
      <c r="K100" s="55"/>
      <c r="L100" s="55"/>
      <c r="M100" s="55"/>
      <c r="N100" s="55"/>
      <c r="O100" s="55"/>
      <c r="P100" s="55"/>
      <c r="Q100" s="55"/>
      <c r="R100" s="55"/>
      <c r="S100" s="38"/>
      <c r="T100" s="38"/>
      <c r="U100" s="38"/>
      <c r="V100" s="38"/>
      <c r="W100" s="38"/>
      <c r="X100" s="38"/>
      <c r="Y100" s="38"/>
      <c r="Z100" s="38"/>
      <c r="AA100" s="38"/>
      <c r="AB100" s="38"/>
      <c r="AC100" s="38"/>
      <c r="AD100" s="38"/>
      <c r="AE100" s="38"/>
      <c r="AF100" s="38"/>
      <c r="AG100" s="37" t="str">
        <f t="shared" si="6"/>
        <v>○</v>
      </c>
      <c r="AH100" s="37" t="str">
        <f t="shared" si="7"/>
        <v>○</v>
      </c>
      <c r="AI100" s="42">
        <f t="shared" si="8"/>
        <v>0</v>
      </c>
      <c r="AJ100" s="11"/>
    </row>
    <row r="101" spans="1:36" ht="27.75" customHeight="1">
      <c r="A101" s="37">
        <v>97</v>
      </c>
      <c r="B101" s="46" t="s">
        <v>343</v>
      </c>
      <c r="C101" s="46" t="s">
        <v>683</v>
      </c>
      <c r="D101" s="16"/>
      <c r="E101" s="55"/>
      <c r="F101" s="55"/>
      <c r="G101" s="55"/>
      <c r="H101" s="55"/>
      <c r="I101" s="55"/>
      <c r="J101" s="55"/>
      <c r="K101" s="55"/>
      <c r="L101" s="55"/>
      <c r="M101" s="55"/>
      <c r="N101" s="55"/>
      <c r="O101" s="55"/>
      <c r="P101" s="55"/>
      <c r="Q101" s="55"/>
      <c r="R101" s="55"/>
      <c r="S101" s="38"/>
      <c r="T101" s="38"/>
      <c r="U101" s="38"/>
      <c r="V101" s="38"/>
      <c r="W101" s="38"/>
      <c r="X101" s="38"/>
      <c r="Y101" s="38"/>
      <c r="Z101" s="38"/>
      <c r="AA101" s="38"/>
      <c r="AB101" s="38"/>
      <c r="AC101" s="38"/>
      <c r="AD101" s="38"/>
      <c r="AE101" s="38"/>
      <c r="AF101" s="38"/>
      <c r="AG101" s="37" t="str">
        <f t="shared" ref="AG101:AG132" si="9">IF(AND(B101="",E101="",S101=""),"",IF(SUMPRODUCT(((E101:R101&gt;=1)&lt;&gt;(S101:AF101&gt;=1))*1)=0,"○","✗"))</f>
        <v>○</v>
      </c>
      <c r="AH101" s="37" t="str">
        <f t="shared" ref="AH101:AH132" si="10">IF(AG101="","",IF(AG101="✗","✗",IF(SUMPRODUCT((E101:R101&lt;&gt;S101:AF101)*1)=0,"○","✗")))</f>
        <v>○</v>
      </c>
      <c r="AI101" s="42">
        <f t="shared" ref="AI101:AI132" si="11">IF(AND(SUM(E101:R101)=0,SUM(S101:AF101)=0),0,(SUM(E101:R101)+SUM(S101:AF101))/2)</f>
        <v>0</v>
      </c>
      <c r="AJ101" s="11"/>
    </row>
    <row r="102" spans="1:36" ht="27.75" customHeight="1">
      <c r="A102" s="37">
        <v>98</v>
      </c>
      <c r="B102" s="46" t="s">
        <v>344</v>
      </c>
      <c r="C102" s="46" t="s">
        <v>684</v>
      </c>
      <c r="D102" s="16"/>
      <c r="E102" s="55"/>
      <c r="F102" s="55"/>
      <c r="G102" s="55"/>
      <c r="H102" s="55"/>
      <c r="I102" s="55"/>
      <c r="J102" s="55"/>
      <c r="K102" s="55"/>
      <c r="L102" s="55"/>
      <c r="M102" s="55"/>
      <c r="N102" s="55"/>
      <c r="O102" s="55"/>
      <c r="P102" s="55"/>
      <c r="Q102" s="55"/>
      <c r="R102" s="55"/>
      <c r="S102" s="38"/>
      <c r="T102" s="38"/>
      <c r="U102" s="38"/>
      <c r="V102" s="38"/>
      <c r="W102" s="38"/>
      <c r="X102" s="38"/>
      <c r="Y102" s="38"/>
      <c r="Z102" s="38"/>
      <c r="AA102" s="38"/>
      <c r="AB102" s="38"/>
      <c r="AC102" s="38"/>
      <c r="AD102" s="38"/>
      <c r="AE102" s="38"/>
      <c r="AF102" s="38"/>
      <c r="AG102" s="37" t="str">
        <f t="shared" si="9"/>
        <v>○</v>
      </c>
      <c r="AH102" s="37" t="str">
        <f t="shared" si="10"/>
        <v>○</v>
      </c>
      <c r="AI102" s="42">
        <f t="shared" si="11"/>
        <v>0</v>
      </c>
      <c r="AJ102" s="11"/>
    </row>
    <row r="103" spans="1:36" ht="27.75" customHeight="1">
      <c r="A103" s="37">
        <v>99</v>
      </c>
      <c r="B103" s="46" t="s">
        <v>345</v>
      </c>
      <c r="C103" s="46" t="s">
        <v>685</v>
      </c>
      <c r="D103" s="16"/>
      <c r="E103" s="55"/>
      <c r="F103" s="55"/>
      <c r="G103" s="55"/>
      <c r="H103" s="55"/>
      <c r="I103" s="55"/>
      <c r="J103" s="55"/>
      <c r="K103" s="55"/>
      <c r="L103" s="55"/>
      <c r="M103" s="55"/>
      <c r="N103" s="55"/>
      <c r="O103" s="55"/>
      <c r="P103" s="55"/>
      <c r="Q103" s="55"/>
      <c r="R103" s="55"/>
      <c r="S103" s="38"/>
      <c r="T103" s="38"/>
      <c r="U103" s="38"/>
      <c r="V103" s="38"/>
      <c r="W103" s="38"/>
      <c r="X103" s="38"/>
      <c r="Y103" s="38"/>
      <c r="Z103" s="38"/>
      <c r="AA103" s="38"/>
      <c r="AB103" s="38"/>
      <c r="AC103" s="38"/>
      <c r="AD103" s="38"/>
      <c r="AE103" s="38"/>
      <c r="AF103" s="38"/>
      <c r="AG103" s="37" t="str">
        <f t="shared" si="9"/>
        <v>○</v>
      </c>
      <c r="AH103" s="37" t="str">
        <f t="shared" si="10"/>
        <v>○</v>
      </c>
      <c r="AI103" s="42">
        <f t="shared" si="11"/>
        <v>0</v>
      </c>
      <c r="AJ103" s="11"/>
    </row>
    <row r="104" spans="1:36" ht="27.75" customHeight="1">
      <c r="A104" s="37">
        <v>100</v>
      </c>
      <c r="B104" s="46" t="s">
        <v>346</v>
      </c>
      <c r="C104" s="46" t="s">
        <v>686</v>
      </c>
      <c r="D104" s="16"/>
      <c r="E104" s="55"/>
      <c r="F104" s="55"/>
      <c r="G104" s="55"/>
      <c r="H104" s="55"/>
      <c r="I104" s="55"/>
      <c r="J104" s="55"/>
      <c r="K104" s="55"/>
      <c r="L104" s="55"/>
      <c r="M104" s="55"/>
      <c r="N104" s="55"/>
      <c r="O104" s="55"/>
      <c r="P104" s="55"/>
      <c r="Q104" s="55"/>
      <c r="R104" s="55"/>
      <c r="S104" s="38"/>
      <c r="T104" s="38"/>
      <c r="U104" s="38"/>
      <c r="V104" s="38"/>
      <c r="W104" s="38"/>
      <c r="X104" s="38"/>
      <c r="Y104" s="38"/>
      <c r="Z104" s="38"/>
      <c r="AA104" s="38"/>
      <c r="AB104" s="38"/>
      <c r="AC104" s="38"/>
      <c r="AD104" s="38"/>
      <c r="AE104" s="38"/>
      <c r="AF104" s="38"/>
      <c r="AG104" s="37" t="str">
        <f t="shared" si="9"/>
        <v>○</v>
      </c>
      <c r="AH104" s="37" t="str">
        <f t="shared" si="10"/>
        <v>○</v>
      </c>
      <c r="AI104" s="42">
        <f t="shared" si="11"/>
        <v>0</v>
      </c>
      <c r="AJ104" s="11"/>
    </row>
    <row r="105" spans="1:36" ht="27.75" customHeight="1">
      <c r="A105" s="37">
        <v>101</v>
      </c>
      <c r="B105" s="46" t="s">
        <v>347</v>
      </c>
      <c r="C105" s="46" t="s">
        <v>687</v>
      </c>
      <c r="D105" s="16"/>
      <c r="E105" s="55"/>
      <c r="F105" s="55"/>
      <c r="G105" s="55"/>
      <c r="H105" s="55"/>
      <c r="I105" s="55"/>
      <c r="J105" s="55"/>
      <c r="K105" s="55"/>
      <c r="L105" s="55"/>
      <c r="M105" s="55"/>
      <c r="N105" s="55"/>
      <c r="O105" s="55"/>
      <c r="P105" s="55"/>
      <c r="Q105" s="55"/>
      <c r="R105" s="55"/>
      <c r="S105" s="38"/>
      <c r="T105" s="38"/>
      <c r="U105" s="38"/>
      <c r="V105" s="38"/>
      <c r="W105" s="38"/>
      <c r="X105" s="38"/>
      <c r="Y105" s="38"/>
      <c r="Z105" s="38"/>
      <c r="AA105" s="38"/>
      <c r="AB105" s="38"/>
      <c r="AC105" s="38"/>
      <c r="AD105" s="38"/>
      <c r="AE105" s="38"/>
      <c r="AF105" s="38"/>
      <c r="AG105" s="37" t="str">
        <f t="shared" si="9"/>
        <v>○</v>
      </c>
      <c r="AH105" s="37" t="str">
        <f t="shared" si="10"/>
        <v>○</v>
      </c>
      <c r="AI105" s="42">
        <f t="shared" si="11"/>
        <v>0</v>
      </c>
      <c r="AJ105" s="11"/>
    </row>
    <row r="106" spans="1:36" ht="27.75" customHeight="1">
      <c r="A106" s="37">
        <v>102</v>
      </c>
      <c r="B106" s="46" t="s">
        <v>348</v>
      </c>
      <c r="C106" s="46" t="s">
        <v>688</v>
      </c>
      <c r="D106" s="16"/>
      <c r="E106" s="55"/>
      <c r="F106" s="55"/>
      <c r="G106" s="55"/>
      <c r="H106" s="55"/>
      <c r="I106" s="55"/>
      <c r="J106" s="55"/>
      <c r="K106" s="55"/>
      <c r="L106" s="55"/>
      <c r="M106" s="55"/>
      <c r="N106" s="55"/>
      <c r="O106" s="55"/>
      <c r="P106" s="55"/>
      <c r="Q106" s="55"/>
      <c r="R106" s="55"/>
      <c r="S106" s="38"/>
      <c r="T106" s="38"/>
      <c r="U106" s="38"/>
      <c r="V106" s="38"/>
      <c r="W106" s="38"/>
      <c r="X106" s="38"/>
      <c r="Y106" s="38"/>
      <c r="Z106" s="38"/>
      <c r="AA106" s="38"/>
      <c r="AB106" s="38"/>
      <c r="AC106" s="38"/>
      <c r="AD106" s="38"/>
      <c r="AE106" s="38"/>
      <c r="AF106" s="38"/>
      <c r="AG106" s="37" t="str">
        <f t="shared" si="9"/>
        <v>○</v>
      </c>
      <c r="AH106" s="37" t="str">
        <f t="shared" si="10"/>
        <v>○</v>
      </c>
      <c r="AI106" s="42">
        <f t="shared" si="11"/>
        <v>0</v>
      </c>
      <c r="AJ106" s="11"/>
    </row>
    <row r="107" spans="1:36" ht="27.75" customHeight="1">
      <c r="A107" s="37">
        <v>103</v>
      </c>
      <c r="B107" s="46" t="s">
        <v>349</v>
      </c>
      <c r="C107" s="46" t="s">
        <v>689</v>
      </c>
      <c r="D107" s="16"/>
      <c r="E107" s="55"/>
      <c r="F107" s="55"/>
      <c r="G107" s="55"/>
      <c r="H107" s="55"/>
      <c r="I107" s="55"/>
      <c r="J107" s="55"/>
      <c r="K107" s="55"/>
      <c r="L107" s="55"/>
      <c r="M107" s="55"/>
      <c r="N107" s="55"/>
      <c r="O107" s="55"/>
      <c r="P107" s="55"/>
      <c r="Q107" s="55"/>
      <c r="R107" s="55"/>
      <c r="S107" s="38"/>
      <c r="T107" s="38"/>
      <c r="U107" s="38"/>
      <c r="V107" s="38"/>
      <c r="W107" s="38"/>
      <c r="X107" s="38"/>
      <c r="Y107" s="38"/>
      <c r="Z107" s="38"/>
      <c r="AA107" s="38"/>
      <c r="AB107" s="38"/>
      <c r="AC107" s="38"/>
      <c r="AD107" s="38"/>
      <c r="AE107" s="38"/>
      <c r="AF107" s="38"/>
      <c r="AG107" s="37" t="str">
        <f t="shared" si="9"/>
        <v>○</v>
      </c>
      <c r="AH107" s="37" t="str">
        <f t="shared" si="10"/>
        <v>○</v>
      </c>
      <c r="AI107" s="42">
        <f t="shared" si="11"/>
        <v>0</v>
      </c>
      <c r="AJ107" s="11"/>
    </row>
    <row r="108" spans="1:36" ht="27.75" customHeight="1">
      <c r="A108" s="37">
        <v>104</v>
      </c>
      <c r="B108" s="46" t="s">
        <v>350</v>
      </c>
      <c r="C108" s="46" t="s">
        <v>690</v>
      </c>
      <c r="D108" s="16"/>
      <c r="E108" s="55"/>
      <c r="F108" s="55"/>
      <c r="G108" s="55"/>
      <c r="H108" s="55"/>
      <c r="I108" s="55"/>
      <c r="J108" s="55"/>
      <c r="K108" s="55"/>
      <c r="L108" s="55"/>
      <c r="M108" s="55"/>
      <c r="N108" s="55"/>
      <c r="O108" s="55"/>
      <c r="P108" s="55"/>
      <c r="Q108" s="55"/>
      <c r="R108" s="55"/>
      <c r="S108" s="38"/>
      <c r="T108" s="38"/>
      <c r="U108" s="38"/>
      <c r="V108" s="38"/>
      <c r="W108" s="38"/>
      <c r="X108" s="38"/>
      <c r="Y108" s="38"/>
      <c r="Z108" s="38"/>
      <c r="AA108" s="38"/>
      <c r="AB108" s="38"/>
      <c r="AC108" s="38"/>
      <c r="AD108" s="38"/>
      <c r="AE108" s="38"/>
      <c r="AF108" s="38"/>
      <c r="AG108" s="37" t="str">
        <f t="shared" si="9"/>
        <v>○</v>
      </c>
      <c r="AH108" s="37" t="str">
        <f t="shared" si="10"/>
        <v>○</v>
      </c>
      <c r="AI108" s="42">
        <f t="shared" si="11"/>
        <v>0</v>
      </c>
      <c r="AJ108" s="11"/>
    </row>
    <row r="109" spans="1:36" ht="27.75" customHeight="1">
      <c r="A109" s="37">
        <v>105</v>
      </c>
      <c r="B109" s="46" t="s">
        <v>351</v>
      </c>
      <c r="C109" s="46" t="s">
        <v>691</v>
      </c>
      <c r="D109" s="16"/>
      <c r="E109" s="55"/>
      <c r="F109" s="55"/>
      <c r="G109" s="55"/>
      <c r="H109" s="55"/>
      <c r="I109" s="55"/>
      <c r="J109" s="55"/>
      <c r="K109" s="55"/>
      <c r="L109" s="55"/>
      <c r="M109" s="55"/>
      <c r="N109" s="55"/>
      <c r="O109" s="55"/>
      <c r="P109" s="55"/>
      <c r="Q109" s="55"/>
      <c r="R109" s="55"/>
      <c r="S109" s="38"/>
      <c r="T109" s="38"/>
      <c r="U109" s="38"/>
      <c r="V109" s="38"/>
      <c r="W109" s="38"/>
      <c r="X109" s="38"/>
      <c r="Y109" s="38"/>
      <c r="Z109" s="38"/>
      <c r="AA109" s="38"/>
      <c r="AB109" s="38"/>
      <c r="AC109" s="38"/>
      <c r="AD109" s="38"/>
      <c r="AE109" s="38"/>
      <c r="AF109" s="38"/>
      <c r="AG109" s="37" t="str">
        <f t="shared" si="9"/>
        <v>○</v>
      </c>
      <c r="AH109" s="37" t="str">
        <f t="shared" si="10"/>
        <v>○</v>
      </c>
      <c r="AI109" s="42">
        <f t="shared" si="11"/>
        <v>0</v>
      </c>
      <c r="AJ109" s="11"/>
    </row>
    <row r="110" spans="1:36" ht="27.75" customHeight="1">
      <c r="A110" s="37">
        <v>106</v>
      </c>
      <c r="B110" s="46" t="s">
        <v>352</v>
      </c>
      <c r="C110" s="46" t="s">
        <v>692</v>
      </c>
      <c r="D110" s="16"/>
      <c r="E110" s="55"/>
      <c r="F110" s="55"/>
      <c r="G110" s="55"/>
      <c r="H110" s="55"/>
      <c r="I110" s="55"/>
      <c r="J110" s="55"/>
      <c r="K110" s="55"/>
      <c r="L110" s="55"/>
      <c r="M110" s="55"/>
      <c r="N110" s="55"/>
      <c r="O110" s="55"/>
      <c r="P110" s="55"/>
      <c r="Q110" s="55"/>
      <c r="R110" s="55"/>
      <c r="S110" s="38"/>
      <c r="T110" s="38"/>
      <c r="U110" s="38"/>
      <c r="V110" s="38"/>
      <c r="W110" s="38"/>
      <c r="X110" s="38"/>
      <c r="Y110" s="38"/>
      <c r="Z110" s="38"/>
      <c r="AA110" s="38"/>
      <c r="AB110" s="38"/>
      <c r="AC110" s="38"/>
      <c r="AD110" s="38"/>
      <c r="AE110" s="38"/>
      <c r="AF110" s="38"/>
      <c r="AG110" s="37" t="str">
        <f t="shared" si="9"/>
        <v>○</v>
      </c>
      <c r="AH110" s="37" t="str">
        <f t="shared" si="10"/>
        <v>○</v>
      </c>
      <c r="AI110" s="42">
        <f t="shared" si="11"/>
        <v>0</v>
      </c>
      <c r="AJ110" s="11"/>
    </row>
    <row r="111" spans="1:36" ht="27.75" customHeight="1">
      <c r="A111" s="37">
        <v>107</v>
      </c>
      <c r="B111" s="46" t="s">
        <v>353</v>
      </c>
      <c r="C111" s="46" t="s">
        <v>693</v>
      </c>
      <c r="D111" s="16"/>
      <c r="E111" s="55"/>
      <c r="F111" s="55"/>
      <c r="G111" s="55"/>
      <c r="H111" s="55"/>
      <c r="I111" s="55"/>
      <c r="J111" s="55"/>
      <c r="K111" s="55"/>
      <c r="L111" s="55"/>
      <c r="M111" s="55"/>
      <c r="N111" s="55"/>
      <c r="O111" s="55"/>
      <c r="P111" s="55"/>
      <c r="Q111" s="55"/>
      <c r="R111" s="55"/>
      <c r="S111" s="38"/>
      <c r="T111" s="38"/>
      <c r="U111" s="38"/>
      <c r="V111" s="38"/>
      <c r="W111" s="38"/>
      <c r="X111" s="38"/>
      <c r="Y111" s="38"/>
      <c r="Z111" s="38"/>
      <c r="AA111" s="38"/>
      <c r="AB111" s="38"/>
      <c r="AC111" s="38"/>
      <c r="AD111" s="38"/>
      <c r="AE111" s="38"/>
      <c r="AF111" s="38"/>
      <c r="AG111" s="37" t="str">
        <f t="shared" si="9"/>
        <v>○</v>
      </c>
      <c r="AH111" s="37" t="str">
        <f t="shared" si="10"/>
        <v>○</v>
      </c>
      <c r="AI111" s="42">
        <f t="shared" si="11"/>
        <v>0</v>
      </c>
      <c r="AJ111" s="11"/>
    </row>
    <row r="112" spans="1:36" ht="27.75" customHeight="1">
      <c r="A112" s="37">
        <v>108</v>
      </c>
      <c r="B112" s="46" t="s">
        <v>354</v>
      </c>
      <c r="C112" s="46" t="s">
        <v>694</v>
      </c>
      <c r="D112" s="16"/>
      <c r="E112" s="55"/>
      <c r="F112" s="55"/>
      <c r="G112" s="55"/>
      <c r="H112" s="55"/>
      <c r="I112" s="55"/>
      <c r="J112" s="55"/>
      <c r="K112" s="55"/>
      <c r="L112" s="55"/>
      <c r="M112" s="55"/>
      <c r="N112" s="55"/>
      <c r="O112" s="55"/>
      <c r="P112" s="55"/>
      <c r="Q112" s="55"/>
      <c r="R112" s="55"/>
      <c r="S112" s="38"/>
      <c r="T112" s="38"/>
      <c r="U112" s="38"/>
      <c r="V112" s="38"/>
      <c r="W112" s="38"/>
      <c r="X112" s="38"/>
      <c r="Y112" s="38"/>
      <c r="Z112" s="38"/>
      <c r="AA112" s="38"/>
      <c r="AB112" s="38"/>
      <c r="AC112" s="38"/>
      <c r="AD112" s="38"/>
      <c r="AE112" s="38"/>
      <c r="AF112" s="38"/>
      <c r="AG112" s="37" t="str">
        <f t="shared" si="9"/>
        <v>○</v>
      </c>
      <c r="AH112" s="37" t="str">
        <f t="shared" si="10"/>
        <v>○</v>
      </c>
      <c r="AI112" s="42">
        <f t="shared" si="11"/>
        <v>0</v>
      </c>
      <c r="AJ112" s="11"/>
    </row>
    <row r="113" spans="1:36" ht="27.75" customHeight="1">
      <c r="A113" s="37">
        <v>109</v>
      </c>
      <c r="B113" s="46" t="s">
        <v>355</v>
      </c>
      <c r="C113" s="46" t="s">
        <v>695</v>
      </c>
      <c r="D113" s="16"/>
      <c r="E113" s="55"/>
      <c r="F113" s="55"/>
      <c r="G113" s="55"/>
      <c r="H113" s="55"/>
      <c r="I113" s="55"/>
      <c r="J113" s="55"/>
      <c r="K113" s="55"/>
      <c r="L113" s="55"/>
      <c r="M113" s="55"/>
      <c r="N113" s="55"/>
      <c r="O113" s="55"/>
      <c r="P113" s="55"/>
      <c r="Q113" s="55"/>
      <c r="R113" s="55"/>
      <c r="S113" s="38"/>
      <c r="T113" s="38"/>
      <c r="U113" s="38"/>
      <c r="V113" s="38"/>
      <c r="W113" s="38"/>
      <c r="X113" s="38"/>
      <c r="Y113" s="38"/>
      <c r="Z113" s="38"/>
      <c r="AA113" s="38"/>
      <c r="AB113" s="38"/>
      <c r="AC113" s="38"/>
      <c r="AD113" s="38"/>
      <c r="AE113" s="38"/>
      <c r="AF113" s="38"/>
      <c r="AG113" s="37" t="str">
        <f t="shared" si="9"/>
        <v>○</v>
      </c>
      <c r="AH113" s="37" t="str">
        <f t="shared" si="10"/>
        <v>○</v>
      </c>
      <c r="AI113" s="42">
        <f t="shared" si="11"/>
        <v>0</v>
      </c>
      <c r="AJ113" s="11"/>
    </row>
    <row r="114" spans="1:36" ht="27.75" customHeight="1">
      <c r="A114" s="37">
        <v>110</v>
      </c>
      <c r="B114" s="46" t="s">
        <v>356</v>
      </c>
      <c r="C114" s="46" t="s">
        <v>696</v>
      </c>
      <c r="D114" s="16"/>
      <c r="E114" s="55"/>
      <c r="F114" s="55"/>
      <c r="G114" s="55"/>
      <c r="H114" s="55"/>
      <c r="I114" s="55"/>
      <c r="J114" s="55"/>
      <c r="K114" s="55"/>
      <c r="L114" s="55"/>
      <c r="M114" s="55"/>
      <c r="N114" s="55"/>
      <c r="O114" s="55"/>
      <c r="P114" s="55"/>
      <c r="Q114" s="55"/>
      <c r="R114" s="55"/>
      <c r="S114" s="38"/>
      <c r="T114" s="38"/>
      <c r="U114" s="38"/>
      <c r="V114" s="38"/>
      <c r="W114" s="38"/>
      <c r="X114" s="38"/>
      <c r="Y114" s="38"/>
      <c r="Z114" s="38"/>
      <c r="AA114" s="38"/>
      <c r="AB114" s="38"/>
      <c r="AC114" s="38"/>
      <c r="AD114" s="38"/>
      <c r="AE114" s="38"/>
      <c r="AF114" s="38"/>
      <c r="AG114" s="37" t="str">
        <f t="shared" si="9"/>
        <v>○</v>
      </c>
      <c r="AH114" s="37" t="str">
        <f t="shared" si="10"/>
        <v>○</v>
      </c>
      <c r="AI114" s="42">
        <f t="shared" si="11"/>
        <v>0</v>
      </c>
      <c r="AJ114" s="11"/>
    </row>
    <row r="115" spans="1:36" ht="27.75" customHeight="1">
      <c r="A115" s="37">
        <v>111</v>
      </c>
      <c r="B115" s="46" t="s">
        <v>357</v>
      </c>
      <c r="C115" s="46" t="s">
        <v>697</v>
      </c>
      <c r="D115" s="16"/>
      <c r="E115" s="55"/>
      <c r="F115" s="55"/>
      <c r="G115" s="55"/>
      <c r="H115" s="55"/>
      <c r="I115" s="55"/>
      <c r="J115" s="55"/>
      <c r="K115" s="55"/>
      <c r="L115" s="55"/>
      <c r="M115" s="55"/>
      <c r="N115" s="55"/>
      <c r="O115" s="55"/>
      <c r="P115" s="55"/>
      <c r="Q115" s="55"/>
      <c r="R115" s="55"/>
      <c r="S115" s="38"/>
      <c r="T115" s="38"/>
      <c r="U115" s="38"/>
      <c r="V115" s="38"/>
      <c r="W115" s="38"/>
      <c r="X115" s="38"/>
      <c r="Y115" s="38"/>
      <c r="Z115" s="38"/>
      <c r="AA115" s="38"/>
      <c r="AB115" s="38"/>
      <c r="AC115" s="38"/>
      <c r="AD115" s="38"/>
      <c r="AE115" s="38"/>
      <c r="AF115" s="38"/>
      <c r="AG115" s="37" t="str">
        <f t="shared" si="9"/>
        <v>○</v>
      </c>
      <c r="AH115" s="37" t="str">
        <f t="shared" si="10"/>
        <v>○</v>
      </c>
      <c r="AI115" s="42">
        <f t="shared" si="11"/>
        <v>0</v>
      </c>
      <c r="AJ115" s="11"/>
    </row>
    <row r="116" spans="1:36" ht="27.75" customHeight="1">
      <c r="A116" s="37">
        <v>112</v>
      </c>
      <c r="B116" s="46" t="s">
        <v>358</v>
      </c>
      <c r="C116" s="46" t="s">
        <v>698</v>
      </c>
      <c r="D116" s="16"/>
      <c r="E116" s="55"/>
      <c r="F116" s="55"/>
      <c r="G116" s="55"/>
      <c r="H116" s="55"/>
      <c r="I116" s="55"/>
      <c r="J116" s="55"/>
      <c r="K116" s="55"/>
      <c r="L116" s="55"/>
      <c r="M116" s="55"/>
      <c r="N116" s="55"/>
      <c r="O116" s="55"/>
      <c r="P116" s="55"/>
      <c r="Q116" s="55"/>
      <c r="R116" s="55"/>
      <c r="S116" s="38"/>
      <c r="T116" s="38"/>
      <c r="U116" s="38"/>
      <c r="V116" s="38"/>
      <c r="W116" s="38"/>
      <c r="X116" s="38"/>
      <c r="Y116" s="38"/>
      <c r="Z116" s="38"/>
      <c r="AA116" s="38"/>
      <c r="AB116" s="38"/>
      <c r="AC116" s="38"/>
      <c r="AD116" s="38"/>
      <c r="AE116" s="38"/>
      <c r="AF116" s="38"/>
      <c r="AG116" s="37" t="str">
        <f t="shared" si="9"/>
        <v>○</v>
      </c>
      <c r="AH116" s="37" t="str">
        <f t="shared" si="10"/>
        <v>○</v>
      </c>
      <c r="AI116" s="42">
        <f t="shared" si="11"/>
        <v>0</v>
      </c>
      <c r="AJ116" s="11"/>
    </row>
    <row r="117" spans="1:36" ht="27.75" customHeight="1">
      <c r="A117" s="37">
        <v>113</v>
      </c>
      <c r="B117" s="46" t="s">
        <v>359</v>
      </c>
      <c r="C117" s="46" t="s">
        <v>699</v>
      </c>
      <c r="D117" s="16"/>
      <c r="E117" s="55"/>
      <c r="F117" s="55"/>
      <c r="G117" s="55"/>
      <c r="H117" s="55"/>
      <c r="I117" s="55"/>
      <c r="J117" s="55"/>
      <c r="K117" s="55"/>
      <c r="L117" s="55"/>
      <c r="M117" s="55"/>
      <c r="N117" s="55"/>
      <c r="O117" s="55"/>
      <c r="P117" s="55"/>
      <c r="Q117" s="55"/>
      <c r="R117" s="55"/>
      <c r="S117" s="38"/>
      <c r="T117" s="38"/>
      <c r="U117" s="38"/>
      <c r="V117" s="38"/>
      <c r="W117" s="38"/>
      <c r="X117" s="38"/>
      <c r="Y117" s="38"/>
      <c r="Z117" s="38"/>
      <c r="AA117" s="38"/>
      <c r="AB117" s="38"/>
      <c r="AC117" s="38"/>
      <c r="AD117" s="38"/>
      <c r="AE117" s="38"/>
      <c r="AF117" s="38"/>
      <c r="AG117" s="37" t="str">
        <f t="shared" si="9"/>
        <v>○</v>
      </c>
      <c r="AH117" s="37" t="str">
        <f t="shared" si="10"/>
        <v>○</v>
      </c>
      <c r="AI117" s="42">
        <f t="shared" si="11"/>
        <v>0</v>
      </c>
      <c r="AJ117" s="11"/>
    </row>
    <row r="118" spans="1:36" ht="27.75" customHeight="1">
      <c r="A118" s="37">
        <v>114</v>
      </c>
      <c r="B118" s="46" t="s">
        <v>360</v>
      </c>
      <c r="C118" s="46" t="s">
        <v>700</v>
      </c>
      <c r="D118" s="16"/>
      <c r="E118" s="55"/>
      <c r="F118" s="55"/>
      <c r="G118" s="55"/>
      <c r="H118" s="55"/>
      <c r="I118" s="55"/>
      <c r="J118" s="55"/>
      <c r="K118" s="55"/>
      <c r="L118" s="55"/>
      <c r="M118" s="55"/>
      <c r="N118" s="55"/>
      <c r="O118" s="55"/>
      <c r="P118" s="55"/>
      <c r="Q118" s="55"/>
      <c r="R118" s="55"/>
      <c r="S118" s="38"/>
      <c r="T118" s="38"/>
      <c r="U118" s="38"/>
      <c r="V118" s="38"/>
      <c r="W118" s="38"/>
      <c r="X118" s="38"/>
      <c r="Y118" s="38"/>
      <c r="Z118" s="38"/>
      <c r="AA118" s="38"/>
      <c r="AB118" s="38"/>
      <c r="AC118" s="38"/>
      <c r="AD118" s="38"/>
      <c r="AE118" s="38"/>
      <c r="AF118" s="38"/>
      <c r="AG118" s="37" t="str">
        <f t="shared" si="9"/>
        <v>○</v>
      </c>
      <c r="AH118" s="37" t="str">
        <f t="shared" si="10"/>
        <v>○</v>
      </c>
      <c r="AI118" s="42">
        <f t="shared" si="11"/>
        <v>0</v>
      </c>
      <c r="AJ118" s="11"/>
    </row>
    <row r="119" spans="1:36" ht="27.75" customHeight="1">
      <c r="A119" s="37">
        <v>115</v>
      </c>
      <c r="B119" s="46" t="s">
        <v>361</v>
      </c>
      <c r="C119" s="46" t="s">
        <v>701</v>
      </c>
      <c r="D119" s="16"/>
      <c r="E119" s="55"/>
      <c r="F119" s="55"/>
      <c r="G119" s="55"/>
      <c r="H119" s="55"/>
      <c r="I119" s="55"/>
      <c r="J119" s="55"/>
      <c r="K119" s="55"/>
      <c r="L119" s="55"/>
      <c r="M119" s="55"/>
      <c r="N119" s="55"/>
      <c r="O119" s="55"/>
      <c r="P119" s="55"/>
      <c r="Q119" s="55"/>
      <c r="R119" s="55"/>
      <c r="S119" s="38"/>
      <c r="T119" s="38"/>
      <c r="U119" s="38"/>
      <c r="V119" s="38"/>
      <c r="W119" s="38"/>
      <c r="X119" s="38"/>
      <c r="Y119" s="38"/>
      <c r="Z119" s="38"/>
      <c r="AA119" s="38"/>
      <c r="AB119" s="38"/>
      <c r="AC119" s="38"/>
      <c r="AD119" s="38"/>
      <c r="AE119" s="38"/>
      <c r="AF119" s="38"/>
      <c r="AG119" s="37" t="str">
        <f t="shared" si="9"/>
        <v>○</v>
      </c>
      <c r="AH119" s="37" t="str">
        <f t="shared" si="10"/>
        <v>○</v>
      </c>
      <c r="AI119" s="42">
        <f t="shared" si="11"/>
        <v>0</v>
      </c>
      <c r="AJ119" s="11"/>
    </row>
    <row r="120" spans="1:36" ht="27.75" customHeight="1">
      <c r="A120" s="37">
        <v>116</v>
      </c>
      <c r="B120" s="46" t="s">
        <v>362</v>
      </c>
      <c r="C120" s="46" t="s">
        <v>702</v>
      </c>
      <c r="D120" s="16"/>
      <c r="E120" s="55"/>
      <c r="F120" s="55"/>
      <c r="G120" s="55"/>
      <c r="H120" s="55"/>
      <c r="I120" s="55"/>
      <c r="J120" s="55"/>
      <c r="K120" s="55"/>
      <c r="L120" s="55"/>
      <c r="M120" s="55"/>
      <c r="N120" s="55"/>
      <c r="O120" s="55"/>
      <c r="P120" s="55"/>
      <c r="Q120" s="55"/>
      <c r="R120" s="55"/>
      <c r="S120" s="38"/>
      <c r="T120" s="38"/>
      <c r="U120" s="38"/>
      <c r="V120" s="38"/>
      <c r="W120" s="38"/>
      <c r="X120" s="38"/>
      <c r="Y120" s="38"/>
      <c r="Z120" s="38"/>
      <c r="AA120" s="38"/>
      <c r="AB120" s="38"/>
      <c r="AC120" s="38"/>
      <c r="AD120" s="38"/>
      <c r="AE120" s="38"/>
      <c r="AF120" s="38"/>
      <c r="AG120" s="37" t="str">
        <f t="shared" si="9"/>
        <v>○</v>
      </c>
      <c r="AH120" s="37" t="str">
        <f t="shared" si="10"/>
        <v>○</v>
      </c>
      <c r="AI120" s="42">
        <f t="shared" si="11"/>
        <v>0</v>
      </c>
      <c r="AJ120" s="11"/>
    </row>
    <row r="121" spans="1:36" ht="27.75" customHeight="1">
      <c r="A121" s="37">
        <v>117</v>
      </c>
      <c r="B121" s="46" t="s">
        <v>363</v>
      </c>
      <c r="C121" s="46" t="s">
        <v>703</v>
      </c>
      <c r="D121" s="16"/>
      <c r="E121" s="55"/>
      <c r="F121" s="55"/>
      <c r="G121" s="55"/>
      <c r="H121" s="55"/>
      <c r="I121" s="55"/>
      <c r="J121" s="55"/>
      <c r="K121" s="55"/>
      <c r="L121" s="55"/>
      <c r="M121" s="55"/>
      <c r="N121" s="55"/>
      <c r="O121" s="55"/>
      <c r="P121" s="55"/>
      <c r="Q121" s="55"/>
      <c r="R121" s="55"/>
      <c r="S121" s="38"/>
      <c r="T121" s="38"/>
      <c r="U121" s="38"/>
      <c r="V121" s="38"/>
      <c r="W121" s="38"/>
      <c r="X121" s="38"/>
      <c r="Y121" s="38"/>
      <c r="Z121" s="38"/>
      <c r="AA121" s="38"/>
      <c r="AB121" s="38"/>
      <c r="AC121" s="38"/>
      <c r="AD121" s="38"/>
      <c r="AE121" s="38"/>
      <c r="AF121" s="38"/>
      <c r="AG121" s="37" t="str">
        <f t="shared" si="9"/>
        <v>○</v>
      </c>
      <c r="AH121" s="37" t="str">
        <f t="shared" si="10"/>
        <v>○</v>
      </c>
      <c r="AI121" s="42">
        <f t="shared" si="11"/>
        <v>0</v>
      </c>
      <c r="AJ121" s="11"/>
    </row>
    <row r="122" spans="1:36" ht="27.75" customHeight="1">
      <c r="A122" s="37">
        <v>118</v>
      </c>
      <c r="B122" s="46" t="s">
        <v>364</v>
      </c>
      <c r="C122" s="46" t="s">
        <v>704</v>
      </c>
      <c r="D122" s="16"/>
      <c r="E122" s="55"/>
      <c r="F122" s="55"/>
      <c r="G122" s="55"/>
      <c r="H122" s="55"/>
      <c r="I122" s="55"/>
      <c r="J122" s="55"/>
      <c r="K122" s="55"/>
      <c r="L122" s="55"/>
      <c r="M122" s="55"/>
      <c r="N122" s="55"/>
      <c r="O122" s="55"/>
      <c r="P122" s="55"/>
      <c r="Q122" s="55"/>
      <c r="R122" s="55"/>
      <c r="S122" s="38"/>
      <c r="T122" s="38"/>
      <c r="U122" s="38"/>
      <c r="V122" s="38"/>
      <c r="W122" s="38"/>
      <c r="X122" s="38"/>
      <c r="Y122" s="38"/>
      <c r="Z122" s="38"/>
      <c r="AA122" s="38"/>
      <c r="AB122" s="38"/>
      <c r="AC122" s="38"/>
      <c r="AD122" s="38"/>
      <c r="AE122" s="38"/>
      <c r="AF122" s="38"/>
      <c r="AG122" s="37" t="str">
        <f t="shared" si="9"/>
        <v>○</v>
      </c>
      <c r="AH122" s="37" t="str">
        <f t="shared" si="10"/>
        <v>○</v>
      </c>
      <c r="AI122" s="42">
        <f t="shared" si="11"/>
        <v>0</v>
      </c>
      <c r="AJ122" s="11"/>
    </row>
    <row r="123" spans="1:36" ht="27.75" customHeight="1">
      <c r="A123" s="37">
        <v>119</v>
      </c>
      <c r="B123" s="46" t="s">
        <v>365</v>
      </c>
      <c r="C123" s="46" t="s">
        <v>705</v>
      </c>
      <c r="D123" s="16"/>
      <c r="E123" s="55"/>
      <c r="F123" s="55"/>
      <c r="G123" s="55"/>
      <c r="H123" s="55"/>
      <c r="I123" s="55"/>
      <c r="J123" s="55"/>
      <c r="K123" s="55"/>
      <c r="L123" s="55"/>
      <c r="M123" s="55"/>
      <c r="N123" s="55"/>
      <c r="O123" s="55"/>
      <c r="P123" s="55"/>
      <c r="Q123" s="55"/>
      <c r="R123" s="55"/>
      <c r="S123" s="38"/>
      <c r="T123" s="38"/>
      <c r="U123" s="38"/>
      <c r="V123" s="38"/>
      <c r="W123" s="38"/>
      <c r="X123" s="38"/>
      <c r="Y123" s="38"/>
      <c r="Z123" s="38"/>
      <c r="AA123" s="38"/>
      <c r="AB123" s="38"/>
      <c r="AC123" s="38"/>
      <c r="AD123" s="38"/>
      <c r="AE123" s="38"/>
      <c r="AF123" s="38"/>
      <c r="AG123" s="37" t="str">
        <f t="shared" si="9"/>
        <v>○</v>
      </c>
      <c r="AH123" s="37" t="str">
        <f t="shared" si="10"/>
        <v>○</v>
      </c>
      <c r="AI123" s="42">
        <f t="shared" si="11"/>
        <v>0</v>
      </c>
      <c r="AJ123" s="11"/>
    </row>
    <row r="124" spans="1:36" ht="27.75" customHeight="1">
      <c r="A124" s="37">
        <v>120</v>
      </c>
      <c r="B124" s="46" t="s">
        <v>366</v>
      </c>
      <c r="C124" s="46" t="s">
        <v>706</v>
      </c>
      <c r="D124" s="16"/>
      <c r="E124" s="55"/>
      <c r="F124" s="55"/>
      <c r="G124" s="55"/>
      <c r="H124" s="55"/>
      <c r="I124" s="55"/>
      <c r="J124" s="55"/>
      <c r="K124" s="55"/>
      <c r="L124" s="55"/>
      <c r="M124" s="55"/>
      <c r="N124" s="55"/>
      <c r="O124" s="55"/>
      <c r="P124" s="55"/>
      <c r="Q124" s="55"/>
      <c r="R124" s="55"/>
      <c r="S124" s="38"/>
      <c r="T124" s="38"/>
      <c r="U124" s="38"/>
      <c r="V124" s="38"/>
      <c r="W124" s="38"/>
      <c r="X124" s="38"/>
      <c r="Y124" s="38"/>
      <c r="Z124" s="38"/>
      <c r="AA124" s="38"/>
      <c r="AB124" s="38"/>
      <c r="AC124" s="38"/>
      <c r="AD124" s="38"/>
      <c r="AE124" s="38"/>
      <c r="AF124" s="38"/>
      <c r="AG124" s="37" t="str">
        <f t="shared" si="9"/>
        <v>○</v>
      </c>
      <c r="AH124" s="37" t="str">
        <f t="shared" si="10"/>
        <v>○</v>
      </c>
      <c r="AI124" s="42">
        <f t="shared" si="11"/>
        <v>0</v>
      </c>
      <c r="AJ124" s="11"/>
    </row>
    <row r="125" spans="1:36" ht="27.75" customHeight="1">
      <c r="A125" s="37">
        <v>121</v>
      </c>
      <c r="B125" s="46" t="s">
        <v>367</v>
      </c>
      <c r="C125" s="46" t="s">
        <v>707</v>
      </c>
      <c r="D125" s="16"/>
      <c r="E125" s="55"/>
      <c r="F125" s="55"/>
      <c r="G125" s="55"/>
      <c r="H125" s="55"/>
      <c r="I125" s="55"/>
      <c r="J125" s="55"/>
      <c r="K125" s="55"/>
      <c r="L125" s="55"/>
      <c r="M125" s="55"/>
      <c r="N125" s="55"/>
      <c r="O125" s="55"/>
      <c r="P125" s="55"/>
      <c r="Q125" s="55"/>
      <c r="R125" s="55"/>
      <c r="S125" s="38"/>
      <c r="T125" s="38"/>
      <c r="U125" s="38"/>
      <c r="V125" s="38"/>
      <c r="W125" s="38"/>
      <c r="X125" s="38"/>
      <c r="Y125" s="38"/>
      <c r="Z125" s="38"/>
      <c r="AA125" s="38"/>
      <c r="AB125" s="38"/>
      <c r="AC125" s="38"/>
      <c r="AD125" s="38"/>
      <c r="AE125" s="38"/>
      <c r="AF125" s="38"/>
      <c r="AG125" s="37" t="str">
        <f t="shared" si="9"/>
        <v>○</v>
      </c>
      <c r="AH125" s="37" t="str">
        <f t="shared" si="10"/>
        <v>○</v>
      </c>
      <c r="AI125" s="42">
        <f t="shared" si="11"/>
        <v>0</v>
      </c>
      <c r="AJ125" s="11"/>
    </row>
    <row r="126" spans="1:36" ht="27.75" customHeight="1">
      <c r="A126" s="37">
        <v>122</v>
      </c>
      <c r="B126" s="46" t="s">
        <v>368</v>
      </c>
      <c r="C126" s="46" t="s">
        <v>708</v>
      </c>
      <c r="D126" s="16"/>
      <c r="E126" s="55"/>
      <c r="F126" s="55"/>
      <c r="G126" s="55"/>
      <c r="H126" s="55"/>
      <c r="I126" s="55"/>
      <c r="J126" s="55"/>
      <c r="K126" s="55"/>
      <c r="L126" s="55"/>
      <c r="M126" s="55"/>
      <c r="N126" s="55"/>
      <c r="O126" s="55"/>
      <c r="P126" s="55"/>
      <c r="Q126" s="55"/>
      <c r="R126" s="55"/>
      <c r="S126" s="38"/>
      <c r="T126" s="38"/>
      <c r="U126" s="38"/>
      <c r="V126" s="38"/>
      <c r="W126" s="38"/>
      <c r="X126" s="38"/>
      <c r="Y126" s="38"/>
      <c r="Z126" s="38"/>
      <c r="AA126" s="38"/>
      <c r="AB126" s="38"/>
      <c r="AC126" s="38"/>
      <c r="AD126" s="38"/>
      <c r="AE126" s="38"/>
      <c r="AF126" s="38"/>
      <c r="AG126" s="37" t="str">
        <f t="shared" si="9"/>
        <v>○</v>
      </c>
      <c r="AH126" s="37" t="str">
        <f t="shared" si="10"/>
        <v>○</v>
      </c>
      <c r="AI126" s="42">
        <f t="shared" si="11"/>
        <v>0</v>
      </c>
      <c r="AJ126" s="11"/>
    </row>
    <row r="127" spans="1:36" ht="27.75" customHeight="1">
      <c r="A127" s="37">
        <v>123</v>
      </c>
      <c r="B127" s="46" t="s">
        <v>369</v>
      </c>
      <c r="C127" s="46" t="s">
        <v>709</v>
      </c>
      <c r="D127" s="16"/>
      <c r="E127" s="55"/>
      <c r="F127" s="55"/>
      <c r="G127" s="55"/>
      <c r="H127" s="55"/>
      <c r="I127" s="55"/>
      <c r="J127" s="55"/>
      <c r="K127" s="55"/>
      <c r="L127" s="55"/>
      <c r="M127" s="55"/>
      <c r="N127" s="55"/>
      <c r="O127" s="55"/>
      <c r="P127" s="55"/>
      <c r="Q127" s="55"/>
      <c r="R127" s="55"/>
      <c r="S127" s="38"/>
      <c r="T127" s="38"/>
      <c r="U127" s="38"/>
      <c r="V127" s="38"/>
      <c r="W127" s="38"/>
      <c r="X127" s="38"/>
      <c r="Y127" s="38"/>
      <c r="Z127" s="38"/>
      <c r="AA127" s="38"/>
      <c r="AB127" s="38"/>
      <c r="AC127" s="38"/>
      <c r="AD127" s="38"/>
      <c r="AE127" s="38"/>
      <c r="AF127" s="38"/>
      <c r="AG127" s="37" t="str">
        <f t="shared" si="9"/>
        <v>○</v>
      </c>
      <c r="AH127" s="37" t="str">
        <f t="shared" si="10"/>
        <v>○</v>
      </c>
      <c r="AI127" s="42">
        <f t="shared" si="11"/>
        <v>0</v>
      </c>
      <c r="AJ127" s="11"/>
    </row>
    <row r="128" spans="1:36" ht="27.75" customHeight="1">
      <c r="A128" s="37">
        <v>124</v>
      </c>
      <c r="B128" s="46" t="s">
        <v>370</v>
      </c>
      <c r="C128" s="46" t="s">
        <v>710</v>
      </c>
      <c r="D128" s="16"/>
      <c r="E128" s="55"/>
      <c r="F128" s="55"/>
      <c r="G128" s="55"/>
      <c r="H128" s="55"/>
      <c r="I128" s="55"/>
      <c r="J128" s="55"/>
      <c r="K128" s="55"/>
      <c r="L128" s="55"/>
      <c r="M128" s="55"/>
      <c r="N128" s="55"/>
      <c r="O128" s="55"/>
      <c r="P128" s="55"/>
      <c r="Q128" s="55"/>
      <c r="R128" s="55"/>
      <c r="S128" s="38"/>
      <c r="T128" s="38"/>
      <c r="U128" s="38"/>
      <c r="V128" s="38"/>
      <c r="W128" s="38"/>
      <c r="X128" s="38"/>
      <c r="Y128" s="38"/>
      <c r="Z128" s="38"/>
      <c r="AA128" s="38"/>
      <c r="AB128" s="38"/>
      <c r="AC128" s="38"/>
      <c r="AD128" s="38"/>
      <c r="AE128" s="38"/>
      <c r="AF128" s="38"/>
      <c r="AG128" s="37" t="str">
        <f t="shared" si="9"/>
        <v>○</v>
      </c>
      <c r="AH128" s="37" t="str">
        <f t="shared" si="10"/>
        <v>○</v>
      </c>
      <c r="AI128" s="42">
        <f t="shared" si="11"/>
        <v>0</v>
      </c>
      <c r="AJ128" s="11"/>
    </row>
    <row r="129" spans="1:36" ht="27.75" customHeight="1">
      <c r="A129" s="37">
        <v>125</v>
      </c>
      <c r="B129" s="46" t="s">
        <v>371</v>
      </c>
      <c r="C129" s="46" t="s">
        <v>711</v>
      </c>
      <c r="D129" s="16"/>
      <c r="E129" s="55"/>
      <c r="F129" s="55"/>
      <c r="G129" s="55"/>
      <c r="H129" s="55"/>
      <c r="I129" s="55"/>
      <c r="J129" s="55"/>
      <c r="K129" s="55"/>
      <c r="L129" s="55"/>
      <c r="M129" s="55"/>
      <c r="N129" s="55"/>
      <c r="O129" s="55"/>
      <c r="P129" s="55"/>
      <c r="Q129" s="55"/>
      <c r="R129" s="55"/>
      <c r="S129" s="38"/>
      <c r="T129" s="38"/>
      <c r="U129" s="38"/>
      <c r="V129" s="38"/>
      <c r="W129" s="38"/>
      <c r="X129" s="38"/>
      <c r="Y129" s="38"/>
      <c r="Z129" s="38"/>
      <c r="AA129" s="38"/>
      <c r="AB129" s="38"/>
      <c r="AC129" s="38"/>
      <c r="AD129" s="38"/>
      <c r="AE129" s="38"/>
      <c r="AF129" s="38"/>
      <c r="AG129" s="37" t="str">
        <f t="shared" si="9"/>
        <v>○</v>
      </c>
      <c r="AH129" s="37" t="str">
        <f t="shared" si="10"/>
        <v>○</v>
      </c>
      <c r="AI129" s="42">
        <f t="shared" si="11"/>
        <v>0</v>
      </c>
      <c r="AJ129" s="11"/>
    </row>
    <row r="130" spans="1:36" ht="27.75" customHeight="1">
      <c r="A130" s="37">
        <v>126</v>
      </c>
      <c r="B130" s="46" t="s">
        <v>372</v>
      </c>
      <c r="C130" s="46" t="s">
        <v>712</v>
      </c>
      <c r="D130" s="16"/>
      <c r="E130" s="55"/>
      <c r="F130" s="55"/>
      <c r="G130" s="55"/>
      <c r="H130" s="55"/>
      <c r="I130" s="55"/>
      <c r="J130" s="55"/>
      <c r="K130" s="55"/>
      <c r="L130" s="55"/>
      <c r="M130" s="55"/>
      <c r="N130" s="55"/>
      <c r="O130" s="55"/>
      <c r="P130" s="55"/>
      <c r="Q130" s="55"/>
      <c r="R130" s="55"/>
      <c r="S130" s="38"/>
      <c r="T130" s="38"/>
      <c r="U130" s="38"/>
      <c r="V130" s="38"/>
      <c r="W130" s="38"/>
      <c r="X130" s="38"/>
      <c r="Y130" s="38"/>
      <c r="Z130" s="38"/>
      <c r="AA130" s="38"/>
      <c r="AB130" s="38"/>
      <c r="AC130" s="38"/>
      <c r="AD130" s="38"/>
      <c r="AE130" s="38"/>
      <c r="AF130" s="38"/>
      <c r="AG130" s="37" t="str">
        <f t="shared" si="9"/>
        <v>○</v>
      </c>
      <c r="AH130" s="37" t="str">
        <f t="shared" si="10"/>
        <v>○</v>
      </c>
      <c r="AI130" s="42">
        <f t="shared" si="11"/>
        <v>0</v>
      </c>
      <c r="AJ130" s="11"/>
    </row>
    <row r="131" spans="1:36" ht="27.75" customHeight="1">
      <c r="A131" s="37">
        <v>127</v>
      </c>
      <c r="B131" s="46" t="s">
        <v>373</v>
      </c>
      <c r="C131" s="46" t="s">
        <v>713</v>
      </c>
      <c r="D131" s="16"/>
      <c r="E131" s="55"/>
      <c r="F131" s="55"/>
      <c r="G131" s="55"/>
      <c r="H131" s="55"/>
      <c r="I131" s="55"/>
      <c r="J131" s="55"/>
      <c r="K131" s="55"/>
      <c r="L131" s="55"/>
      <c r="M131" s="55"/>
      <c r="N131" s="55"/>
      <c r="O131" s="55"/>
      <c r="P131" s="55"/>
      <c r="Q131" s="55"/>
      <c r="R131" s="55"/>
      <c r="S131" s="38"/>
      <c r="T131" s="38"/>
      <c r="U131" s="38"/>
      <c r="V131" s="38"/>
      <c r="W131" s="38"/>
      <c r="X131" s="38"/>
      <c r="Y131" s="38"/>
      <c r="Z131" s="38"/>
      <c r="AA131" s="38"/>
      <c r="AB131" s="38"/>
      <c r="AC131" s="38"/>
      <c r="AD131" s="38"/>
      <c r="AE131" s="38"/>
      <c r="AF131" s="38"/>
      <c r="AG131" s="37" t="str">
        <f t="shared" si="9"/>
        <v>○</v>
      </c>
      <c r="AH131" s="37" t="str">
        <f t="shared" si="10"/>
        <v>○</v>
      </c>
      <c r="AI131" s="42">
        <f t="shared" si="11"/>
        <v>0</v>
      </c>
      <c r="AJ131" s="11"/>
    </row>
    <row r="132" spans="1:36" ht="27.75" customHeight="1">
      <c r="A132" s="37">
        <v>128</v>
      </c>
      <c r="B132" s="46" t="s">
        <v>374</v>
      </c>
      <c r="C132" s="46" t="s">
        <v>714</v>
      </c>
      <c r="D132" s="16"/>
      <c r="E132" s="55"/>
      <c r="F132" s="55"/>
      <c r="G132" s="55"/>
      <c r="H132" s="55"/>
      <c r="I132" s="55"/>
      <c r="J132" s="55"/>
      <c r="K132" s="55"/>
      <c r="L132" s="55"/>
      <c r="M132" s="55"/>
      <c r="N132" s="55"/>
      <c r="O132" s="55"/>
      <c r="P132" s="55"/>
      <c r="Q132" s="55"/>
      <c r="R132" s="55"/>
      <c r="S132" s="38"/>
      <c r="T132" s="38"/>
      <c r="U132" s="38"/>
      <c r="V132" s="38"/>
      <c r="W132" s="38"/>
      <c r="X132" s="38"/>
      <c r="Y132" s="38"/>
      <c r="Z132" s="38"/>
      <c r="AA132" s="38"/>
      <c r="AB132" s="38"/>
      <c r="AC132" s="38"/>
      <c r="AD132" s="38"/>
      <c r="AE132" s="38"/>
      <c r="AF132" s="38"/>
      <c r="AG132" s="37" t="str">
        <f t="shared" si="9"/>
        <v>○</v>
      </c>
      <c r="AH132" s="37" t="str">
        <f t="shared" si="10"/>
        <v>○</v>
      </c>
      <c r="AI132" s="42">
        <f t="shared" si="11"/>
        <v>0</v>
      </c>
      <c r="AJ132" s="11"/>
    </row>
    <row r="133" spans="1:36" ht="27.75" customHeight="1">
      <c r="A133" s="37">
        <v>129</v>
      </c>
      <c r="B133" s="46" t="s">
        <v>375</v>
      </c>
      <c r="C133" s="46" t="s">
        <v>715</v>
      </c>
      <c r="D133" s="16"/>
      <c r="E133" s="55"/>
      <c r="F133" s="55"/>
      <c r="G133" s="55"/>
      <c r="H133" s="55"/>
      <c r="I133" s="55"/>
      <c r="J133" s="55"/>
      <c r="K133" s="55"/>
      <c r="L133" s="55"/>
      <c r="M133" s="55"/>
      <c r="N133" s="55"/>
      <c r="O133" s="55"/>
      <c r="P133" s="55"/>
      <c r="Q133" s="55"/>
      <c r="R133" s="55"/>
      <c r="S133" s="38"/>
      <c r="T133" s="38"/>
      <c r="U133" s="38"/>
      <c r="V133" s="38"/>
      <c r="W133" s="38"/>
      <c r="X133" s="38"/>
      <c r="Y133" s="38"/>
      <c r="Z133" s="38"/>
      <c r="AA133" s="38"/>
      <c r="AB133" s="38"/>
      <c r="AC133" s="38"/>
      <c r="AD133" s="38"/>
      <c r="AE133" s="38"/>
      <c r="AF133" s="38"/>
      <c r="AG133" s="37" t="str">
        <f t="shared" ref="AG133:AG164" si="12">IF(AND(B133="",E133="",S133=""),"",IF(SUMPRODUCT(((E133:R133&gt;=1)&lt;&gt;(S133:AF133&gt;=1))*1)=0,"○","✗"))</f>
        <v>○</v>
      </c>
      <c r="AH133" s="37" t="str">
        <f t="shared" ref="AH133:AH164" si="13">IF(AG133="","",IF(AG133="✗","✗",IF(SUMPRODUCT((E133:R133&lt;&gt;S133:AF133)*1)=0,"○","✗")))</f>
        <v>○</v>
      </c>
      <c r="AI133" s="42">
        <f t="shared" ref="AI133:AI164" si="14">IF(AND(SUM(E133:R133)=0,SUM(S133:AF133)=0),0,(SUM(E133:R133)+SUM(S133:AF133))/2)</f>
        <v>0</v>
      </c>
      <c r="AJ133" s="11"/>
    </row>
    <row r="134" spans="1:36" ht="27.75" customHeight="1">
      <c r="A134" s="37">
        <v>130</v>
      </c>
      <c r="B134" s="46" t="s">
        <v>376</v>
      </c>
      <c r="C134" s="46" t="s">
        <v>716</v>
      </c>
      <c r="D134" s="16"/>
      <c r="E134" s="55"/>
      <c r="F134" s="55"/>
      <c r="G134" s="55"/>
      <c r="H134" s="55"/>
      <c r="I134" s="55"/>
      <c r="J134" s="55"/>
      <c r="K134" s="55"/>
      <c r="L134" s="55"/>
      <c r="M134" s="55"/>
      <c r="N134" s="55"/>
      <c r="O134" s="55"/>
      <c r="P134" s="55"/>
      <c r="Q134" s="55"/>
      <c r="R134" s="55"/>
      <c r="S134" s="38"/>
      <c r="T134" s="38"/>
      <c r="U134" s="38"/>
      <c r="V134" s="38"/>
      <c r="W134" s="38"/>
      <c r="X134" s="38"/>
      <c r="Y134" s="38"/>
      <c r="Z134" s="38"/>
      <c r="AA134" s="38"/>
      <c r="AB134" s="38"/>
      <c r="AC134" s="38"/>
      <c r="AD134" s="38"/>
      <c r="AE134" s="38"/>
      <c r="AF134" s="38"/>
      <c r="AG134" s="37" t="str">
        <f t="shared" si="12"/>
        <v>○</v>
      </c>
      <c r="AH134" s="37" t="str">
        <f t="shared" si="13"/>
        <v>○</v>
      </c>
      <c r="AI134" s="42">
        <f t="shared" si="14"/>
        <v>0</v>
      </c>
      <c r="AJ134" s="11"/>
    </row>
    <row r="135" spans="1:36" ht="27.75" customHeight="1">
      <c r="A135" s="37">
        <v>131</v>
      </c>
      <c r="B135" s="46" t="s">
        <v>377</v>
      </c>
      <c r="C135" s="46" t="s">
        <v>717</v>
      </c>
      <c r="D135" s="16"/>
      <c r="E135" s="55"/>
      <c r="F135" s="55"/>
      <c r="G135" s="55"/>
      <c r="H135" s="55"/>
      <c r="I135" s="55"/>
      <c r="J135" s="55"/>
      <c r="K135" s="55"/>
      <c r="L135" s="55"/>
      <c r="M135" s="55"/>
      <c r="N135" s="55"/>
      <c r="O135" s="55"/>
      <c r="P135" s="55"/>
      <c r="Q135" s="55"/>
      <c r="R135" s="55"/>
      <c r="S135" s="38"/>
      <c r="T135" s="38"/>
      <c r="U135" s="38"/>
      <c r="V135" s="38"/>
      <c r="W135" s="38"/>
      <c r="X135" s="38"/>
      <c r="Y135" s="38"/>
      <c r="Z135" s="38"/>
      <c r="AA135" s="38"/>
      <c r="AB135" s="38"/>
      <c r="AC135" s="38"/>
      <c r="AD135" s="38"/>
      <c r="AE135" s="38"/>
      <c r="AF135" s="38"/>
      <c r="AG135" s="37" t="str">
        <f t="shared" si="12"/>
        <v>○</v>
      </c>
      <c r="AH135" s="37" t="str">
        <f t="shared" si="13"/>
        <v>○</v>
      </c>
      <c r="AI135" s="42">
        <f t="shared" si="14"/>
        <v>0</v>
      </c>
      <c r="AJ135" s="11"/>
    </row>
    <row r="136" spans="1:36" ht="27.75" customHeight="1">
      <c r="A136" s="37">
        <v>132</v>
      </c>
      <c r="B136" s="46" t="s">
        <v>378</v>
      </c>
      <c r="C136" s="46" t="s">
        <v>718</v>
      </c>
      <c r="D136" s="16"/>
      <c r="E136" s="55"/>
      <c r="F136" s="55"/>
      <c r="G136" s="55"/>
      <c r="H136" s="55"/>
      <c r="I136" s="55"/>
      <c r="J136" s="55"/>
      <c r="K136" s="55"/>
      <c r="L136" s="55"/>
      <c r="M136" s="55"/>
      <c r="N136" s="55"/>
      <c r="O136" s="55"/>
      <c r="P136" s="55"/>
      <c r="Q136" s="55"/>
      <c r="R136" s="55"/>
      <c r="S136" s="38"/>
      <c r="T136" s="38"/>
      <c r="U136" s="38"/>
      <c r="V136" s="38"/>
      <c r="W136" s="38"/>
      <c r="X136" s="38"/>
      <c r="Y136" s="38"/>
      <c r="Z136" s="38"/>
      <c r="AA136" s="38"/>
      <c r="AB136" s="38"/>
      <c r="AC136" s="38"/>
      <c r="AD136" s="38"/>
      <c r="AE136" s="38"/>
      <c r="AF136" s="38"/>
      <c r="AG136" s="37" t="str">
        <f t="shared" si="12"/>
        <v>○</v>
      </c>
      <c r="AH136" s="37" t="str">
        <f t="shared" si="13"/>
        <v>○</v>
      </c>
      <c r="AI136" s="42">
        <f t="shared" si="14"/>
        <v>0</v>
      </c>
      <c r="AJ136" s="11"/>
    </row>
    <row r="137" spans="1:36" ht="27.75" customHeight="1">
      <c r="A137" s="37">
        <v>133</v>
      </c>
      <c r="B137" s="46" t="s">
        <v>379</v>
      </c>
      <c r="C137" s="46" t="s">
        <v>719</v>
      </c>
      <c r="D137" s="16"/>
      <c r="E137" s="55"/>
      <c r="F137" s="55"/>
      <c r="G137" s="55"/>
      <c r="H137" s="55"/>
      <c r="I137" s="55"/>
      <c r="J137" s="55"/>
      <c r="K137" s="55"/>
      <c r="L137" s="55"/>
      <c r="M137" s="55"/>
      <c r="N137" s="55"/>
      <c r="O137" s="55"/>
      <c r="P137" s="55"/>
      <c r="Q137" s="55"/>
      <c r="R137" s="55"/>
      <c r="S137" s="38"/>
      <c r="T137" s="38"/>
      <c r="U137" s="38"/>
      <c r="V137" s="38"/>
      <c r="W137" s="38"/>
      <c r="X137" s="38"/>
      <c r="Y137" s="38"/>
      <c r="Z137" s="38"/>
      <c r="AA137" s="38"/>
      <c r="AB137" s="38"/>
      <c r="AC137" s="38"/>
      <c r="AD137" s="38"/>
      <c r="AE137" s="38"/>
      <c r="AF137" s="38"/>
      <c r="AG137" s="37" t="str">
        <f t="shared" si="12"/>
        <v>○</v>
      </c>
      <c r="AH137" s="37" t="str">
        <f t="shared" si="13"/>
        <v>○</v>
      </c>
      <c r="AI137" s="42">
        <f t="shared" si="14"/>
        <v>0</v>
      </c>
      <c r="AJ137" s="11"/>
    </row>
    <row r="138" spans="1:36" ht="27.75" customHeight="1">
      <c r="A138" s="37">
        <v>134</v>
      </c>
      <c r="B138" s="46" t="s">
        <v>380</v>
      </c>
      <c r="C138" s="46" t="s">
        <v>720</v>
      </c>
      <c r="D138" s="16"/>
      <c r="E138" s="55"/>
      <c r="F138" s="55"/>
      <c r="G138" s="55"/>
      <c r="H138" s="55"/>
      <c r="I138" s="55"/>
      <c r="J138" s="55"/>
      <c r="K138" s="55"/>
      <c r="L138" s="55"/>
      <c r="M138" s="55"/>
      <c r="N138" s="55"/>
      <c r="O138" s="55"/>
      <c r="P138" s="55"/>
      <c r="Q138" s="55"/>
      <c r="R138" s="55"/>
      <c r="S138" s="38"/>
      <c r="T138" s="38"/>
      <c r="U138" s="38"/>
      <c r="V138" s="38"/>
      <c r="W138" s="38"/>
      <c r="X138" s="38"/>
      <c r="Y138" s="38"/>
      <c r="Z138" s="38"/>
      <c r="AA138" s="38"/>
      <c r="AB138" s="38"/>
      <c r="AC138" s="38"/>
      <c r="AD138" s="38"/>
      <c r="AE138" s="38"/>
      <c r="AF138" s="38"/>
      <c r="AG138" s="37" t="str">
        <f t="shared" si="12"/>
        <v>○</v>
      </c>
      <c r="AH138" s="37" t="str">
        <f t="shared" si="13"/>
        <v>○</v>
      </c>
      <c r="AI138" s="42">
        <f t="shared" si="14"/>
        <v>0</v>
      </c>
      <c r="AJ138" s="11"/>
    </row>
    <row r="139" spans="1:36" ht="27.75" customHeight="1">
      <c r="A139" s="37">
        <v>135</v>
      </c>
      <c r="B139" s="46" t="s">
        <v>381</v>
      </c>
      <c r="C139" s="46" t="s">
        <v>721</v>
      </c>
      <c r="D139" s="16"/>
      <c r="E139" s="55"/>
      <c r="F139" s="55"/>
      <c r="G139" s="55"/>
      <c r="H139" s="55"/>
      <c r="I139" s="55"/>
      <c r="J139" s="55"/>
      <c r="K139" s="55"/>
      <c r="L139" s="55"/>
      <c r="M139" s="55"/>
      <c r="N139" s="55"/>
      <c r="O139" s="55"/>
      <c r="P139" s="55"/>
      <c r="Q139" s="55"/>
      <c r="R139" s="55"/>
      <c r="S139" s="38"/>
      <c r="T139" s="38"/>
      <c r="U139" s="38"/>
      <c r="V139" s="38"/>
      <c r="W139" s="38"/>
      <c r="X139" s="38"/>
      <c r="Y139" s="38"/>
      <c r="Z139" s="38"/>
      <c r="AA139" s="38"/>
      <c r="AB139" s="38"/>
      <c r="AC139" s="38"/>
      <c r="AD139" s="38"/>
      <c r="AE139" s="38"/>
      <c r="AF139" s="38"/>
      <c r="AG139" s="37" t="str">
        <f t="shared" si="12"/>
        <v>○</v>
      </c>
      <c r="AH139" s="37" t="str">
        <f t="shared" si="13"/>
        <v>○</v>
      </c>
      <c r="AI139" s="42">
        <f t="shared" si="14"/>
        <v>0</v>
      </c>
      <c r="AJ139" s="11"/>
    </row>
    <row r="140" spans="1:36" ht="27.75" customHeight="1">
      <c r="A140" s="37">
        <v>136</v>
      </c>
      <c r="B140" s="46" t="s">
        <v>382</v>
      </c>
      <c r="C140" s="46" t="s">
        <v>722</v>
      </c>
      <c r="D140" s="16"/>
      <c r="E140" s="55"/>
      <c r="F140" s="55"/>
      <c r="G140" s="55"/>
      <c r="H140" s="55"/>
      <c r="I140" s="55"/>
      <c r="J140" s="55"/>
      <c r="K140" s="55"/>
      <c r="L140" s="55"/>
      <c r="M140" s="55"/>
      <c r="N140" s="55"/>
      <c r="O140" s="55"/>
      <c r="P140" s="55"/>
      <c r="Q140" s="55"/>
      <c r="R140" s="55"/>
      <c r="S140" s="38"/>
      <c r="T140" s="38"/>
      <c r="U140" s="38"/>
      <c r="V140" s="38"/>
      <c r="W140" s="38"/>
      <c r="X140" s="38"/>
      <c r="Y140" s="38"/>
      <c r="Z140" s="38"/>
      <c r="AA140" s="38"/>
      <c r="AB140" s="38"/>
      <c r="AC140" s="38"/>
      <c r="AD140" s="38"/>
      <c r="AE140" s="38"/>
      <c r="AF140" s="38"/>
      <c r="AG140" s="37" t="str">
        <f t="shared" si="12"/>
        <v>○</v>
      </c>
      <c r="AH140" s="37" t="str">
        <f t="shared" si="13"/>
        <v>○</v>
      </c>
      <c r="AI140" s="42">
        <f t="shared" si="14"/>
        <v>0</v>
      </c>
      <c r="AJ140" s="11"/>
    </row>
    <row r="141" spans="1:36" ht="27.75" customHeight="1">
      <c r="A141" s="37">
        <v>137</v>
      </c>
      <c r="B141" s="46" t="s">
        <v>383</v>
      </c>
      <c r="C141" s="46" t="s">
        <v>723</v>
      </c>
      <c r="D141" s="16"/>
      <c r="E141" s="55"/>
      <c r="F141" s="55"/>
      <c r="G141" s="55"/>
      <c r="H141" s="55"/>
      <c r="I141" s="55"/>
      <c r="J141" s="55"/>
      <c r="K141" s="55"/>
      <c r="L141" s="55"/>
      <c r="M141" s="55"/>
      <c r="N141" s="55"/>
      <c r="O141" s="55"/>
      <c r="P141" s="55"/>
      <c r="Q141" s="55"/>
      <c r="R141" s="55"/>
      <c r="S141" s="38"/>
      <c r="T141" s="38"/>
      <c r="U141" s="38"/>
      <c r="V141" s="38"/>
      <c r="W141" s="38"/>
      <c r="X141" s="38"/>
      <c r="Y141" s="38"/>
      <c r="Z141" s="38"/>
      <c r="AA141" s="38"/>
      <c r="AB141" s="38"/>
      <c r="AC141" s="38"/>
      <c r="AD141" s="38"/>
      <c r="AE141" s="38"/>
      <c r="AF141" s="38"/>
      <c r="AG141" s="37" t="str">
        <f t="shared" si="12"/>
        <v>○</v>
      </c>
      <c r="AH141" s="37" t="str">
        <f t="shared" si="13"/>
        <v>○</v>
      </c>
      <c r="AI141" s="42">
        <f t="shared" si="14"/>
        <v>0</v>
      </c>
      <c r="AJ141" s="11"/>
    </row>
    <row r="142" spans="1:36" ht="27.75" customHeight="1">
      <c r="A142" s="37">
        <v>138</v>
      </c>
      <c r="B142" s="46" t="s">
        <v>384</v>
      </c>
      <c r="C142" s="46" t="s">
        <v>724</v>
      </c>
      <c r="D142" s="16"/>
      <c r="E142" s="55"/>
      <c r="F142" s="55"/>
      <c r="G142" s="55"/>
      <c r="H142" s="55"/>
      <c r="I142" s="55"/>
      <c r="J142" s="55"/>
      <c r="K142" s="55"/>
      <c r="L142" s="55"/>
      <c r="M142" s="55"/>
      <c r="N142" s="55"/>
      <c r="O142" s="55"/>
      <c r="P142" s="55"/>
      <c r="Q142" s="55"/>
      <c r="R142" s="55"/>
      <c r="S142" s="38"/>
      <c r="T142" s="38"/>
      <c r="U142" s="38"/>
      <c r="V142" s="38"/>
      <c r="W142" s="38"/>
      <c r="X142" s="38"/>
      <c r="Y142" s="38"/>
      <c r="Z142" s="38"/>
      <c r="AA142" s="38"/>
      <c r="AB142" s="38"/>
      <c r="AC142" s="38"/>
      <c r="AD142" s="38"/>
      <c r="AE142" s="38"/>
      <c r="AF142" s="38"/>
      <c r="AG142" s="37" t="str">
        <f t="shared" si="12"/>
        <v>○</v>
      </c>
      <c r="AH142" s="37" t="str">
        <f t="shared" si="13"/>
        <v>○</v>
      </c>
      <c r="AI142" s="42">
        <f t="shared" si="14"/>
        <v>0</v>
      </c>
      <c r="AJ142" s="11"/>
    </row>
    <row r="143" spans="1:36" ht="27.75" customHeight="1">
      <c r="A143" s="37">
        <v>139</v>
      </c>
      <c r="B143" s="46" t="s">
        <v>385</v>
      </c>
      <c r="C143" s="46" t="s">
        <v>725</v>
      </c>
      <c r="D143" s="16"/>
      <c r="E143" s="55"/>
      <c r="F143" s="55"/>
      <c r="G143" s="55"/>
      <c r="H143" s="55"/>
      <c r="I143" s="55"/>
      <c r="J143" s="55"/>
      <c r="K143" s="55"/>
      <c r="L143" s="55"/>
      <c r="M143" s="55"/>
      <c r="N143" s="55"/>
      <c r="O143" s="55"/>
      <c r="P143" s="55"/>
      <c r="Q143" s="55"/>
      <c r="R143" s="55"/>
      <c r="S143" s="38"/>
      <c r="T143" s="38"/>
      <c r="U143" s="38"/>
      <c r="V143" s="38"/>
      <c r="W143" s="38"/>
      <c r="X143" s="38"/>
      <c r="Y143" s="38"/>
      <c r="Z143" s="38"/>
      <c r="AA143" s="38"/>
      <c r="AB143" s="38"/>
      <c r="AC143" s="38"/>
      <c r="AD143" s="38"/>
      <c r="AE143" s="38"/>
      <c r="AF143" s="38"/>
      <c r="AG143" s="37" t="str">
        <f t="shared" si="12"/>
        <v>○</v>
      </c>
      <c r="AH143" s="37" t="str">
        <f t="shared" si="13"/>
        <v>○</v>
      </c>
      <c r="AI143" s="42">
        <f t="shared" si="14"/>
        <v>0</v>
      </c>
      <c r="AJ143" s="11"/>
    </row>
    <row r="144" spans="1:36" ht="27.75" customHeight="1">
      <c r="A144" s="37">
        <v>140</v>
      </c>
      <c r="B144" s="46" t="s">
        <v>386</v>
      </c>
      <c r="C144" s="46" t="s">
        <v>726</v>
      </c>
      <c r="D144" s="16"/>
      <c r="E144" s="55"/>
      <c r="F144" s="55"/>
      <c r="G144" s="55"/>
      <c r="H144" s="55"/>
      <c r="I144" s="55"/>
      <c r="J144" s="55"/>
      <c r="K144" s="55"/>
      <c r="L144" s="55"/>
      <c r="M144" s="55"/>
      <c r="N144" s="55"/>
      <c r="O144" s="55"/>
      <c r="P144" s="55"/>
      <c r="Q144" s="55"/>
      <c r="R144" s="55"/>
      <c r="S144" s="38"/>
      <c r="T144" s="38"/>
      <c r="U144" s="38"/>
      <c r="V144" s="38"/>
      <c r="W144" s="38"/>
      <c r="X144" s="38"/>
      <c r="Y144" s="38"/>
      <c r="Z144" s="38"/>
      <c r="AA144" s="38"/>
      <c r="AB144" s="38"/>
      <c r="AC144" s="38"/>
      <c r="AD144" s="38"/>
      <c r="AE144" s="38"/>
      <c r="AF144" s="38"/>
      <c r="AG144" s="37" t="str">
        <f t="shared" si="12"/>
        <v>○</v>
      </c>
      <c r="AH144" s="37" t="str">
        <f t="shared" si="13"/>
        <v>○</v>
      </c>
      <c r="AI144" s="42">
        <f t="shared" si="14"/>
        <v>0</v>
      </c>
      <c r="AJ144" s="11"/>
    </row>
    <row r="145" spans="1:36" ht="27.75" customHeight="1">
      <c r="A145" s="37">
        <v>141</v>
      </c>
      <c r="B145" s="46" t="s">
        <v>387</v>
      </c>
      <c r="C145" s="46" t="s">
        <v>727</v>
      </c>
      <c r="D145" s="16"/>
      <c r="E145" s="55"/>
      <c r="F145" s="55"/>
      <c r="G145" s="55"/>
      <c r="H145" s="55"/>
      <c r="I145" s="55"/>
      <c r="J145" s="55"/>
      <c r="K145" s="55"/>
      <c r="L145" s="55"/>
      <c r="M145" s="55"/>
      <c r="N145" s="55"/>
      <c r="O145" s="55"/>
      <c r="P145" s="55"/>
      <c r="Q145" s="55"/>
      <c r="R145" s="55"/>
      <c r="S145" s="38"/>
      <c r="T145" s="38"/>
      <c r="U145" s="38"/>
      <c r="V145" s="38"/>
      <c r="W145" s="38"/>
      <c r="X145" s="38"/>
      <c r="Y145" s="38"/>
      <c r="Z145" s="38"/>
      <c r="AA145" s="38"/>
      <c r="AB145" s="38"/>
      <c r="AC145" s="38"/>
      <c r="AD145" s="38"/>
      <c r="AE145" s="38"/>
      <c r="AF145" s="38"/>
      <c r="AG145" s="37" t="str">
        <f t="shared" si="12"/>
        <v>○</v>
      </c>
      <c r="AH145" s="37" t="str">
        <f t="shared" si="13"/>
        <v>○</v>
      </c>
      <c r="AI145" s="42">
        <f t="shared" si="14"/>
        <v>0</v>
      </c>
      <c r="AJ145" s="11"/>
    </row>
    <row r="146" spans="1:36" ht="27.75" customHeight="1">
      <c r="A146" s="37">
        <v>142</v>
      </c>
      <c r="B146" s="46" t="s">
        <v>388</v>
      </c>
      <c r="C146" s="46" t="s">
        <v>728</v>
      </c>
      <c r="D146" s="16"/>
      <c r="E146" s="55"/>
      <c r="F146" s="55"/>
      <c r="G146" s="55"/>
      <c r="H146" s="55"/>
      <c r="I146" s="55"/>
      <c r="J146" s="55"/>
      <c r="K146" s="55"/>
      <c r="L146" s="55"/>
      <c r="M146" s="55"/>
      <c r="N146" s="55"/>
      <c r="O146" s="55"/>
      <c r="P146" s="55"/>
      <c r="Q146" s="55"/>
      <c r="R146" s="55"/>
      <c r="S146" s="38"/>
      <c r="T146" s="38"/>
      <c r="U146" s="38"/>
      <c r="V146" s="38"/>
      <c r="W146" s="38"/>
      <c r="X146" s="38"/>
      <c r="Y146" s="38"/>
      <c r="Z146" s="38"/>
      <c r="AA146" s="38"/>
      <c r="AB146" s="38"/>
      <c r="AC146" s="38"/>
      <c r="AD146" s="38"/>
      <c r="AE146" s="38"/>
      <c r="AF146" s="38"/>
      <c r="AG146" s="37" t="str">
        <f t="shared" si="12"/>
        <v>○</v>
      </c>
      <c r="AH146" s="37" t="str">
        <f t="shared" si="13"/>
        <v>○</v>
      </c>
      <c r="AI146" s="42">
        <f t="shared" si="14"/>
        <v>0</v>
      </c>
      <c r="AJ146" s="11"/>
    </row>
    <row r="147" spans="1:36" ht="27.75" customHeight="1">
      <c r="A147" s="37">
        <v>143</v>
      </c>
      <c r="B147" s="46" t="s">
        <v>389</v>
      </c>
      <c r="C147" s="48" t="s">
        <v>729</v>
      </c>
      <c r="D147" s="16"/>
      <c r="E147" s="55"/>
      <c r="F147" s="55"/>
      <c r="G147" s="55"/>
      <c r="H147" s="55"/>
      <c r="I147" s="55"/>
      <c r="J147" s="55"/>
      <c r="K147" s="55"/>
      <c r="L147" s="55"/>
      <c r="M147" s="55"/>
      <c r="N147" s="55"/>
      <c r="O147" s="55"/>
      <c r="P147" s="55"/>
      <c r="Q147" s="55"/>
      <c r="R147" s="55"/>
      <c r="S147" s="38"/>
      <c r="T147" s="38"/>
      <c r="U147" s="38"/>
      <c r="V147" s="38"/>
      <c r="W147" s="38"/>
      <c r="X147" s="38"/>
      <c r="Y147" s="38"/>
      <c r="Z147" s="38"/>
      <c r="AA147" s="38"/>
      <c r="AB147" s="38"/>
      <c r="AC147" s="38"/>
      <c r="AD147" s="38"/>
      <c r="AE147" s="38"/>
      <c r="AF147" s="38"/>
      <c r="AG147" s="37" t="str">
        <f t="shared" si="12"/>
        <v>○</v>
      </c>
      <c r="AH147" s="37" t="str">
        <f t="shared" si="13"/>
        <v>○</v>
      </c>
      <c r="AI147" s="42">
        <f t="shared" si="14"/>
        <v>0</v>
      </c>
      <c r="AJ147" s="11"/>
    </row>
    <row r="148" spans="1:36" ht="27.75" customHeight="1">
      <c r="A148" s="37">
        <v>144</v>
      </c>
      <c r="B148" s="46" t="s">
        <v>390</v>
      </c>
      <c r="C148" s="46" t="s">
        <v>730</v>
      </c>
      <c r="D148" s="16"/>
      <c r="E148" s="55"/>
      <c r="F148" s="55"/>
      <c r="G148" s="55"/>
      <c r="H148" s="55"/>
      <c r="I148" s="55"/>
      <c r="J148" s="55"/>
      <c r="K148" s="55"/>
      <c r="L148" s="55"/>
      <c r="M148" s="55"/>
      <c r="N148" s="55"/>
      <c r="O148" s="55"/>
      <c r="P148" s="55"/>
      <c r="Q148" s="55"/>
      <c r="R148" s="55"/>
      <c r="S148" s="38"/>
      <c r="T148" s="38"/>
      <c r="U148" s="38"/>
      <c r="V148" s="38"/>
      <c r="W148" s="38"/>
      <c r="X148" s="38"/>
      <c r="Y148" s="38"/>
      <c r="Z148" s="38"/>
      <c r="AA148" s="38"/>
      <c r="AB148" s="38"/>
      <c r="AC148" s="38"/>
      <c r="AD148" s="38"/>
      <c r="AE148" s="38"/>
      <c r="AF148" s="38"/>
      <c r="AG148" s="37" t="str">
        <f t="shared" si="12"/>
        <v>○</v>
      </c>
      <c r="AH148" s="37" t="str">
        <f t="shared" si="13"/>
        <v>○</v>
      </c>
      <c r="AI148" s="42">
        <f t="shared" si="14"/>
        <v>0</v>
      </c>
      <c r="AJ148" s="11"/>
    </row>
    <row r="149" spans="1:36" ht="27.75" customHeight="1">
      <c r="A149" s="37">
        <v>145</v>
      </c>
      <c r="B149" s="46" t="s">
        <v>391</v>
      </c>
      <c r="C149" s="46" t="s">
        <v>731</v>
      </c>
      <c r="D149" s="16"/>
      <c r="E149" s="55"/>
      <c r="F149" s="55"/>
      <c r="G149" s="55"/>
      <c r="H149" s="55"/>
      <c r="I149" s="55"/>
      <c r="J149" s="55"/>
      <c r="K149" s="55"/>
      <c r="L149" s="55"/>
      <c r="M149" s="55"/>
      <c r="N149" s="55"/>
      <c r="O149" s="55"/>
      <c r="P149" s="55"/>
      <c r="Q149" s="55"/>
      <c r="R149" s="55"/>
      <c r="S149" s="38"/>
      <c r="T149" s="38"/>
      <c r="U149" s="38"/>
      <c r="V149" s="38"/>
      <c r="W149" s="38"/>
      <c r="X149" s="38"/>
      <c r="Y149" s="38"/>
      <c r="Z149" s="38"/>
      <c r="AA149" s="38"/>
      <c r="AB149" s="38"/>
      <c r="AC149" s="38"/>
      <c r="AD149" s="38"/>
      <c r="AE149" s="38"/>
      <c r="AF149" s="38"/>
      <c r="AG149" s="37" t="str">
        <f t="shared" si="12"/>
        <v>○</v>
      </c>
      <c r="AH149" s="37" t="str">
        <f t="shared" si="13"/>
        <v>○</v>
      </c>
      <c r="AI149" s="42">
        <f t="shared" si="14"/>
        <v>0</v>
      </c>
      <c r="AJ149" s="11"/>
    </row>
    <row r="150" spans="1:36" ht="27.75" customHeight="1">
      <c r="A150" s="37">
        <v>146</v>
      </c>
      <c r="B150" s="46" t="s">
        <v>392</v>
      </c>
      <c r="C150" s="46" t="s">
        <v>732</v>
      </c>
      <c r="D150" s="16"/>
      <c r="E150" s="55"/>
      <c r="F150" s="55"/>
      <c r="G150" s="55"/>
      <c r="H150" s="55"/>
      <c r="I150" s="55"/>
      <c r="J150" s="55"/>
      <c r="K150" s="55"/>
      <c r="L150" s="55"/>
      <c r="M150" s="55"/>
      <c r="N150" s="55"/>
      <c r="O150" s="55"/>
      <c r="P150" s="55"/>
      <c r="Q150" s="55"/>
      <c r="R150" s="55"/>
      <c r="S150" s="38"/>
      <c r="T150" s="38"/>
      <c r="U150" s="38"/>
      <c r="V150" s="38"/>
      <c r="W150" s="38"/>
      <c r="X150" s="38"/>
      <c r="Y150" s="38"/>
      <c r="Z150" s="38"/>
      <c r="AA150" s="38"/>
      <c r="AB150" s="38"/>
      <c r="AC150" s="38"/>
      <c r="AD150" s="38"/>
      <c r="AE150" s="38"/>
      <c r="AF150" s="38"/>
      <c r="AG150" s="37" t="str">
        <f t="shared" si="12"/>
        <v>○</v>
      </c>
      <c r="AH150" s="37" t="str">
        <f t="shared" si="13"/>
        <v>○</v>
      </c>
      <c r="AI150" s="42">
        <f t="shared" si="14"/>
        <v>0</v>
      </c>
      <c r="AJ150" s="11"/>
    </row>
    <row r="151" spans="1:36" ht="27.75" customHeight="1">
      <c r="A151" s="37">
        <v>147</v>
      </c>
      <c r="B151" s="46" t="s">
        <v>393</v>
      </c>
      <c r="C151" s="46" t="s">
        <v>733</v>
      </c>
      <c r="D151" s="16"/>
      <c r="E151" s="55"/>
      <c r="F151" s="55"/>
      <c r="G151" s="55"/>
      <c r="H151" s="55"/>
      <c r="I151" s="55"/>
      <c r="J151" s="55"/>
      <c r="K151" s="55"/>
      <c r="L151" s="55"/>
      <c r="M151" s="55"/>
      <c r="N151" s="55"/>
      <c r="O151" s="55"/>
      <c r="P151" s="55"/>
      <c r="Q151" s="55"/>
      <c r="R151" s="55"/>
      <c r="S151" s="38"/>
      <c r="T151" s="38"/>
      <c r="U151" s="38"/>
      <c r="V151" s="38"/>
      <c r="W151" s="38"/>
      <c r="X151" s="38"/>
      <c r="Y151" s="38"/>
      <c r="Z151" s="38"/>
      <c r="AA151" s="38"/>
      <c r="AB151" s="38"/>
      <c r="AC151" s="38"/>
      <c r="AD151" s="38"/>
      <c r="AE151" s="38"/>
      <c r="AF151" s="38"/>
      <c r="AG151" s="37" t="str">
        <f t="shared" si="12"/>
        <v>○</v>
      </c>
      <c r="AH151" s="37" t="str">
        <f t="shared" si="13"/>
        <v>○</v>
      </c>
      <c r="AI151" s="42">
        <f t="shared" si="14"/>
        <v>0</v>
      </c>
      <c r="AJ151" s="11"/>
    </row>
    <row r="152" spans="1:36" ht="27.75" customHeight="1">
      <c r="A152" s="37">
        <v>148</v>
      </c>
      <c r="B152" s="46" t="s">
        <v>394</v>
      </c>
      <c r="C152" s="46" t="s">
        <v>734</v>
      </c>
      <c r="D152" s="16"/>
      <c r="E152" s="55"/>
      <c r="F152" s="55"/>
      <c r="G152" s="55"/>
      <c r="H152" s="55"/>
      <c r="I152" s="55"/>
      <c r="J152" s="55"/>
      <c r="K152" s="55"/>
      <c r="L152" s="55"/>
      <c r="M152" s="55"/>
      <c r="N152" s="55"/>
      <c r="O152" s="55"/>
      <c r="P152" s="55"/>
      <c r="Q152" s="55"/>
      <c r="R152" s="55"/>
      <c r="S152" s="38"/>
      <c r="T152" s="38"/>
      <c r="U152" s="38"/>
      <c r="V152" s="38"/>
      <c r="W152" s="38"/>
      <c r="X152" s="38"/>
      <c r="Y152" s="38"/>
      <c r="Z152" s="38"/>
      <c r="AA152" s="38"/>
      <c r="AB152" s="38"/>
      <c r="AC152" s="38"/>
      <c r="AD152" s="38"/>
      <c r="AE152" s="38"/>
      <c r="AF152" s="38"/>
      <c r="AG152" s="37" t="str">
        <f t="shared" si="12"/>
        <v>○</v>
      </c>
      <c r="AH152" s="37" t="str">
        <f t="shared" si="13"/>
        <v>○</v>
      </c>
      <c r="AI152" s="42">
        <f t="shared" si="14"/>
        <v>0</v>
      </c>
      <c r="AJ152" s="11"/>
    </row>
    <row r="153" spans="1:36" ht="27.75" customHeight="1">
      <c r="A153" s="37">
        <v>149</v>
      </c>
      <c r="B153" s="46" t="s">
        <v>395</v>
      </c>
      <c r="C153" s="46" t="s">
        <v>735</v>
      </c>
      <c r="D153" s="16"/>
      <c r="E153" s="55"/>
      <c r="F153" s="55"/>
      <c r="G153" s="55"/>
      <c r="H153" s="55"/>
      <c r="I153" s="55"/>
      <c r="J153" s="55"/>
      <c r="K153" s="55"/>
      <c r="L153" s="55"/>
      <c r="M153" s="55"/>
      <c r="N153" s="55"/>
      <c r="O153" s="55"/>
      <c r="P153" s="55"/>
      <c r="Q153" s="55"/>
      <c r="R153" s="55"/>
      <c r="S153" s="38"/>
      <c r="T153" s="38"/>
      <c r="U153" s="38"/>
      <c r="V153" s="38"/>
      <c r="W153" s="38"/>
      <c r="X153" s="38"/>
      <c r="Y153" s="38"/>
      <c r="Z153" s="38"/>
      <c r="AA153" s="38"/>
      <c r="AB153" s="38"/>
      <c r="AC153" s="38"/>
      <c r="AD153" s="38"/>
      <c r="AE153" s="38"/>
      <c r="AF153" s="38"/>
      <c r="AG153" s="37" t="str">
        <f t="shared" si="12"/>
        <v>○</v>
      </c>
      <c r="AH153" s="37" t="str">
        <f t="shared" si="13"/>
        <v>○</v>
      </c>
      <c r="AI153" s="42">
        <f t="shared" si="14"/>
        <v>0</v>
      </c>
      <c r="AJ153" s="11"/>
    </row>
    <row r="154" spans="1:36" ht="27.75" customHeight="1">
      <c r="A154" s="37">
        <v>150</v>
      </c>
      <c r="B154" s="46" t="s">
        <v>396</v>
      </c>
      <c r="C154" s="46" t="s">
        <v>736</v>
      </c>
      <c r="D154" s="16"/>
      <c r="E154" s="55"/>
      <c r="F154" s="55"/>
      <c r="G154" s="55"/>
      <c r="H154" s="55"/>
      <c r="I154" s="55"/>
      <c r="J154" s="55"/>
      <c r="K154" s="55"/>
      <c r="L154" s="55"/>
      <c r="M154" s="55"/>
      <c r="N154" s="55"/>
      <c r="O154" s="55"/>
      <c r="P154" s="55"/>
      <c r="Q154" s="55"/>
      <c r="R154" s="55"/>
      <c r="S154" s="38"/>
      <c r="T154" s="38"/>
      <c r="U154" s="38"/>
      <c r="V154" s="38"/>
      <c r="W154" s="38"/>
      <c r="X154" s="38"/>
      <c r="Y154" s="38"/>
      <c r="Z154" s="38"/>
      <c r="AA154" s="38"/>
      <c r="AB154" s="38"/>
      <c r="AC154" s="38"/>
      <c r="AD154" s="38"/>
      <c r="AE154" s="38"/>
      <c r="AF154" s="38"/>
      <c r="AG154" s="37" t="str">
        <f t="shared" si="12"/>
        <v>○</v>
      </c>
      <c r="AH154" s="37" t="str">
        <f t="shared" si="13"/>
        <v>○</v>
      </c>
      <c r="AI154" s="42">
        <f t="shared" si="14"/>
        <v>0</v>
      </c>
      <c r="AJ154" s="11"/>
    </row>
    <row r="155" spans="1:36" ht="27.75" customHeight="1">
      <c r="A155" s="37">
        <v>151</v>
      </c>
      <c r="B155" s="46" t="s">
        <v>397</v>
      </c>
      <c r="C155" s="46" t="s">
        <v>737</v>
      </c>
      <c r="D155" s="16"/>
      <c r="E155" s="55"/>
      <c r="F155" s="55"/>
      <c r="G155" s="55"/>
      <c r="H155" s="55"/>
      <c r="I155" s="55"/>
      <c r="J155" s="55"/>
      <c r="K155" s="55"/>
      <c r="L155" s="55"/>
      <c r="M155" s="55"/>
      <c r="N155" s="55"/>
      <c r="O155" s="55"/>
      <c r="P155" s="55"/>
      <c r="Q155" s="55"/>
      <c r="R155" s="55"/>
      <c r="S155" s="38"/>
      <c r="T155" s="38"/>
      <c r="U155" s="38"/>
      <c r="V155" s="38"/>
      <c r="W155" s="38"/>
      <c r="X155" s="38"/>
      <c r="Y155" s="38"/>
      <c r="Z155" s="38"/>
      <c r="AA155" s="38"/>
      <c r="AB155" s="38"/>
      <c r="AC155" s="38"/>
      <c r="AD155" s="38"/>
      <c r="AE155" s="38"/>
      <c r="AF155" s="38"/>
      <c r="AG155" s="37" t="str">
        <f t="shared" si="12"/>
        <v>○</v>
      </c>
      <c r="AH155" s="37" t="str">
        <f t="shared" si="13"/>
        <v>○</v>
      </c>
      <c r="AI155" s="42">
        <f t="shared" si="14"/>
        <v>0</v>
      </c>
      <c r="AJ155" s="11"/>
    </row>
    <row r="156" spans="1:36" ht="27.75" customHeight="1">
      <c r="A156" s="37">
        <v>152</v>
      </c>
      <c r="B156" s="46" t="s">
        <v>398</v>
      </c>
      <c r="C156" s="46" t="s">
        <v>738</v>
      </c>
      <c r="D156" s="16"/>
      <c r="E156" s="55"/>
      <c r="F156" s="55"/>
      <c r="G156" s="55"/>
      <c r="H156" s="55"/>
      <c r="I156" s="55"/>
      <c r="J156" s="55"/>
      <c r="K156" s="55"/>
      <c r="L156" s="55"/>
      <c r="M156" s="55"/>
      <c r="N156" s="55"/>
      <c r="O156" s="55"/>
      <c r="P156" s="55"/>
      <c r="Q156" s="55"/>
      <c r="R156" s="55"/>
      <c r="S156" s="38"/>
      <c r="T156" s="38"/>
      <c r="U156" s="38"/>
      <c r="V156" s="38"/>
      <c r="W156" s="38"/>
      <c r="X156" s="38"/>
      <c r="Y156" s="38"/>
      <c r="Z156" s="38"/>
      <c r="AA156" s="38"/>
      <c r="AB156" s="38"/>
      <c r="AC156" s="38"/>
      <c r="AD156" s="38"/>
      <c r="AE156" s="38"/>
      <c r="AF156" s="38"/>
      <c r="AG156" s="37" t="str">
        <f t="shared" si="12"/>
        <v>○</v>
      </c>
      <c r="AH156" s="37" t="str">
        <f t="shared" si="13"/>
        <v>○</v>
      </c>
      <c r="AI156" s="42">
        <f t="shared" si="14"/>
        <v>0</v>
      </c>
      <c r="AJ156" s="11"/>
    </row>
    <row r="157" spans="1:36" ht="27.75" customHeight="1">
      <c r="A157" s="37">
        <v>153</v>
      </c>
      <c r="B157" s="46" t="s">
        <v>399</v>
      </c>
      <c r="C157" s="46" t="s">
        <v>739</v>
      </c>
      <c r="D157" s="16"/>
      <c r="E157" s="55"/>
      <c r="F157" s="55"/>
      <c r="G157" s="55"/>
      <c r="H157" s="55"/>
      <c r="I157" s="55"/>
      <c r="J157" s="55"/>
      <c r="K157" s="55"/>
      <c r="L157" s="55"/>
      <c r="M157" s="55"/>
      <c r="N157" s="55"/>
      <c r="O157" s="55"/>
      <c r="P157" s="55"/>
      <c r="Q157" s="55"/>
      <c r="R157" s="55"/>
      <c r="S157" s="38"/>
      <c r="T157" s="38"/>
      <c r="U157" s="38"/>
      <c r="V157" s="38"/>
      <c r="W157" s="38"/>
      <c r="X157" s="38"/>
      <c r="Y157" s="38"/>
      <c r="Z157" s="38"/>
      <c r="AA157" s="38"/>
      <c r="AB157" s="38"/>
      <c r="AC157" s="38"/>
      <c r="AD157" s="38"/>
      <c r="AE157" s="38"/>
      <c r="AF157" s="38"/>
      <c r="AG157" s="37" t="str">
        <f t="shared" si="12"/>
        <v>○</v>
      </c>
      <c r="AH157" s="37" t="str">
        <f t="shared" si="13"/>
        <v>○</v>
      </c>
      <c r="AI157" s="42">
        <f t="shared" si="14"/>
        <v>0</v>
      </c>
      <c r="AJ157" s="11"/>
    </row>
    <row r="158" spans="1:36" ht="27.75" customHeight="1">
      <c r="A158" s="37">
        <v>154</v>
      </c>
      <c r="B158" s="46" t="s">
        <v>400</v>
      </c>
      <c r="C158" s="46" t="s">
        <v>740</v>
      </c>
      <c r="D158" s="16"/>
      <c r="E158" s="55"/>
      <c r="F158" s="55"/>
      <c r="G158" s="55"/>
      <c r="H158" s="55"/>
      <c r="I158" s="55"/>
      <c r="J158" s="55"/>
      <c r="K158" s="55"/>
      <c r="L158" s="55"/>
      <c r="M158" s="55"/>
      <c r="N158" s="55"/>
      <c r="O158" s="55"/>
      <c r="P158" s="55"/>
      <c r="Q158" s="55"/>
      <c r="R158" s="55"/>
      <c r="S158" s="38"/>
      <c r="T158" s="38"/>
      <c r="U158" s="38"/>
      <c r="V158" s="38"/>
      <c r="W158" s="38"/>
      <c r="X158" s="38"/>
      <c r="Y158" s="38"/>
      <c r="Z158" s="38"/>
      <c r="AA158" s="38"/>
      <c r="AB158" s="38"/>
      <c r="AC158" s="38"/>
      <c r="AD158" s="38"/>
      <c r="AE158" s="38"/>
      <c r="AF158" s="38"/>
      <c r="AG158" s="37" t="str">
        <f t="shared" si="12"/>
        <v>○</v>
      </c>
      <c r="AH158" s="37" t="str">
        <f t="shared" si="13"/>
        <v>○</v>
      </c>
      <c r="AI158" s="42">
        <f t="shared" si="14"/>
        <v>0</v>
      </c>
      <c r="AJ158" s="11"/>
    </row>
    <row r="159" spans="1:36" ht="27.75" customHeight="1">
      <c r="A159" s="37">
        <v>155</v>
      </c>
      <c r="B159" s="46" t="s">
        <v>401</v>
      </c>
      <c r="C159" s="46" t="s">
        <v>741</v>
      </c>
      <c r="D159" s="16"/>
      <c r="E159" s="55"/>
      <c r="F159" s="55"/>
      <c r="G159" s="55"/>
      <c r="H159" s="55"/>
      <c r="I159" s="55"/>
      <c r="J159" s="55"/>
      <c r="K159" s="55"/>
      <c r="L159" s="55"/>
      <c r="M159" s="55"/>
      <c r="N159" s="55"/>
      <c r="O159" s="55"/>
      <c r="P159" s="55"/>
      <c r="Q159" s="55"/>
      <c r="R159" s="55"/>
      <c r="S159" s="38"/>
      <c r="T159" s="38"/>
      <c r="U159" s="38"/>
      <c r="V159" s="38"/>
      <c r="W159" s="38"/>
      <c r="X159" s="38"/>
      <c r="Y159" s="38"/>
      <c r="Z159" s="38"/>
      <c r="AA159" s="38"/>
      <c r="AB159" s="38"/>
      <c r="AC159" s="38"/>
      <c r="AD159" s="38"/>
      <c r="AE159" s="38"/>
      <c r="AF159" s="38"/>
      <c r="AG159" s="37" t="str">
        <f t="shared" si="12"/>
        <v>○</v>
      </c>
      <c r="AH159" s="37" t="str">
        <f t="shared" si="13"/>
        <v>○</v>
      </c>
      <c r="AI159" s="42">
        <f t="shared" si="14"/>
        <v>0</v>
      </c>
      <c r="AJ159" s="11"/>
    </row>
    <row r="160" spans="1:36" ht="27.75" customHeight="1">
      <c r="A160" s="37">
        <v>156</v>
      </c>
      <c r="B160" s="46" t="s">
        <v>402</v>
      </c>
      <c r="C160" s="46" t="s">
        <v>742</v>
      </c>
      <c r="D160" s="16"/>
      <c r="E160" s="55"/>
      <c r="F160" s="55"/>
      <c r="G160" s="55"/>
      <c r="H160" s="55"/>
      <c r="I160" s="55"/>
      <c r="J160" s="55"/>
      <c r="K160" s="55"/>
      <c r="L160" s="55"/>
      <c r="M160" s="55"/>
      <c r="N160" s="55"/>
      <c r="O160" s="55"/>
      <c r="P160" s="55"/>
      <c r="Q160" s="55"/>
      <c r="R160" s="55"/>
      <c r="S160" s="38"/>
      <c r="T160" s="38"/>
      <c r="U160" s="38"/>
      <c r="V160" s="38"/>
      <c r="W160" s="38"/>
      <c r="X160" s="38"/>
      <c r="Y160" s="38"/>
      <c r="Z160" s="38"/>
      <c r="AA160" s="38"/>
      <c r="AB160" s="38"/>
      <c r="AC160" s="38"/>
      <c r="AD160" s="38"/>
      <c r="AE160" s="38"/>
      <c r="AF160" s="38"/>
      <c r="AG160" s="37" t="str">
        <f t="shared" si="12"/>
        <v>○</v>
      </c>
      <c r="AH160" s="37" t="str">
        <f t="shared" si="13"/>
        <v>○</v>
      </c>
      <c r="AI160" s="42">
        <f t="shared" si="14"/>
        <v>0</v>
      </c>
      <c r="AJ160" s="11"/>
    </row>
    <row r="161" spans="1:36" ht="27.75" customHeight="1">
      <c r="A161" s="37">
        <v>157</v>
      </c>
      <c r="B161" s="46" t="s">
        <v>403</v>
      </c>
      <c r="C161" s="46" t="s">
        <v>743</v>
      </c>
      <c r="D161" s="16"/>
      <c r="E161" s="55"/>
      <c r="F161" s="55"/>
      <c r="G161" s="55"/>
      <c r="H161" s="55"/>
      <c r="I161" s="55"/>
      <c r="J161" s="55"/>
      <c r="K161" s="55"/>
      <c r="L161" s="55"/>
      <c r="M161" s="55"/>
      <c r="N161" s="55"/>
      <c r="O161" s="55"/>
      <c r="P161" s="55"/>
      <c r="Q161" s="55"/>
      <c r="R161" s="55"/>
      <c r="S161" s="38"/>
      <c r="T161" s="38"/>
      <c r="U161" s="38"/>
      <c r="V161" s="38"/>
      <c r="W161" s="38"/>
      <c r="X161" s="38"/>
      <c r="Y161" s="38"/>
      <c r="Z161" s="38"/>
      <c r="AA161" s="38"/>
      <c r="AB161" s="38"/>
      <c r="AC161" s="38"/>
      <c r="AD161" s="38"/>
      <c r="AE161" s="38"/>
      <c r="AF161" s="38"/>
      <c r="AG161" s="37" t="str">
        <f t="shared" si="12"/>
        <v>○</v>
      </c>
      <c r="AH161" s="37" t="str">
        <f t="shared" si="13"/>
        <v>○</v>
      </c>
      <c r="AI161" s="42">
        <f t="shared" si="14"/>
        <v>0</v>
      </c>
      <c r="AJ161" s="11"/>
    </row>
    <row r="162" spans="1:36" ht="27.75" customHeight="1">
      <c r="A162" s="37">
        <v>158</v>
      </c>
      <c r="B162" s="46" t="s">
        <v>404</v>
      </c>
      <c r="C162" s="46" t="s">
        <v>744</v>
      </c>
      <c r="D162" s="16"/>
      <c r="E162" s="55"/>
      <c r="F162" s="55"/>
      <c r="G162" s="55"/>
      <c r="H162" s="55"/>
      <c r="I162" s="55"/>
      <c r="J162" s="55"/>
      <c r="K162" s="55"/>
      <c r="L162" s="55"/>
      <c r="M162" s="55"/>
      <c r="N162" s="55"/>
      <c r="O162" s="55"/>
      <c r="P162" s="55"/>
      <c r="Q162" s="55"/>
      <c r="R162" s="55"/>
      <c r="S162" s="38"/>
      <c r="T162" s="38"/>
      <c r="U162" s="38"/>
      <c r="V162" s="38"/>
      <c r="W162" s="38"/>
      <c r="X162" s="38"/>
      <c r="Y162" s="38"/>
      <c r="Z162" s="38"/>
      <c r="AA162" s="38"/>
      <c r="AB162" s="38"/>
      <c r="AC162" s="38"/>
      <c r="AD162" s="38"/>
      <c r="AE162" s="38"/>
      <c r="AF162" s="38"/>
      <c r="AG162" s="37" t="str">
        <f t="shared" si="12"/>
        <v>○</v>
      </c>
      <c r="AH162" s="37" t="str">
        <f t="shared" si="13"/>
        <v>○</v>
      </c>
      <c r="AI162" s="42">
        <f t="shared" si="14"/>
        <v>0</v>
      </c>
      <c r="AJ162" s="11"/>
    </row>
    <row r="163" spans="1:36" ht="27.75" customHeight="1">
      <c r="A163" s="37">
        <v>159</v>
      </c>
      <c r="B163" s="46" t="s">
        <v>405</v>
      </c>
      <c r="C163" s="46" t="s">
        <v>745</v>
      </c>
      <c r="D163" s="16"/>
      <c r="E163" s="55"/>
      <c r="F163" s="55"/>
      <c r="G163" s="55"/>
      <c r="H163" s="55"/>
      <c r="I163" s="55"/>
      <c r="J163" s="55"/>
      <c r="K163" s="55"/>
      <c r="L163" s="55"/>
      <c r="M163" s="55"/>
      <c r="N163" s="55"/>
      <c r="O163" s="55"/>
      <c r="P163" s="55"/>
      <c r="Q163" s="55"/>
      <c r="R163" s="55"/>
      <c r="S163" s="38"/>
      <c r="T163" s="38"/>
      <c r="U163" s="38"/>
      <c r="V163" s="38"/>
      <c r="W163" s="38"/>
      <c r="X163" s="38"/>
      <c r="Y163" s="38"/>
      <c r="Z163" s="38"/>
      <c r="AA163" s="38"/>
      <c r="AB163" s="38"/>
      <c r="AC163" s="38"/>
      <c r="AD163" s="38"/>
      <c r="AE163" s="38"/>
      <c r="AF163" s="38"/>
      <c r="AG163" s="37" t="str">
        <f t="shared" si="12"/>
        <v>○</v>
      </c>
      <c r="AH163" s="37" t="str">
        <f t="shared" si="13"/>
        <v>○</v>
      </c>
      <c r="AI163" s="42">
        <f t="shared" si="14"/>
        <v>0</v>
      </c>
      <c r="AJ163" s="11"/>
    </row>
    <row r="164" spans="1:36" ht="27.75" customHeight="1">
      <c r="A164" s="37">
        <v>160</v>
      </c>
      <c r="B164" s="46" t="s">
        <v>406</v>
      </c>
      <c r="C164" s="46" t="s">
        <v>746</v>
      </c>
      <c r="D164" s="16"/>
      <c r="E164" s="55"/>
      <c r="F164" s="55"/>
      <c r="G164" s="55"/>
      <c r="H164" s="55"/>
      <c r="I164" s="55"/>
      <c r="J164" s="55"/>
      <c r="K164" s="55"/>
      <c r="L164" s="55"/>
      <c r="M164" s="55"/>
      <c r="N164" s="55"/>
      <c r="O164" s="55"/>
      <c r="P164" s="55"/>
      <c r="Q164" s="55"/>
      <c r="R164" s="55"/>
      <c r="S164" s="38"/>
      <c r="T164" s="38"/>
      <c r="U164" s="38"/>
      <c r="V164" s="38"/>
      <c r="W164" s="38"/>
      <c r="X164" s="38"/>
      <c r="Y164" s="38"/>
      <c r="Z164" s="38"/>
      <c r="AA164" s="38"/>
      <c r="AB164" s="38"/>
      <c r="AC164" s="38"/>
      <c r="AD164" s="38"/>
      <c r="AE164" s="38"/>
      <c r="AF164" s="38"/>
      <c r="AG164" s="37" t="str">
        <f t="shared" si="12"/>
        <v>○</v>
      </c>
      <c r="AH164" s="37" t="str">
        <f t="shared" si="13"/>
        <v>○</v>
      </c>
      <c r="AI164" s="42">
        <f t="shared" si="14"/>
        <v>0</v>
      </c>
      <c r="AJ164" s="11"/>
    </row>
    <row r="165" spans="1:36" ht="27.75" customHeight="1">
      <c r="A165" s="37">
        <v>161</v>
      </c>
      <c r="B165" s="46" t="s">
        <v>407</v>
      </c>
      <c r="C165" s="46" t="s">
        <v>747</v>
      </c>
      <c r="D165" s="16"/>
      <c r="E165" s="55"/>
      <c r="F165" s="55"/>
      <c r="G165" s="55"/>
      <c r="H165" s="55"/>
      <c r="I165" s="55"/>
      <c r="J165" s="55"/>
      <c r="K165" s="55"/>
      <c r="L165" s="55"/>
      <c r="M165" s="55"/>
      <c r="N165" s="55"/>
      <c r="O165" s="55"/>
      <c r="P165" s="55"/>
      <c r="Q165" s="55"/>
      <c r="R165" s="55"/>
      <c r="S165" s="38"/>
      <c r="T165" s="38"/>
      <c r="U165" s="38"/>
      <c r="V165" s="38"/>
      <c r="W165" s="38"/>
      <c r="X165" s="38"/>
      <c r="Y165" s="38"/>
      <c r="Z165" s="38"/>
      <c r="AA165" s="38"/>
      <c r="AB165" s="38"/>
      <c r="AC165" s="38"/>
      <c r="AD165" s="38"/>
      <c r="AE165" s="38"/>
      <c r="AF165" s="38"/>
      <c r="AG165" s="37" t="str">
        <f t="shared" ref="AG165:AG186" si="15">IF(AND(B165="",E165="",S165=""),"",IF(SUMPRODUCT(((E165:R165&gt;=1)&lt;&gt;(S165:AF165&gt;=1))*1)=0,"○","✗"))</f>
        <v>○</v>
      </c>
      <c r="AH165" s="37" t="str">
        <f t="shared" ref="AH165:AH186" si="16">IF(AG165="","",IF(AG165="✗","✗",IF(SUMPRODUCT((E165:R165&lt;&gt;S165:AF165)*1)=0,"○","✗")))</f>
        <v>○</v>
      </c>
      <c r="AI165" s="42">
        <f t="shared" ref="AI165:AI340" si="17">IF(AND(SUM(E165:R165)=0,SUM(S165:AF165)=0),0,(SUM(E165:R165)+SUM(S165:AF165))/2)</f>
        <v>0</v>
      </c>
      <c r="AJ165" s="11"/>
    </row>
    <row r="166" spans="1:36" ht="27.75" customHeight="1">
      <c r="A166" s="37">
        <v>162</v>
      </c>
      <c r="B166" s="46" t="s">
        <v>408</v>
      </c>
      <c r="C166" s="46" t="s">
        <v>748</v>
      </c>
      <c r="D166" s="16"/>
      <c r="E166" s="55"/>
      <c r="F166" s="55"/>
      <c r="G166" s="55"/>
      <c r="H166" s="55"/>
      <c r="I166" s="55"/>
      <c r="J166" s="55"/>
      <c r="K166" s="55"/>
      <c r="L166" s="55"/>
      <c r="M166" s="55"/>
      <c r="N166" s="55"/>
      <c r="O166" s="55"/>
      <c r="P166" s="55"/>
      <c r="Q166" s="55"/>
      <c r="R166" s="55"/>
      <c r="S166" s="38"/>
      <c r="T166" s="38"/>
      <c r="U166" s="38"/>
      <c r="V166" s="38"/>
      <c r="W166" s="38"/>
      <c r="X166" s="38"/>
      <c r="Y166" s="38"/>
      <c r="Z166" s="38"/>
      <c r="AA166" s="38"/>
      <c r="AB166" s="38"/>
      <c r="AC166" s="38"/>
      <c r="AD166" s="38"/>
      <c r="AE166" s="38"/>
      <c r="AF166" s="38"/>
      <c r="AG166" s="37" t="str">
        <f t="shared" si="15"/>
        <v>○</v>
      </c>
      <c r="AH166" s="37" t="str">
        <f t="shared" si="16"/>
        <v>○</v>
      </c>
      <c r="AI166" s="42">
        <f t="shared" si="17"/>
        <v>0</v>
      </c>
      <c r="AJ166" s="11"/>
    </row>
    <row r="167" spans="1:36" ht="27.75" customHeight="1">
      <c r="A167" s="37">
        <v>163</v>
      </c>
      <c r="B167" s="46" t="s">
        <v>409</v>
      </c>
      <c r="C167" s="46" t="s">
        <v>749</v>
      </c>
      <c r="D167" s="16"/>
      <c r="E167" s="55"/>
      <c r="F167" s="55"/>
      <c r="G167" s="55"/>
      <c r="H167" s="55"/>
      <c r="I167" s="55"/>
      <c r="J167" s="55"/>
      <c r="K167" s="55"/>
      <c r="L167" s="55"/>
      <c r="M167" s="55"/>
      <c r="N167" s="55"/>
      <c r="O167" s="55"/>
      <c r="P167" s="55"/>
      <c r="Q167" s="55"/>
      <c r="R167" s="55"/>
      <c r="S167" s="38"/>
      <c r="T167" s="38"/>
      <c r="U167" s="38"/>
      <c r="V167" s="38"/>
      <c r="W167" s="38"/>
      <c r="X167" s="38"/>
      <c r="Y167" s="38"/>
      <c r="Z167" s="38"/>
      <c r="AA167" s="38"/>
      <c r="AB167" s="38"/>
      <c r="AC167" s="38"/>
      <c r="AD167" s="38"/>
      <c r="AE167" s="38"/>
      <c r="AF167" s="38"/>
      <c r="AG167" s="37" t="str">
        <f t="shared" si="15"/>
        <v>○</v>
      </c>
      <c r="AH167" s="37" t="str">
        <f t="shared" si="16"/>
        <v>○</v>
      </c>
      <c r="AI167" s="42">
        <f t="shared" si="17"/>
        <v>0</v>
      </c>
      <c r="AJ167" s="11"/>
    </row>
    <row r="168" spans="1:36" ht="27.75" customHeight="1">
      <c r="A168" s="37">
        <v>164</v>
      </c>
      <c r="B168" s="46" t="s">
        <v>410</v>
      </c>
      <c r="C168" s="46" t="s">
        <v>750</v>
      </c>
      <c r="D168" s="16"/>
      <c r="E168" s="55"/>
      <c r="F168" s="55"/>
      <c r="G168" s="55"/>
      <c r="H168" s="55"/>
      <c r="I168" s="55"/>
      <c r="J168" s="55"/>
      <c r="K168" s="55"/>
      <c r="L168" s="55"/>
      <c r="M168" s="55"/>
      <c r="N168" s="55"/>
      <c r="O168" s="55"/>
      <c r="P168" s="55"/>
      <c r="Q168" s="55"/>
      <c r="R168" s="55"/>
      <c r="S168" s="38"/>
      <c r="T168" s="38"/>
      <c r="U168" s="38"/>
      <c r="V168" s="38"/>
      <c r="W168" s="38"/>
      <c r="X168" s="38"/>
      <c r="Y168" s="38"/>
      <c r="Z168" s="38"/>
      <c r="AA168" s="38"/>
      <c r="AB168" s="38"/>
      <c r="AC168" s="38"/>
      <c r="AD168" s="38"/>
      <c r="AE168" s="38"/>
      <c r="AF168" s="38"/>
      <c r="AG168" s="37" t="str">
        <f t="shared" si="15"/>
        <v>○</v>
      </c>
      <c r="AH168" s="37" t="str">
        <f t="shared" si="16"/>
        <v>○</v>
      </c>
      <c r="AI168" s="42">
        <f t="shared" si="17"/>
        <v>0</v>
      </c>
      <c r="AJ168" s="11"/>
    </row>
    <row r="169" spans="1:36" ht="27.75" customHeight="1">
      <c r="A169" s="37">
        <v>165</v>
      </c>
      <c r="B169" s="46" t="s">
        <v>411</v>
      </c>
      <c r="C169" s="46" t="s">
        <v>751</v>
      </c>
      <c r="D169" s="16"/>
      <c r="E169" s="55"/>
      <c r="F169" s="55"/>
      <c r="G169" s="55"/>
      <c r="H169" s="55"/>
      <c r="I169" s="55"/>
      <c r="J169" s="55"/>
      <c r="K169" s="55"/>
      <c r="L169" s="55"/>
      <c r="M169" s="55"/>
      <c r="N169" s="55"/>
      <c r="O169" s="55"/>
      <c r="P169" s="55"/>
      <c r="Q169" s="55"/>
      <c r="R169" s="55"/>
      <c r="S169" s="38"/>
      <c r="T169" s="38"/>
      <c r="U169" s="38"/>
      <c r="V169" s="38"/>
      <c r="W169" s="38"/>
      <c r="X169" s="38"/>
      <c r="Y169" s="38"/>
      <c r="Z169" s="38"/>
      <c r="AA169" s="38"/>
      <c r="AB169" s="38"/>
      <c r="AC169" s="38"/>
      <c r="AD169" s="38"/>
      <c r="AE169" s="38"/>
      <c r="AF169" s="38"/>
      <c r="AG169" s="37" t="str">
        <f t="shared" si="15"/>
        <v>○</v>
      </c>
      <c r="AH169" s="37" t="str">
        <f t="shared" si="16"/>
        <v>○</v>
      </c>
      <c r="AI169" s="42">
        <f t="shared" si="17"/>
        <v>0</v>
      </c>
      <c r="AJ169" s="11"/>
    </row>
    <row r="170" spans="1:36" ht="27.75" customHeight="1">
      <c r="A170" s="37">
        <v>166</v>
      </c>
      <c r="B170" s="46" t="s">
        <v>412</v>
      </c>
      <c r="C170" s="46" t="s">
        <v>752</v>
      </c>
      <c r="D170" s="16"/>
      <c r="E170" s="55"/>
      <c r="F170" s="55"/>
      <c r="G170" s="55"/>
      <c r="H170" s="55"/>
      <c r="I170" s="55"/>
      <c r="J170" s="55"/>
      <c r="K170" s="55"/>
      <c r="L170" s="55"/>
      <c r="M170" s="55"/>
      <c r="N170" s="55"/>
      <c r="O170" s="55"/>
      <c r="P170" s="55"/>
      <c r="Q170" s="55"/>
      <c r="R170" s="55"/>
      <c r="S170" s="38"/>
      <c r="T170" s="38"/>
      <c r="U170" s="38"/>
      <c r="V170" s="38"/>
      <c r="W170" s="38"/>
      <c r="X170" s="38"/>
      <c r="Y170" s="38"/>
      <c r="Z170" s="38"/>
      <c r="AA170" s="38"/>
      <c r="AB170" s="38"/>
      <c r="AC170" s="38"/>
      <c r="AD170" s="38"/>
      <c r="AE170" s="38"/>
      <c r="AF170" s="38"/>
      <c r="AG170" s="37" t="str">
        <f t="shared" si="15"/>
        <v>○</v>
      </c>
      <c r="AH170" s="37" t="str">
        <f t="shared" si="16"/>
        <v>○</v>
      </c>
      <c r="AI170" s="42">
        <f t="shared" si="17"/>
        <v>0</v>
      </c>
      <c r="AJ170" s="11"/>
    </row>
    <row r="171" spans="1:36" ht="27.75" customHeight="1">
      <c r="A171" s="37">
        <v>167</v>
      </c>
      <c r="B171" s="46" t="s">
        <v>413</v>
      </c>
      <c r="C171" s="46" t="s">
        <v>753</v>
      </c>
      <c r="D171" s="16"/>
      <c r="E171" s="55"/>
      <c r="F171" s="55"/>
      <c r="G171" s="55"/>
      <c r="H171" s="55"/>
      <c r="I171" s="55"/>
      <c r="J171" s="55"/>
      <c r="K171" s="55"/>
      <c r="L171" s="55"/>
      <c r="M171" s="55"/>
      <c r="N171" s="55"/>
      <c r="O171" s="55"/>
      <c r="P171" s="55"/>
      <c r="Q171" s="55"/>
      <c r="R171" s="55"/>
      <c r="S171" s="38"/>
      <c r="T171" s="38"/>
      <c r="U171" s="38"/>
      <c r="V171" s="38"/>
      <c r="W171" s="38"/>
      <c r="X171" s="38"/>
      <c r="Y171" s="38"/>
      <c r="Z171" s="38"/>
      <c r="AA171" s="38"/>
      <c r="AB171" s="38"/>
      <c r="AC171" s="38"/>
      <c r="AD171" s="38"/>
      <c r="AE171" s="38"/>
      <c r="AF171" s="38"/>
      <c r="AG171" s="37" t="str">
        <f t="shared" si="15"/>
        <v>○</v>
      </c>
      <c r="AH171" s="37" t="str">
        <f t="shared" si="16"/>
        <v>○</v>
      </c>
      <c r="AI171" s="42">
        <f t="shared" si="17"/>
        <v>0</v>
      </c>
      <c r="AJ171" s="11"/>
    </row>
    <row r="172" spans="1:36" ht="27.75" customHeight="1">
      <c r="A172" s="37">
        <v>168</v>
      </c>
      <c r="B172" s="46" t="s">
        <v>414</v>
      </c>
      <c r="C172" s="46" t="s">
        <v>754</v>
      </c>
      <c r="D172" s="16"/>
      <c r="E172" s="55"/>
      <c r="F172" s="55"/>
      <c r="G172" s="55"/>
      <c r="H172" s="55"/>
      <c r="I172" s="55"/>
      <c r="J172" s="55"/>
      <c r="K172" s="55"/>
      <c r="L172" s="55"/>
      <c r="M172" s="55"/>
      <c r="N172" s="55"/>
      <c r="O172" s="55"/>
      <c r="P172" s="55"/>
      <c r="Q172" s="55"/>
      <c r="R172" s="55"/>
      <c r="S172" s="38"/>
      <c r="T172" s="38"/>
      <c r="U172" s="38"/>
      <c r="V172" s="38"/>
      <c r="W172" s="38"/>
      <c r="X172" s="38"/>
      <c r="Y172" s="38"/>
      <c r="Z172" s="38"/>
      <c r="AA172" s="38"/>
      <c r="AB172" s="38"/>
      <c r="AC172" s="38"/>
      <c r="AD172" s="38"/>
      <c r="AE172" s="38"/>
      <c r="AF172" s="38"/>
      <c r="AG172" s="37" t="str">
        <f t="shared" si="15"/>
        <v>○</v>
      </c>
      <c r="AH172" s="37" t="str">
        <f t="shared" si="16"/>
        <v>○</v>
      </c>
      <c r="AI172" s="42">
        <f t="shared" si="17"/>
        <v>0</v>
      </c>
      <c r="AJ172" s="11"/>
    </row>
    <row r="173" spans="1:36" ht="27.75" customHeight="1">
      <c r="A173" s="37">
        <v>169</v>
      </c>
      <c r="B173" s="46" t="s">
        <v>415</v>
      </c>
      <c r="C173" s="46" t="s">
        <v>755</v>
      </c>
      <c r="D173" s="16"/>
      <c r="E173" s="55"/>
      <c r="F173" s="55"/>
      <c r="G173" s="55"/>
      <c r="H173" s="55"/>
      <c r="I173" s="55"/>
      <c r="J173" s="55"/>
      <c r="K173" s="55"/>
      <c r="L173" s="55"/>
      <c r="M173" s="55"/>
      <c r="N173" s="55"/>
      <c r="O173" s="55"/>
      <c r="P173" s="55"/>
      <c r="Q173" s="55"/>
      <c r="R173" s="55"/>
      <c r="S173" s="38"/>
      <c r="T173" s="38"/>
      <c r="U173" s="38"/>
      <c r="V173" s="38"/>
      <c r="W173" s="38"/>
      <c r="X173" s="38"/>
      <c r="Y173" s="38"/>
      <c r="Z173" s="38"/>
      <c r="AA173" s="38"/>
      <c r="AB173" s="38"/>
      <c r="AC173" s="38"/>
      <c r="AD173" s="38"/>
      <c r="AE173" s="38"/>
      <c r="AF173" s="38"/>
      <c r="AG173" s="37" t="str">
        <f t="shared" si="15"/>
        <v>○</v>
      </c>
      <c r="AH173" s="37" t="str">
        <f t="shared" si="16"/>
        <v>○</v>
      </c>
      <c r="AI173" s="42">
        <f t="shared" si="17"/>
        <v>0</v>
      </c>
      <c r="AJ173" s="11"/>
    </row>
    <row r="174" spans="1:36" ht="27.75" customHeight="1">
      <c r="A174" s="37">
        <v>170</v>
      </c>
      <c r="B174" s="46" t="s">
        <v>416</v>
      </c>
      <c r="C174" s="46" t="s">
        <v>756</v>
      </c>
      <c r="D174" s="16"/>
      <c r="E174" s="55"/>
      <c r="F174" s="55"/>
      <c r="G174" s="55"/>
      <c r="H174" s="55"/>
      <c r="I174" s="55"/>
      <c r="J174" s="55"/>
      <c r="K174" s="55"/>
      <c r="L174" s="55"/>
      <c r="M174" s="55"/>
      <c r="N174" s="55"/>
      <c r="O174" s="55"/>
      <c r="P174" s="55"/>
      <c r="Q174" s="55"/>
      <c r="R174" s="55"/>
      <c r="S174" s="38"/>
      <c r="T174" s="38"/>
      <c r="U174" s="38"/>
      <c r="V174" s="38"/>
      <c r="W174" s="38"/>
      <c r="X174" s="38"/>
      <c r="Y174" s="38"/>
      <c r="Z174" s="38"/>
      <c r="AA174" s="38"/>
      <c r="AB174" s="38"/>
      <c r="AC174" s="38"/>
      <c r="AD174" s="38"/>
      <c r="AE174" s="38"/>
      <c r="AF174" s="38"/>
      <c r="AG174" s="37" t="str">
        <f t="shared" si="15"/>
        <v>○</v>
      </c>
      <c r="AH174" s="37" t="str">
        <f t="shared" si="16"/>
        <v>○</v>
      </c>
      <c r="AI174" s="42">
        <f t="shared" si="17"/>
        <v>0</v>
      </c>
      <c r="AJ174" s="11"/>
    </row>
    <row r="175" spans="1:36" ht="27.75" customHeight="1">
      <c r="A175" s="37">
        <v>171</v>
      </c>
      <c r="B175" s="46" t="s">
        <v>417</v>
      </c>
      <c r="C175" s="46" t="s">
        <v>757</v>
      </c>
      <c r="D175" s="16"/>
      <c r="E175" s="55"/>
      <c r="F175" s="55"/>
      <c r="G175" s="55"/>
      <c r="H175" s="55"/>
      <c r="I175" s="55"/>
      <c r="J175" s="55"/>
      <c r="K175" s="55"/>
      <c r="L175" s="55"/>
      <c r="M175" s="55"/>
      <c r="N175" s="55"/>
      <c r="O175" s="55"/>
      <c r="P175" s="55"/>
      <c r="Q175" s="55"/>
      <c r="R175" s="55"/>
      <c r="S175" s="38"/>
      <c r="T175" s="38"/>
      <c r="U175" s="38"/>
      <c r="V175" s="38"/>
      <c r="W175" s="38"/>
      <c r="X175" s="38"/>
      <c r="Y175" s="38"/>
      <c r="Z175" s="38"/>
      <c r="AA175" s="38"/>
      <c r="AB175" s="38"/>
      <c r="AC175" s="38"/>
      <c r="AD175" s="38"/>
      <c r="AE175" s="38"/>
      <c r="AF175" s="38"/>
      <c r="AG175" s="37" t="str">
        <f t="shared" si="15"/>
        <v>○</v>
      </c>
      <c r="AH175" s="37" t="str">
        <f t="shared" si="16"/>
        <v>○</v>
      </c>
      <c r="AI175" s="42">
        <f t="shared" si="17"/>
        <v>0</v>
      </c>
      <c r="AJ175" s="11"/>
    </row>
    <row r="176" spans="1:36" ht="27.75" customHeight="1">
      <c r="A176" s="37">
        <v>172</v>
      </c>
      <c r="B176" s="46" t="s">
        <v>418</v>
      </c>
      <c r="C176" s="46" t="s">
        <v>758</v>
      </c>
      <c r="D176" s="16"/>
      <c r="E176" s="55"/>
      <c r="F176" s="55"/>
      <c r="G176" s="55"/>
      <c r="H176" s="55"/>
      <c r="I176" s="55"/>
      <c r="J176" s="55"/>
      <c r="K176" s="55"/>
      <c r="L176" s="55"/>
      <c r="M176" s="55"/>
      <c r="N176" s="55"/>
      <c r="O176" s="55"/>
      <c r="P176" s="55"/>
      <c r="Q176" s="55"/>
      <c r="R176" s="55"/>
      <c r="S176" s="38"/>
      <c r="T176" s="38"/>
      <c r="U176" s="38"/>
      <c r="V176" s="38"/>
      <c r="W176" s="38"/>
      <c r="X176" s="38"/>
      <c r="Y176" s="38"/>
      <c r="Z176" s="38"/>
      <c r="AA176" s="38"/>
      <c r="AB176" s="38"/>
      <c r="AC176" s="38"/>
      <c r="AD176" s="38"/>
      <c r="AE176" s="38"/>
      <c r="AF176" s="38"/>
      <c r="AG176" s="37" t="str">
        <f t="shared" si="15"/>
        <v>○</v>
      </c>
      <c r="AH176" s="37" t="str">
        <f t="shared" si="16"/>
        <v>○</v>
      </c>
      <c r="AI176" s="42">
        <f t="shared" si="17"/>
        <v>0</v>
      </c>
      <c r="AJ176" s="11"/>
    </row>
    <row r="177" spans="1:36" ht="27.75" customHeight="1">
      <c r="A177" s="37">
        <v>173</v>
      </c>
      <c r="B177" s="46" t="s">
        <v>419</v>
      </c>
      <c r="C177" s="46" t="s">
        <v>759</v>
      </c>
      <c r="D177" s="16"/>
      <c r="E177" s="55"/>
      <c r="F177" s="55"/>
      <c r="G177" s="55"/>
      <c r="H177" s="55"/>
      <c r="I177" s="55"/>
      <c r="J177" s="55"/>
      <c r="K177" s="55"/>
      <c r="L177" s="55"/>
      <c r="M177" s="55"/>
      <c r="N177" s="55"/>
      <c r="O177" s="55"/>
      <c r="P177" s="55"/>
      <c r="Q177" s="55"/>
      <c r="R177" s="55"/>
      <c r="S177" s="38"/>
      <c r="T177" s="38"/>
      <c r="U177" s="38"/>
      <c r="V177" s="38"/>
      <c r="W177" s="38"/>
      <c r="X177" s="38"/>
      <c r="Y177" s="38"/>
      <c r="Z177" s="38"/>
      <c r="AA177" s="38"/>
      <c r="AB177" s="38"/>
      <c r="AC177" s="38"/>
      <c r="AD177" s="38"/>
      <c r="AE177" s="38"/>
      <c r="AF177" s="38"/>
      <c r="AG177" s="37" t="str">
        <f t="shared" si="15"/>
        <v>○</v>
      </c>
      <c r="AH177" s="37" t="str">
        <f t="shared" si="16"/>
        <v>○</v>
      </c>
      <c r="AI177" s="42">
        <f t="shared" si="17"/>
        <v>0</v>
      </c>
      <c r="AJ177" s="11"/>
    </row>
    <row r="178" spans="1:36" ht="27.75" customHeight="1">
      <c r="A178" s="37">
        <v>174</v>
      </c>
      <c r="B178" s="46" t="s">
        <v>420</v>
      </c>
      <c r="C178" s="46" t="s">
        <v>760</v>
      </c>
      <c r="D178" s="16"/>
      <c r="E178" s="55"/>
      <c r="F178" s="55"/>
      <c r="G178" s="55"/>
      <c r="H178" s="55"/>
      <c r="I178" s="55"/>
      <c r="J178" s="55"/>
      <c r="K178" s="55"/>
      <c r="L178" s="55"/>
      <c r="M178" s="55"/>
      <c r="N178" s="55"/>
      <c r="O178" s="55"/>
      <c r="P178" s="55"/>
      <c r="Q178" s="55"/>
      <c r="R178" s="55"/>
      <c r="S178" s="38"/>
      <c r="T178" s="38"/>
      <c r="U178" s="38"/>
      <c r="V178" s="38"/>
      <c r="W178" s="38"/>
      <c r="X178" s="38"/>
      <c r="Y178" s="38"/>
      <c r="Z178" s="38"/>
      <c r="AA178" s="38"/>
      <c r="AB178" s="38"/>
      <c r="AC178" s="38"/>
      <c r="AD178" s="38"/>
      <c r="AE178" s="38"/>
      <c r="AF178" s="38"/>
      <c r="AG178" s="37" t="str">
        <f t="shared" si="15"/>
        <v>○</v>
      </c>
      <c r="AH178" s="37" t="str">
        <f t="shared" si="16"/>
        <v>○</v>
      </c>
      <c r="AI178" s="42">
        <f t="shared" si="17"/>
        <v>0</v>
      </c>
      <c r="AJ178" s="11"/>
    </row>
    <row r="179" spans="1:36" ht="27.75" customHeight="1">
      <c r="A179" s="37">
        <v>175</v>
      </c>
      <c r="B179" s="46" t="s">
        <v>421</v>
      </c>
      <c r="C179" s="46" t="s">
        <v>761</v>
      </c>
      <c r="D179" s="16"/>
      <c r="E179" s="55"/>
      <c r="F179" s="55"/>
      <c r="G179" s="55"/>
      <c r="H179" s="55"/>
      <c r="I179" s="55"/>
      <c r="J179" s="55"/>
      <c r="K179" s="55"/>
      <c r="L179" s="55"/>
      <c r="M179" s="55"/>
      <c r="N179" s="55"/>
      <c r="O179" s="55"/>
      <c r="P179" s="55"/>
      <c r="Q179" s="55"/>
      <c r="R179" s="55"/>
      <c r="S179" s="38"/>
      <c r="T179" s="38"/>
      <c r="U179" s="38"/>
      <c r="V179" s="38"/>
      <c r="W179" s="38"/>
      <c r="X179" s="38"/>
      <c r="Y179" s="38"/>
      <c r="Z179" s="38"/>
      <c r="AA179" s="38"/>
      <c r="AB179" s="38"/>
      <c r="AC179" s="38"/>
      <c r="AD179" s="38"/>
      <c r="AE179" s="38"/>
      <c r="AF179" s="38"/>
      <c r="AG179" s="37" t="str">
        <f t="shared" si="15"/>
        <v>○</v>
      </c>
      <c r="AH179" s="37" t="str">
        <f t="shared" si="16"/>
        <v>○</v>
      </c>
      <c r="AI179" s="42">
        <f t="shared" si="17"/>
        <v>0</v>
      </c>
      <c r="AJ179" s="11"/>
    </row>
    <row r="180" spans="1:36" ht="27.75" customHeight="1">
      <c r="A180" s="37">
        <v>176</v>
      </c>
      <c r="B180" s="46" t="s">
        <v>422</v>
      </c>
      <c r="C180" s="46" t="s">
        <v>762</v>
      </c>
      <c r="D180" s="16"/>
      <c r="E180" s="55"/>
      <c r="F180" s="55"/>
      <c r="G180" s="55"/>
      <c r="H180" s="55"/>
      <c r="I180" s="55"/>
      <c r="J180" s="55"/>
      <c r="K180" s="55"/>
      <c r="L180" s="55"/>
      <c r="M180" s="55"/>
      <c r="N180" s="55"/>
      <c r="O180" s="55"/>
      <c r="P180" s="55"/>
      <c r="Q180" s="55"/>
      <c r="R180" s="55"/>
      <c r="S180" s="38"/>
      <c r="T180" s="38"/>
      <c r="U180" s="38"/>
      <c r="V180" s="38"/>
      <c r="W180" s="38"/>
      <c r="X180" s="38"/>
      <c r="Y180" s="38"/>
      <c r="Z180" s="38"/>
      <c r="AA180" s="38"/>
      <c r="AB180" s="38"/>
      <c r="AC180" s="38"/>
      <c r="AD180" s="38"/>
      <c r="AE180" s="38"/>
      <c r="AF180" s="38"/>
      <c r="AG180" s="37" t="str">
        <f t="shared" si="15"/>
        <v>○</v>
      </c>
      <c r="AH180" s="37" t="str">
        <f t="shared" si="16"/>
        <v>○</v>
      </c>
      <c r="AI180" s="42">
        <f t="shared" si="17"/>
        <v>0</v>
      </c>
      <c r="AJ180" s="11"/>
    </row>
    <row r="181" spans="1:36" ht="27.75" customHeight="1">
      <c r="A181" s="37">
        <v>177</v>
      </c>
      <c r="B181" s="46" t="s">
        <v>338</v>
      </c>
      <c r="C181" s="46" t="s">
        <v>338</v>
      </c>
      <c r="D181" s="16"/>
      <c r="E181" s="55"/>
      <c r="F181" s="55"/>
      <c r="G181" s="55"/>
      <c r="H181" s="55"/>
      <c r="I181" s="55"/>
      <c r="J181" s="55"/>
      <c r="K181" s="55"/>
      <c r="L181" s="55"/>
      <c r="M181" s="55"/>
      <c r="N181" s="55"/>
      <c r="O181" s="55"/>
      <c r="P181" s="55"/>
      <c r="Q181" s="55"/>
      <c r="R181" s="55"/>
      <c r="S181" s="38"/>
      <c r="T181" s="38"/>
      <c r="U181" s="38"/>
      <c r="V181" s="38"/>
      <c r="W181" s="38"/>
      <c r="X181" s="38"/>
      <c r="Y181" s="38"/>
      <c r="Z181" s="38"/>
      <c r="AA181" s="38"/>
      <c r="AB181" s="38"/>
      <c r="AC181" s="38"/>
      <c r="AD181" s="38"/>
      <c r="AE181" s="38"/>
      <c r="AF181" s="38"/>
      <c r="AG181" s="37" t="str">
        <f t="shared" si="15"/>
        <v>○</v>
      </c>
      <c r="AH181" s="37" t="str">
        <f t="shared" si="16"/>
        <v>○</v>
      </c>
      <c r="AI181" s="42">
        <f t="shared" si="17"/>
        <v>0</v>
      </c>
      <c r="AJ181" s="11"/>
    </row>
    <row r="182" spans="1:36" ht="27.75" customHeight="1">
      <c r="A182" s="37">
        <v>178</v>
      </c>
      <c r="B182" s="46" t="s">
        <v>423</v>
      </c>
      <c r="C182" s="46" t="s">
        <v>763</v>
      </c>
      <c r="D182" s="16"/>
      <c r="E182" s="55"/>
      <c r="F182" s="55"/>
      <c r="G182" s="55"/>
      <c r="H182" s="55"/>
      <c r="I182" s="55"/>
      <c r="J182" s="55"/>
      <c r="K182" s="55"/>
      <c r="L182" s="55"/>
      <c r="M182" s="55"/>
      <c r="N182" s="55"/>
      <c r="O182" s="55"/>
      <c r="P182" s="55"/>
      <c r="Q182" s="55"/>
      <c r="R182" s="55"/>
      <c r="S182" s="38"/>
      <c r="T182" s="38"/>
      <c r="U182" s="38"/>
      <c r="V182" s="38"/>
      <c r="W182" s="38"/>
      <c r="X182" s="38"/>
      <c r="Y182" s="38"/>
      <c r="Z182" s="38"/>
      <c r="AA182" s="38"/>
      <c r="AB182" s="38"/>
      <c r="AC182" s="38"/>
      <c r="AD182" s="38"/>
      <c r="AE182" s="38"/>
      <c r="AF182" s="38"/>
      <c r="AG182" s="37" t="str">
        <f t="shared" si="15"/>
        <v>○</v>
      </c>
      <c r="AH182" s="37" t="str">
        <f t="shared" si="16"/>
        <v>○</v>
      </c>
      <c r="AI182" s="42">
        <f t="shared" si="17"/>
        <v>0</v>
      </c>
      <c r="AJ182" s="11"/>
    </row>
    <row r="183" spans="1:36" ht="27.75" customHeight="1">
      <c r="A183" s="37">
        <v>179</v>
      </c>
      <c r="B183" s="46" t="s">
        <v>424</v>
      </c>
      <c r="C183" s="46" t="s">
        <v>764</v>
      </c>
      <c r="D183" s="16"/>
      <c r="E183" s="55"/>
      <c r="F183" s="55"/>
      <c r="G183" s="55"/>
      <c r="H183" s="55"/>
      <c r="I183" s="55"/>
      <c r="J183" s="55"/>
      <c r="K183" s="55"/>
      <c r="L183" s="55"/>
      <c r="M183" s="55"/>
      <c r="N183" s="55"/>
      <c r="O183" s="55"/>
      <c r="P183" s="55"/>
      <c r="Q183" s="55"/>
      <c r="R183" s="55"/>
      <c r="S183" s="38"/>
      <c r="T183" s="38"/>
      <c r="U183" s="38"/>
      <c r="V183" s="38"/>
      <c r="W183" s="38"/>
      <c r="X183" s="38"/>
      <c r="Y183" s="38"/>
      <c r="Z183" s="38"/>
      <c r="AA183" s="38"/>
      <c r="AB183" s="38"/>
      <c r="AC183" s="38"/>
      <c r="AD183" s="38"/>
      <c r="AE183" s="38"/>
      <c r="AF183" s="38"/>
      <c r="AG183" s="37" t="str">
        <f t="shared" si="15"/>
        <v>○</v>
      </c>
      <c r="AH183" s="37" t="str">
        <f t="shared" si="16"/>
        <v>○</v>
      </c>
      <c r="AI183" s="42">
        <f t="shared" si="17"/>
        <v>0</v>
      </c>
      <c r="AJ183" s="11"/>
    </row>
    <row r="184" spans="1:36" ht="27.75" customHeight="1">
      <c r="A184" s="37">
        <v>180</v>
      </c>
      <c r="B184" s="46" t="s">
        <v>425</v>
      </c>
      <c r="C184" s="46" t="s">
        <v>765</v>
      </c>
      <c r="D184" s="16"/>
      <c r="E184" s="55"/>
      <c r="F184" s="55"/>
      <c r="G184" s="55"/>
      <c r="H184" s="55"/>
      <c r="I184" s="55"/>
      <c r="J184" s="55"/>
      <c r="K184" s="55"/>
      <c r="L184" s="55"/>
      <c r="M184" s="55"/>
      <c r="N184" s="55"/>
      <c r="O184" s="55"/>
      <c r="P184" s="55"/>
      <c r="Q184" s="55"/>
      <c r="R184" s="55"/>
      <c r="S184" s="38"/>
      <c r="T184" s="38"/>
      <c r="U184" s="38"/>
      <c r="V184" s="38"/>
      <c r="W184" s="38"/>
      <c r="X184" s="38"/>
      <c r="Y184" s="38"/>
      <c r="Z184" s="38"/>
      <c r="AA184" s="38"/>
      <c r="AB184" s="38"/>
      <c r="AC184" s="38"/>
      <c r="AD184" s="38"/>
      <c r="AE184" s="38"/>
      <c r="AF184" s="38"/>
      <c r="AG184" s="37" t="str">
        <f t="shared" si="15"/>
        <v>○</v>
      </c>
      <c r="AH184" s="37" t="str">
        <f t="shared" si="16"/>
        <v>○</v>
      </c>
      <c r="AI184" s="42">
        <f t="shared" si="17"/>
        <v>0</v>
      </c>
      <c r="AJ184" s="11"/>
    </row>
    <row r="185" spans="1:36" ht="27.75" customHeight="1">
      <c r="A185" s="37">
        <v>181</v>
      </c>
      <c r="B185" s="46" t="s">
        <v>426</v>
      </c>
      <c r="C185" s="46" t="s">
        <v>766</v>
      </c>
      <c r="D185" s="16"/>
      <c r="E185" s="55"/>
      <c r="F185" s="55"/>
      <c r="G185" s="55"/>
      <c r="H185" s="55"/>
      <c r="I185" s="55"/>
      <c r="J185" s="55"/>
      <c r="K185" s="55"/>
      <c r="L185" s="55"/>
      <c r="M185" s="55"/>
      <c r="N185" s="55"/>
      <c r="O185" s="55"/>
      <c r="P185" s="55"/>
      <c r="Q185" s="55"/>
      <c r="R185" s="55"/>
      <c r="S185" s="38"/>
      <c r="T185" s="38"/>
      <c r="U185" s="38"/>
      <c r="V185" s="38"/>
      <c r="W185" s="38"/>
      <c r="X185" s="38"/>
      <c r="Y185" s="38"/>
      <c r="Z185" s="38"/>
      <c r="AA185" s="38"/>
      <c r="AB185" s="38"/>
      <c r="AC185" s="38"/>
      <c r="AD185" s="38"/>
      <c r="AE185" s="38"/>
      <c r="AF185" s="38"/>
      <c r="AG185" s="37" t="str">
        <f t="shared" si="15"/>
        <v>○</v>
      </c>
      <c r="AH185" s="37" t="str">
        <f t="shared" si="16"/>
        <v>○</v>
      </c>
      <c r="AI185" s="42">
        <f t="shared" si="17"/>
        <v>0</v>
      </c>
      <c r="AJ185" s="11"/>
    </row>
    <row r="186" spans="1:36" ht="27.75" customHeight="1">
      <c r="A186" s="37">
        <v>182</v>
      </c>
      <c r="B186" s="46" t="s">
        <v>427</v>
      </c>
      <c r="C186" s="46" t="s">
        <v>1018</v>
      </c>
      <c r="D186" s="16"/>
      <c r="E186" s="55"/>
      <c r="F186" s="55"/>
      <c r="G186" s="55"/>
      <c r="H186" s="55"/>
      <c r="I186" s="55"/>
      <c r="J186" s="55"/>
      <c r="K186" s="55"/>
      <c r="L186" s="55"/>
      <c r="M186" s="55"/>
      <c r="N186" s="55"/>
      <c r="O186" s="55"/>
      <c r="P186" s="55"/>
      <c r="Q186" s="55"/>
      <c r="R186" s="55"/>
      <c r="S186" s="38"/>
      <c r="T186" s="38"/>
      <c r="U186" s="38"/>
      <c r="V186" s="38"/>
      <c r="W186" s="38"/>
      <c r="X186" s="38"/>
      <c r="Y186" s="38"/>
      <c r="Z186" s="38"/>
      <c r="AA186" s="38"/>
      <c r="AB186" s="38"/>
      <c r="AC186" s="38"/>
      <c r="AD186" s="38"/>
      <c r="AE186" s="38"/>
      <c r="AF186" s="38"/>
      <c r="AG186" s="37" t="str">
        <f t="shared" si="15"/>
        <v>○</v>
      </c>
      <c r="AH186" s="37" t="str">
        <f t="shared" si="16"/>
        <v>○</v>
      </c>
      <c r="AI186" s="42">
        <f t="shared" si="17"/>
        <v>0</v>
      </c>
      <c r="AJ186" s="11"/>
    </row>
    <row r="187" spans="1:36" ht="27.75" customHeight="1">
      <c r="A187" s="37">
        <v>183</v>
      </c>
      <c r="B187" s="46" t="s">
        <v>428</v>
      </c>
      <c r="C187" s="46" t="s">
        <v>767</v>
      </c>
      <c r="D187" s="52"/>
      <c r="E187" s="55"/>
      <c r="F187" s="55"/>
      <c r="G187" s="55"/>
      <c r="H187" s="55"/>
      <c r="I187" s="55"/>
      <c r="J187" s="55"/>
      <c r="K187" s="55"/>
      <c r="L187" s="55"/>
      <c r="M187" s="55"/>
      <c r="N187" s="55"/>
      <c r="O187" s="55"/>
      <c r="P187" s="55"/>
      <c r="Q187" s="55"/>
      <c r="R187" s="55"/>
      <c r="S187" s="53"/>
      <c r="T187" s="53"/>
      <c r="U187" s="53"/>
      <c r="V187" s="53"/>
      <c r="W187" s="53"/>
      <c r="X187" s="53"/>
      <c r="Y187" s="53"/>
      <c r="Z187" s="53"/>
      <c r="AA187" s="53"/>
      <c r="AB187" s="53"/>
      <c r="AC187" s="53"/>
      <c r="AD187" s="53"/>
      <c r="AE187" s="53"/>
      <c r="AF187" s="53"/>
      <c r="AG187" s="37" t="str">
        <f t="shared" ref="AG187:AG250" si="18">IF(AND(B187="",E187="",S187=""),"",IF(SUMPRODUCT(((E187:R187&gt;=1)&lt;&gt;(S187:AF187&gt;=1))*1)=0,"○","✗"))</f>
        <v>○</v>
      </c>
      <c r="AH187" s="37" t="str">
        <f t="shared" ref="AH187:AH250" si="19">IF(AG187="","",IF(AG187="✗","✗",IF(SUMPRODUCT((E187:R187&lt;&gt;S187:AF187)*1)=0,"○","✗")))</f>
        <v>○</v>
      </c>
      <c r="AI187" s="42">
        <f t="shared" si="17"/>
        <v>0</v>
      </c>
      <c r="AJ187" s="54"/>
    </row>
    <row r="188" spans="1:36" ht="27.75" customHeight="1">
      <c r="A188" s="37">
        <v>184</v>
      </c>
      <c r="B188" s="46" t="s">
        <v>429</v>
      </c>
      <c r="C188" s="46" t="s">
        <v>768</v>
      </c>
      <c r="D188" s="52"/>
      <c r="E188" s="55"/>
      <c r="F188" s="55"/>
      <c r="G188" s="55"/>
      <c r="H188" s="55"/>
      <c r="I188" s="55"/>
      <c r="J188" s="55"/>
      <c r="K188" s="55"/>
      <c r="L188" s="55"/>
      <c r="M188" s="55"/>
      <c r="N188" s="55"/>
      <c r="O188" s="55"/>
      <c r="P188" s="55"/>
      <c r="Q188" s="55"/>
      <c r="R188" s="55"/>
      <c r="S188" s="53"/>
      <c r="T188" s="53"/>
      <c r="U188" s="53"/>
      <c r="V188" s="53"/>
      <c r="W188" s="53"/>
      <c r="X188" s="53"/>
      <c r="Y188" s="53"/>
      <c r="Z188" s="53"/>
      <c r="AA188" s="53"/>
      <c r="AB188" s="53"/>
      <c r="AC188" s="53"/>
      <c r="AD188" s="53"/>
      <c r="AE188" s="53"/>
      <c r="AF188" s="53"/>
      <c r="AG188" s="37" t="str">
        <f t="shared" si="18"/>
        <v>○</v>
      </c>
      <c r="AH188" s="37" t="str">
        <f t="shared" si="19"/>
        <v>○</v>
      </c>
      <c r="AI188" s="42">
        <f t="shared" si="17"/>
        <v>0</v>
      </c>
      <c r="AJ188" s="54"/>
    </row>
    <row r="189" spans="1:36" ht="27.75" customHeight="1">
      <c r="A189" s="37">
        <v>185</v>
      </c>
      <c r="B189" s="46" t="s">
        <v>430</v>
      </c>
      <c r="C189" s="46" t="s">
        <v>769</v>
      </c>
      <c r="D189" s="52"/>
      <c r="E189" s="55"/>
      <c r="F189" s="55"/>
      <c r="G189" s="55"/>
      <c r="H189" s="55"/>
      <c r="I189" s="55"/>
      <c r="J189" s="55"/>
      <c r="K189" s="55"/>
      <c r="L189" s="55"/>
      <c r="M189" s="55"/>
      <c r="N189" s="55"/>
      <c r="O189" s="55"/>
      <c r="P189" s="55"/>
      <c r="Q189" s="55"/>
      <c r="R189" s="55"/>
      <c r="S189" s="53"/>
      <c r="T189" s="53"/>
      <c r="U189" s="53"/>
      <c r="V189" s="53"/>
      <c r="W189" s="53"/>
      <c r="X189" s="53"/>
      <c r="Y189" s="53"/>
      <c r="Z189" s="53"/>
      <c r="AA189" s="53"/>
      <c r="AB189" s="53"/>
      <c r="AC189" s="53"/>
      <c r="AD189" s="53"/>
      <c r="AE189" s="53"/>
      <c r="AF189" s="53"/>
      <c r="AG189" s="37" t="str">
        <f t="shared" si="18"/>
        <v>○</v>
      </c>
      <c r="AH189" s="37" t="str">
        <f t="shared" si="19"/>
        <v>○</v>
      </c>
      <c r="AI189" s="42">
        <f t="shared" si="17"/>
        <v>0</v>
      </c>
      <c r="AJ189" s="54"/>
    </row>
    <row r="190" spans="1:36" ht="27.75" customHeight="1">
      <c r="A190" s="37">
        <v>186</v>
      </c>
      <c r="B190" s="46" t="s">
        <v>431</v>
      </c>
      <c r="C190" s="46" t="s">
        <v>770</v>
      </c>
      <c r="D190" s="52"/>
      <c r="E190" s="55"/>
      <c r="F190" s="55"/>
      <c r="G190" s="55"/>
      <c r="H190" s="55"/>
      <c r="I190" s="55"/>
      <c r="J190" s="55"/>
      <c r="K190" s="55"/>
      <c r="L190" s="55"/>
      <c r="M190" s="55"/>
      <c r="N190" s="55"/>
      <c r="O190" s="55"/>
      <c r="P190" s="55"/>
      <c r="Q190" s="55"/>
      <c r="R190" s="55"/>
      <c r="S190" s="53"/>
      <c r="T190" s="53"/>
      <c r="U190" s="53"/>
      <c r="V190" s="53"/>
      <c r="W190" s="53"/>
      <c r="X190" s="53"/>
      <c r="Y190" s="53"/>
      <c r="Z190" s="53"/>
      <c r="AA190" s="53"/>
      <c r="AB190" s="53"/>
      <c r="AC190" s="53"/>
      <c r="AD190" s="53"/>
      <c r="AE190" s="53"/>
      <c r="AF190" s="53"/>
      <c r="AG190" s="37" t="str">
        <f t="shared" si="18"/>
        <v>○</v>
      </c>
      <c r="AH190" s="37" t="str">
        <f t="shared" si="19"/>
        <v>○</v>
      </c>
      <c r="AI190" s="42">
        <f t="shared" si="17"/>
        <v>0</v>
      </c>
      <c r="AJ190" s="54"/>
    </row>
    <row r="191" spans="1:36" ht="27.75" customHeight="1">
      <c r="A191" s="37">
        <v>187</v>
      </c>
      <c r="B191" s="46" t="s">
        <v>432</v>
      </c>
      <c r="C191" s="46" t="s">
        <v>771</v>
      </c>
      <c r="D191" s="52"/>
      <c r="E191" s="55"/>
      <c r="F191" s="55"/>
      <c r="G191" s="55"/>
      <c r="H191" s="55"/>
      <c r="I191" s="55"/>
      <c r="J191" s="55"/>
      <c r="K191" s="55"/>
      <c r="L191" s="55"/>
      <c r="M191" s="55"/>
      <c r="N191" s="55"/>
      <c r="O191" s="55"/>
      <c r="P191" s="55"/>
      <c r="Q191" s="55"/>
      <c r="R191" s="55"/>
      <c r="S191" s="53"/>
      <c r="T191" s="53"/>
      <c r="U191" s="53"/>
      <c r="V191" s="53"/>
      <c r="W191" s="53"/>
      <c r="X191" s="53"/>
      <c r="Y191" s="53"/>
      <c r="Z191" s="53"/>
      <c r="AA191" s="53"/>
      <c r="AB191" s="53"/>
      <c r="AC191" s="53"/>
      <c r="AD191" s="53"/>
      <c r="AE191" s="53"/>
      <c r="AF191" s="53"/>
      <c r="AG191" s="37" t="str">
        <f t="shared" si="18"/>
        <v>○</v>
      </c>
      <c r="AH191" s="37" t="str">
        <f t="shared" si="19"/>
        <v>○</v>
      </c>
      <c r="AI191" s="42">
        <f t="shared" si="17"/>
        <v>0</v>
      </c>
      <c r="AJ191" s="54"/>
    </row>
    <row r="192" spans="1:36" ht="27.75" customHeight="1">
      <c r="A192" s="37">
        <v>188</v>
      </c>
      <c r="B192" s="46" t="s">
        <v>433</v>
      </c>
      <c r="C192" s="46" t="s">
        <v>772</v>
      </c>
      <c r="D192" s="52"/>
      <c r="E192" s="55"/>
      <c r="F192" s="55"/>
      <c r="G192" s="55"/>
      <c r="H192" s="55"/>
      <c r="I192" s="55"/>
      <c r="J192" s="55"/>
      <c r="K192" s="55"/>
      <c r="L192" s="55"/>
      <c r="M192" s="55"/>
      <c r="N192" s="55"/>
      <c r="O192" s="55"/>
      <c r="P192" s="55"/>
      <c r="Q192" s="55"/>
      <c r="R192" s="55"/>
      <c r="S192" s="53"/>
      <c r="T192" s="53"/>
      <c r="U192" s="53"/>
      <c r="V192" s="53"/>
      <c r="W192" s="53"/>
      <c r="X192" s="53"/>
      <c r="Y192" s="53"/>
      <c r="Z192" s="53"/>
      <c r="AA192" s="53"/>
      <c r="AB192" s="53"/>
      <c r="AC192" s="53"/>
      <c r="AD192" s="53"/>
      <c r="AE192" s="53"/>
      <c r="AF192" s="53"/>
      <c r="AG192" s="37" t="str">
        <f t="shared" si="18"/>
        <v>○</v>
      </c>
      <c r="AH192" s="37" t="str">
        <f t="shared" si="19"/>
        <v>○</v>
      </c>
      <c r="AI192" s="42">
        <f t="shared" si="17"/>
        <v>0</v>
      </c>
      <c r="AJ192" s="54"/>
    </row>
    <row r="193" spans="1:36" ht="27.75" customHeight="1">
      <c r="A193" s="37">
        <v>189</v>
      </c>
      <c r="B193" s="46" t="s">
        <v>434</v>
      </c>
      <c r="C193" s="46" t="s">
        <v>773</v>
      </c>
      <c r="D193" s="52"/>
      <c r="E193" s="55"/>
      <c r="F193" s="55"/>
      <c r="G193" s="55"/>
      <c r="H193" s="55"/>
      <c r="I193" s="55"/>
      <c r="J193" s="55"/>
      <c r="K193" s="55"/>
      <c r="L193" s="55"/>
      <c r="M193" s="55"/>
      <c r="N193" s="55"/>
      <c r="O193" s="55"/>
      <c r="P193" s="55"/>
      <c r="Q193" s="55"/>
      <c r="R193" s="55"/>
      <c r="S193" s="53"/>
      <c r="T193" s="53"/>
      <c r="U193" s="53"/>
      <c r="V193" s="53"/>
      <c r="W193" s="53"/>
      <c r="X193" s="53"/>
      <c r="Y193" s="53"/>
      <c r="Z193" s="53"/>
      <c r="AA193" s="53"/>
      <c r="AB193" s="53"/>
      <c r="AC193" s="53"/>
      <c r="AD193" s="53"/>
      <c r="AE193" s="53"/>
      <c r="AF193" s="53"/>
      <c r="AG193" s="37" t="str">
        <f t="shared" si="18"/>
        <v>○</v>
      </c>
      <c r="AH193" s="37" t="str">
        <f t="shared" si="19"/>
        <v>○</v>
      </c>
      <c r="AI193" s="42">
        <f t="shared" si="17"/>
        <v>0</v>
      </c>
      <c r="AJ193" s="54"/>
    </row>
    <row r="194" spans="1:36" ht="27.75" customHeight="1">
      <c r="A194" s="37">
        <v>190</v>
      </c>
      <c r="B194" s="46" t="s">
        <v>435</v>
      </c>
      <c r="C194" s="46" t="s">
        <v>774</v>
      </c>
      <c r="D194" s="52"/>
      <c r="E194" s="55"/>
      <c r="F194" s="55"/>
      <c r="G194" s="55"/>
      <c r="H194" s="55"/>
      <c r="I194" s="55"/>
      <c r="J194" s="55"/>
      <c r="K194" s="55"/>
      <c r="L194" s="55"/>
      <c r="M194" s="55"/>
      <c r="N194" s="55"/>
      <c r="O194" s="55"/>
      <c r="P194" s="55"/>
      <c r="Q194" s="55"/>
      <c r="R194" s="55"/>
      <c r="S194" s="53"/>
      <c r="T194" s="53"/>
      <c r="U194" s="53"/>
      <c r="V194" s="53"/>
      <c r="W194" s="53"/>
      <c r="X194" s="53"/>
      <c r="Y194" s="53"/>
      <c r="Z194" s="53"/>
      <c r="AA194" s="53"/>
      <c r="AB194" s="53"/>
      <c r="AC194" s="53"/>
      <c r="AD194" s="53"/>
      <c r="AE194" s="53"/>
      <c r="AF194" s="53"/>
      <c r="AG194" s="37" t="str">
        <f t="shared" si="18"/>
        <v>○</v>
      </c>
      <c r="AH194" s="37" t="str">
        <f t="shared" si="19"/>
        <v>○</v>
      </c>
      <c r="AI194" s="42">
        <f t="shared" si="17"/>
        <v>0</v>
      </c>
      <c r="AJ194" s="54"/>
    </row>
    <row r="195" spans="1:36" ht="27.75" customHeight="1">
      <c r="A195" s="37">
        <v>191</v>
      </c>
      <c r="B195" s="46" t="s">
        <v>436</v>
      </c>
      <c r="C195" s="46" t="s">
        <v>775</v>
      </c>
      <c r="D195" s="52"/>
      <c r="E195" s="55"/>
      <c r="F195" s="55"/>
      <c r="G195" s="55"/>
      <c r="H195" s="55"/>
      <c r="I195" s="55"/>
      <c r="J195" s="55"/>
      <c r="K195" s="55"/>
      <c r="L195" s="55"/>
      <c r="M195" s="55"/>
      <c r="N195" s="55"/>
      <c r="O195" s="55"/>
      <c r="P195" s="55"/>
      <c r="Q195" s="55"/>
      <c r="R195" s="55"/>
      <c r="S195" s="53"/>
      <c r="T195" s="53"/>
      <c r="U195" s="53"/>
      <c r="V195" s="53"/>
      <c r="W195" s="53"/>
      <c r="X195" s="53"/>
      <c r="Y195" s="53"/>
      <c r="Z195" s="53"/>
      <c r="AA195" s="53"/>
      <c r="AB195" s="53"/>
      <c r="AC195" s="53"/>
      <c r="AD195" s="53"/>
      <c r="AE195" s="53"/>
      <c r="AF195" s="53"/>
      <c r="AG195" s="37" t="str">
        <f t="shared" si="18"/>
        <v>○</v>
      </c>
      <c r="AH195" s="37" t="str">
        <f t="shared" si="19"/>
        <v>○</v>
      </c>
      <c r="AI195" s="42">
        <f t="shared" si="17"/>
        <v>0</v>
      </c>
      <c r="AJ195" s="54"/>
    </row>
    <row r="196" spans="1:36" ht="27.75" customHeight="1">
      <c r="A196" s="37">
        <v>192</v>
      </c>
      <c r="B196" s="46" t="s">
        <v>437</v>
      </c>
      <c r="C196" s="46" t="s">
        <v>776</v>
      </c>
      <c r="D196" s="52"/>
      <c r="E196" s="55"/>
      <c r="F196" s="55"/>
      <c r="G196" s="55"/>
      <c r="H196" s="55"/>
      <c r="I196" s="55"/>
      <c r="J196" s="55"/>
      <c r="K196" s="55"/>
      <c r="L196" s="55"/>
      <c r="M196" s="55"/>
      <c r="N196" s="55"/>
      <c r="O196" s="55"/>
      <c r="P196" s="55"/>
      <c r="Q196" s="55"/>
      <c r="R196" s="55"/>
      <c r="S196" s="53"/>
      <c r="T196" s="53"/>
      <c r="U196" s="53"/>
      <c r="V196" s="53"/>
      <c r="W196" s="53"/>
      <c r="X196" s="53"/>
      <c r="Y196" s="53"/>
      <c r="Z196" s="53"/>
      <c r="AA196" s="53"/>
      <c r="AB196" s="53"/>
      <c r="AC196" s="53"/>
      <c r="AD196" s="53"/>
      <c r="AE196" s="53"/>
      <c r="AF196" s="53"/>
      <c r="AG196" s="37" t="str">
        <f t="shared" si="18"/>
        <v>○</v>
      </c>
      <c r="AH196" s="37" t="str">
        <f t="shared" si="19"/>
        <v>○</v>
      </c>
      <c r="AI196" s="42">
        <f t="shared" si="17"/>
        <v>0</v>
      </c>
      <c r="AJ196" s="54"/>
    </row>
    <row r="197" spans="1:36" ht="27.75" customHeight="1">
      <c r="A197" s="37">
        <v>193</v>
      </c>
      <c r="B197" s="46" t="s">
        <v>438</v>
      </c>
      <c r="C197" s="46" t="s">
        <v>777</v>
      </c>
      <c r="D197" s="52"/>
      <c r="E197" s="55"/>
      <c r="F197" s="55"/>
      <c r="G197" s="55"/>
      <c r="H197" s="55"/>
      <c r="I197" s="55"/>
      <c r="J197" s="55"/>
      <c r="K197" s="55"/>
      <c r="L197" s="55"/>
      <c r="M197" s="55"/>
      <c r="N197" s="55"/>
      <c r="O197" s="55"/>
      <c r="P197" s="55"/>
      <c r="Q197" s="55"/>
      <c r="R197" s="55"/>
      <c r="S197" s="53"/>
      <c r="T197" s="53"/>
      <c r="U197" s="53"/>
      <c r="V197" s="53"/>
      <c r="W197" s="53"/>
      <c r="X197" s="53"/>
      <c r="Y197" s="53"/>
      <c r="Z197" s="53"/>
      <c r="AA197" s="53"/>
      <c r="AB197" s="53"/>
      <c r="AC197" s="53"/>
      <c r="AD197" s="53"/>
      <c r="AE197" s="53"/>
      <c r="AF197" s="53"/>
      <c r="AG197" s="37" t="str">
        <f t="shared" si="18"/>
        <v>○</v>
      </c>
      <c r="AH197" s="37" t="str">
        <f t="shared" si="19"/>
        <v>○</v>
      </c>
      <c r="AI197" s="42">
        <f t="shared" si="17"/>
        <v>0</v>
      </c>
      <c r="AJ197" s="54"/>
    </row>
    <row r="198" spans="1:36" ht="27.75" customHeight="1">
      <c r="A198" s="37">
        <v>194</v>
      </c>
      <c r="B198" s="46" t="s">
        <v>439</v>
      </c>
      <c r="C198" s="46" t="s">
        <v>778</v>
      </c>
      <c r="D198" s="52"/>
      <c r="E198" s="55"/>
      <c r="F198" s="55"/>
      <c r="G198" s="55"/>
      <c r="H198" s="55"/>
      <c r="I198" s="55"/>
      <c r="J198" s="55"/>
      <c r="K198" s="55"/>
      <c r="L198" s="55"/>
      <c r="M198" s="55"/>
      <c r="N198" s="55"/>
      <c r="O198" s="55"/>
      <c r="P198" s="55"/>
      <c r="Q198" s="55"/>
      <c r="R198" s="55"/>
      <c r="S198" s="53"/>
      <c r="T198" s="53"/>
      <c r="U198" s="53"/>
      <c r="V198" s="53"/>
      <c r="W198" s="53"/>
      <c r="X198" s="53"/>
      <c r="Y198" s="53"/>
      <c r="Z198" s="53"/>
      <c r="AA198" s="53"/>
      <c r="AB198" s="53"/>
      <c r="AC198" s="53"/>
      <c r="AD198" s="53"/>
      <c r="AE198" s="53"/>
      <c r="AF198" s="53"/>
      <c r="AG198" s="37" t="str">
        <f t="shared" si="18"/>
        <v>○</v>
      </c>
      <c r="AH198" s="37" t="str">
        <f t="shared" si="19"/>
        <v>○</v>
      </c>
      <c r="AI198" s="42">
        <f t="shared" si="17"/>
        <v>0</v>
      </c>
      <c r="AJ198" s="54"/>
    </row>
    <row r="199" spans="1:36" ht="27.75" customHeight="1">
      <c r="A199" s="37">
        <v>195</v>
      </c>
      <c r="B199" s="46" t="s">
        <v>440</v>
      </c>
      <c r="C199" s="46" t="s">
        <v>779</v>
      </c>
      <c r="D199" s="52"/>
      <c r="E199" s="55"/>
      <c r="F199" s="55"/>
      <c r="G199" s="55"/>
      <c r="H199" s="55"/>
      <c r="I199" s="55"/>
      <c r="J199" s="55"/>
      <c r="K199" s="55"/>
      <c r="L199" s="55"/>
      <c r="M199" s="55"/>
      <c r="N199" s="55"/>
      <c r="O199" s="55"/>
      <c r="P199" s="55"/>
      <c r="Q199" s="55"/>
      <c r="R199" s="55"/>
      <c r="S199" s="53"/>
      <c r="T199" s="53"/>
      <c r="U199" s="53"/>
      <c r="V199" s="53"/>
      <c r="W199" s="53"/>
      <c r="X199" s="53"/>
      <c r="Y199" s="53"/>
      <c r="Z199" s="53"/>
      <c r="AA199" s="53"/>
      <c r="AB199" s="53"/>
      <c r="AC199" s="53"/>
      <c r="AD199" s="53"/>
      <c r="AE199" s="53"/>
      <c r="AF199" s="53"/>
      <c r="AG199" s="37" t="str">
        <f t="shared" si="18"/>
        <v>○</v>
      </c>
      <c r="AH199" s="37" t="str">
        <f t="shared" si="19"/>
        <v>○</v>
      </c>
      <c r="AI199" s="42">
        <f t="shared" si="17"/>
        <v>0</v>
      </c>
      <c r="AJ199" s="54"/>
    </row>
    <row r="200" spans="1:36" ht="27.75" customHeight="1">
      <c r="A200" s="37">
        <v>196</v>
      </c>
      <c r="B200" s="46" t="s">
        <v>441</v>
      </c>
      <c r="C200" s="46" t="s">
        <v>780</v>
      </c>
      <c r="D200" s="52"/>
      <c r="E200" s="55"/>
      <c r="F200" s="55"/>
      <c r="G200" s="55"/>
      <c r="H200" s="55"/>
      <c r="I200" s="55"/>
      <c r="J200" s="55"/>
      <c r="K200" s="55"/>
      <c r="L200" s="55"/>
      <c r="M200" s="55"/>
      <c r="N200" s="55"/>
      <c r="O200" s="55"/>
      <c r="P200" s="55"/>
      <c r="Q200" s="55"/>
      <c r="R200" s="55"/>
      <c r="S200" s="53"/>
      <c r="T200" s="53"/>
      <c r="U200" s="53"/>
      <c r="V200" s="53"/>
      <c r="W200" s="53"/>
      <c r="X200" s="53"/>
      <c r="Y200" s="53"/>
      <c r="Z200" s="53"/>
      <c r="AA200" s="53"/>
      <c r="AB200" s="53"/>
      <c r="AC200" s="53"/>
      <c r="AD200" s="53"/>
      <c r="AE200" s="53"/>
      <c r="AF200" s="53"/>
      <c r="AG200" s="37" t="str">
        <f t="shared" si="18"/>
        <v>○</v>
      </c>
      <c r="AH200" s="37" t="str">
        <f t="shared" si="19"/>
        <v>○</v>
      </c>
      <c r="AI200" s="42">
        <f t="shared" si="17"/>
        <v>0</v>
      </c>
      <c r="AJ200" s="54"/>
    </row>
    <row r="201" spans="1:36" ht="27.75" customHeight="1">
      <c r="A201" s="37">
        <v>197</v>
      </c>
      <c r="B201" s="46" t="s">
        <v>442</v>
      </c>
      <c r="C201" s="46" t="s">
        <v>781</v>
      </c>
      <c r="D201" s="52"/>
      <c r="E201" s="55"/>
      <c r="F201" s="55"/>
      <c r="G201" s="55"/>
      <c r="H201" s="55"/>
      <c r="I201" s="55"/>
      <c r="J201" s="55"/>
      <c r="K201" s="55"/>
      <c r="L201" s="55"/>
      <c r="M201" s="55"/>
      <c r="N201" s="55"/>
      <c r="O201" s="55"/>
      <c r="P201" s="55"/>
      <c r="Q201" s="55"/>
      <c r="R201" s="55"/>
      <c r="S201" s="53"/>
      <c r="T201" s="53"/>
      <c r="U201" s="53"/>
      <c r="V201" s="53"/>
      <c r="W201" s="53"/>
      <c r="X201" s="53"/>
      <c r="Y201" s="53"/>
      <c r="Z201" s="53"/>
      <c r="AA201" s="53"/>
      <c r="AB201" s="53"/>
      <c r="AC201" s="53"/>
      <c r="AD201" s="53"/>
      <c r="AE201" s="53"/>
      <c r="AF201" s="53"/>
      <c r="AG201" s="37" t="str">
        <f t="shared" si="18"/>
        <v>○</v>
      </c>
      <c r="AH201" s="37" t="str">
        <f t="shared" si="19"/>
        <v>○</v>
      </c>
      <c r="AI201" s="42">
        <f t="shared" si="17"/>
        <v>0</v>
      </c>
      <c r="AJ201" s="54"/>
    </row>
    <row r="202" spans="1:36" ht="27.75" customHeight="1">
      <c r="A202" s="37">
        <v>198</v>
      </c>
      <c r="B202" s="46" t="s">
        <v>443</v>
      </c>
      <c r="C202" s="46" t="s">
        <v>782</v>
      </c>
      <c r="D202" s="52"/>
      <c r="E202" s="55"/>
      <c r="F202" s="55"/>
      <c r="G202" s="55"/>
      <c r="H202" s="55"/>
      <c r="I202" s="55"/>
      <c r="J202" s="55"/>
      <c r="K202" s="55"/>
      <c r="L202" s="55"/>
      <c r="M202" s="55"/>
      <c r="N202" s="55"/>
      <c r="O202" s="55"/>
      <c r="P202" s="55"/>
      <c r="Q202" s="55"/>
      <c r="R202" s="55"/>
      <c r="S202" s="53"/>
      <c r="T202" s="53"/>
      <c r="U202" s="53"/>
      <c r="V202" s="53"/>
      <c r="W202" s="53"/>
      <c r="X202" s="53"/>
      <c r="Y202" s="53"/>
      <c r="Z202" s="53"/>
      <c r="AA202" s="53"/>
      <c r="AB202" s="53"/>
      <c r="AC202" s="53"/>
      <c r="AD202" s="53"/>
      <c r="AE202" s="53"/>
      <c r="AF202" s="53"/>
      <c r="AG202" s="37" t="str">
        <f t="shared" si="18"/>
        <v>○</v>
      </c>
      <c r="AH202" s="37" t="str">
        <f t="shared" si="19"/>
        <v>○</v>
      </c>
      <c r="AI202" s="42">
        <f t="shared" si="17"/>
        <v>0</v>
      </c>
      <c r="AJ202" s="54"/>
    </row>
    <row r="203" spans="1:36" ht="27.75" customHeight="1">
      <c r="A203" s="37">
        <v>199</v>
      </c>
      <c r="B203" s="46" t="s">
        <v>444</v>
      </c>
      <c r="C203" s="46" t="s">
        <v>783</v>
      </c>
      <c r="D203" s="52"/>
      <c r="E203" s="55"/>
      <c r="F203" s="55"/>
      <c r="G203" s="55"/>
      <c r="H203" s="55"/>
      <c r="I203" s="55"/>
      <c r="J203" s="55"/>
      <c r="K203" s="55"/>
      <c r="L203" s="55"/>
      <c r="M203" s="55"/>
      <c r="N203" s="55"/>
      <c r="O203" s="55"/>
      <c r="P203" s="55"/>
      <c r="Q203" s="55"/>
      <c r="R203" s="55"/>
      <c r="S203" s="53"/>
      <c r="T203" s="53"/>
      <c r="U203" s="53"/>
      <c r="V203" s="53"/>
      <c r="W203" s="53"/>
      <c r="X203" s="53"/>
      <c r="Y203" s="53"/>
      <c r="Z203" s="53"/>
      <c r="AA203" s="53"/>
      <c r="AB203" s="53"/>
      <c r="AC203" s="53"/>
      <c r="AD203" s="53"/>
      <c r="AE203" s="53"/>
      <c r="AF203" s="53"/>
      <c r="AG203" s="37" t="str">
        <f t="shared" si="18"/>
        <v>○</v>
      </c>
      <c r="AH203" s="37" t="str">
        <f t="shared" si="19"/>
        <v>○</v>
      </c>
      <c r="AI203" s="42">
        <f t="shared" si="17"/>
        <v>0</v>
      </c>
      <c r="AJ203" s="54"/>
    </row>
    <row r="204" spans="1:36" ht="27.75" customHeight="1">
      <c r="A204" s="37">
        <v>200</v>
      </c>
      <c r="B204" s="46" t="s">
        <v>445</v>
      </c>
      <c r="C204" s="46" t="s">
        <v>784</v>
      </c>
      <c r="D204" s="52"/>
      <c r="E204" s="55"/>
      <c r="F204" s="55"/>
      <c r="G204" s="55"/>
      <c r="H204" s="55"/>
      <c r="I204" s="55"/>
      <c r="J204" s="55"/>
      <c r="K204" s="55"/>
      <c r="L204" s="55"/>
      <c r="M204" s="55"/>
      <c r="N204" s="55"/>
      <c r="O204" s="55"/>
      <c r="P204" s="55"/>
      <c r="Q204" s="55"/>
      <c r="R204" s="55"/>
      <c r="S204" s="53"/>
      <c r="T204" s="53"/>
      <c r="U204" s="53"/>
      <c r="V204" s="53"/>
      <c r="W204" s="53"/>
      <c r="X204" s="53"/>
      <c r="Y204" s="53"/>
      <c r="Z204" s="53"/>
      <c r="AA204" s="53"/>
      <c r="AB204" s="53"/>
      <c r="AC204" s="53"/>
      <c r="AD204" s="53"/>
      <c r="AE204" s="53"/>
      <c r="AF204" s="53"/>
      <c r="AG204" s="37" t="str">
        <f t="shared" si="18"/>
        <v>○</v>
      </c>
      <c r="AH204" s="37" t="str">
        <f t="shared" si="19"/>
        <v>○</v>
      </c>
      <c r="AI204" s="42">
        <f t="shared" si="17"/>
        <v>0</v>
      </c>
      <c r="AJ204" s="54"/>
    </row>
    <row r="205" spans="1:36" ht="27.75" customHeight="1">
      <c r="A205" s="37">
        <v>201</v>
      </c>
      <c r="B205" s="46" t="s">
        <v>446</v>
      </c>
      <c r="C205" s="46" t="s">
        <v>785</v>
      </c>
      <c r="D205" s="52"/>
      <c r="E205" s="55"/>
      <c r="F205" s="55"/>
      <c r="G205" s="55"/>
      <c r="H205" s="55"/>
      <c r="I205" s="55"/>
      <c r="J205" s="55"/>
      <c r="K205" s="55"/>
      <c r="L205" s="55"/>
      <c r="M205" s="55"/>
      <c r="N205" s="55"/>
      <c r="O205" s="55"/>
      <c r="P205" s="55"/>
      <c r="Q205" s="55"/>
      <c r="R205" s="55"/>
      <c r="S205" s="53"/>
      <c r="T205" s="53"/>
      <c r="U205" s="53"/>
      <c r="V205" s="53"/>
      <c r="W205" s="53"/>
      <c r="X205" s="53"/>
      <c r="Y205" s="53"/>
      <c r="Z205" s="53"/>
      <c r="AA205" s="53"/>
      <c r="AB205" s="53"/>
      <c r="AC205" s="53"/>
      <c r="AD205" s="53"/>
      <c r="AE205" s="53"/>
      <c r="AF205" s="53"/>
      <c r="AG205" s="37" t="str">
        <f t="shared" si="18"/>
        <v>○</v>
      </c>
      <c r="AH205" s="37" t="str">
        <f t="shared" si="19"/>
        <v>○</v>
      </c>
      <c r="AI205" s="42">
        <f t="shared" si="17"/>
        <v>0</v>
      </c>
      <c r="AJ205" s="54"/>
    </row>
    <row r="206" spans="1:36" ht="27.75" customHeight="1">
      <c r="A206" s="37">
        <v>202</v>
      </c>
      <c r="B206" s="46" t="s">
        <v>447</v>
      </c>
      <c r="C206" s="46" t="s">
        <v>786</v>
      </c>
      <c r="D206" s="52"/>
      <c r="E206" s="55"/>
      <c r="F206" s="55"/>
      <c r="G206" s="55"/>
      <c r="H206" s="55"/>
      <c r="I206" s="55"/>
      <c r="J206" s="55"/>
      <c r="K206" s="55"/>
      <c r="L206" s="55"/>
      <c r="M206" s="55"/>
      <c r="N206" s="55"/>
      <c r="O206" s="55"/>
      <c r="P206" s="55"/>
      <c r="Q206" s="55"/>
      <c r="R206" s="55"/>
      <c r="S206" s="53"/>
      <c r="T206" s="53"/>
      <c r="U206" s="53"/>
      <c r="V206" s="53"/>
      <c r="W206" s="53"/>
      <c r="X206" s="53"/>
      <c r="Y206" s="53"/>
      <c r="Z206" s="53"/>
      <c r="AA206" s="53"/>
      <c r="AB206" s="53"/>
      <c r="AC206" s="53"/>
      <c r="AD206" s="53"/>
      <c r="AE206" s="53"/>
      <c r="AF206" s="53"/>
      <c r="AG206" s="37" t="str">
        <f t="shared" si="18"/>
        <v>○</v>
      </c>
      <c r="AH206" s="37" t="str">
        <f t="shared" si="19"/>
        <v>○</v>
      </c>
      <c r="AI206" s="42">
        <f t="shared" si="17"/>
        <v>0</v>
      </c>
      <c r="AJ206" s="54"/>
    </row>
    <row r="207" spans="1:36" ht="27.75" customHeight="1">
      <c r="A207" s="37">
        <v>203</v>
      </c>
      <c r="B207" s="46" t="s">
        <v>448</v>
      </c>
      <c r="C207" s="46" t="s">
        <v>787</v>
      </c>
      <c r="D207" s="52"/>
      <c r="E207" s="55"/>
      <c r="F207" s="55"/>
      <c r="G207" s="55"/>
      <c r="H207" s="55"/>
      <c r="I207" s="55"/>
      <c r="J207" s="55"/>
      <c r="K207" s="55"/>
      <c r="L207" s="55"/>
      <c r="M207" s="55"/>
      <c r="N207" s="55"/>
      <c r="O207" s="55"/>
      <c r="P207" s="55"/>
      <c r="Q207" s="55"/>
      <c r="R207" s="55"/>
      <c r="S207" s="53"/>
      <c r="T207" s="53"/>
      <c r="U207" s="53"/>
      <c r="V207" s="53"/>
      <c r="W207" s="53"/>
      <c r="X207" s="53"/>
      <c r="Y207" s="53"/>
      <c r="Z207" s="53"/>
      <c r="AA207" s="53"/>
      <c r="AB207" s="53"/>
      <c r="AC207" s="53"/>
      <c r="AD207" s="53"/>
      <c r="AE207" s="53"/>
      <c r="AF207" s="53"/>
      <c r="AG207" s="37" t="str">
        <f t="shared" si="18"/>
        <v>○</v>
      </c>
      <c r="AH207" s="37" t="str">
        <f t="shared" si="19"/>
        <v>○</v>
      </c>
      <c r="AI207" s="42">
        <f t="shared" si="17"/>
        <v>0</v>
      </c>
      <c r="AJ207" s="54"/>
    </row>
    <row r="208" spans="1:36" ht="27.75" customHeight="1">
      <c r="A208" s="37">
        <v>204</v>
      </c>
      <c r="B208" s="46" t="s">
        <v>449</v>
      </c>
      <c r="C208" s="46" t="s">
        <v>788</v>
      </c>
      <c r="D208" s="52"/>
      <c r="E208" s="55"/>
      <c r="F208" s="55"/>
      <c r="G208" s="55"/>
      <c r="H208" s="55"/>
      <c r="I208" s="55"/>
      <c r="J208" s="55"/>
      <c r="K208" s="55"/>
      <c r="L208" s="55"/>
      <c r="M208" s="55"/>
      <c r="N208" s="55"/>
      <c r="O208" s="55"/>
      <c r="P208" s="55"/>
      <c r="Q208" s="55"/>
      <c r="R208" s="55"/>
      <c r="S208" s="53"/>
      <c r="T208" s="53"/>
      <c r="U208" s="53"/>
      <c r="V208" s="53"/>
      <c r="W208" s="53"/>
      <c r="X208" s="53"/>
      <c r="Y208" s="53"/>
      <c r="Z208" s="53"/>
      <c r="AA208" s="53"/>
      <c r="AB208" s="53"/>
      <c r="AC208" s="53"/>
      <c r="AD208" s="53"/>
      <c r="AE208" s="53"/>
      <c r="AF208" s="53"/>
      <c r="AG208" s="37" t="str">
        <f t="shared" si="18"/>
        <v>○</v>
      </c>
      <c r="AH208" s="37" t="str">
        <f t="shared" si="19"/>
        <v>○</v>
      </c>
      <c r="AI208" s="42">
        <f t="shared" si="17"/>
        <v>0</v>
      </c>
      <c r="AJ208" s="54"/>
    </row>
    <row r="209" spans="1:36" ht="27.75" customHeight="1">
      <c r="A209" s="37">
        <v>205</v>
      </c>
      <c r="B209" s="46" t="s">
        <v>450</v>
      </c>
      <c r="C209" s="46" t="s">
        <v>789</v>
      </c>
      <c r="D209" s="52"/>
      <c r="E209" s="55"/>
      <c r="F209" s="55"/>
      <c r="G209" s="55"/>
      <c r="H209" s="55"/>
      <c r="I209" s="55"/>
      <c r="J209" s="55"/>
      <c r="K209" s="55"/>
      <c r="L209" s="55"/>
      <c r="M209" s="55"/>
      <c r="N209" s="55"/>
      <c r="O209" s="55"/>
      <c r="P209" s="55"/>
      <c r="Q209" s="55"/>
      <c r="R209" s="55"/>
      <c r="S209" s="53"/>
      <c r="T209" s="53"/>
      <c r="U209" s="53"/>
      <c r="V209" s="53"/>
      <c r="W209" s="53"/>
      <c r="X209" s="53"/>
      <c r="Y209" s="53"/>
      <c r="Z209" s="53"/>
      <c r="AA209" s="53"/>
      <c r="AB209" s="53"/>
      <c r="AC209" s="53"/>
      <c r="AD209" s="53"/>
      <c r="AE209" s="53"/>
      <c r="AF209" s="53"/>
      <c r="AG209" s="37" t="str">
        <f t="shared" si="18"/>
        <v>○</v>
      </c>
      <c r="AH209" s="37" t="str">
        <f t="shared" si="19"/>
        <v>○</v>
      </c>
      <c r="AI209" s="42">
        <f t="shared" si="17"/>
        <v>0</v>
      </c>
      <c r="AJ209" s="54"/>
    </row>
    <row r="210" spans="1:36" ht="27.75" customHeight="1">
      <c r="A210" s="37">
        <v>206</v>
      </c>
      <c r="B210" s="46" t="s">
        <v>451</v>
      </c>
      <c r="C210" s="46" t="s">
        <v>790</v>
      </c>
      <c r="D210" s="52"/>
      <c r="E210" s="55"/>
      <c r="F210" s="55"/>
      <c r="G210" s="55"/>
      <c r="H210" s="55"/>
      <c r="I210" s="55"/>
      <c r="J210" s="55"/>
      <c r="K210" s="55"/>
      <c r="L210" s="55"/>
      <c r="M210" s="55"/>
      <c r="N210" s="55"/>
      <c r="O210" s="55"/>
      <c r="P210" s="55"/>
      <c r="Q210" s="55"/>
      <c r="R210" s="55"/>
      <c r="S210" s="53"/>
      <c r="T210" s="53"/>
      <c r="U210" s="53"/>
      <c r="V210" s="53"/>
      <c r="W210" s="53"/>
      <c r="X210" s="53"/>
      <c r="Y210" s="53"/>
      <c r="Z210" s="53"/>
      <c r="AA210" s="53"/>
      <c r="AB210" s="53"/>
      <c r="AC210" s="53"/>
      <c r="AD210" s="53"/>
      <c r="AE210" s="53"/>
      <c r="AF210" s="53"/>
      <c r="AG210" s="37" t="str">
        <f t="shared" si="18"/>
        <v>○</v>
      </c>
      <c r="AH210" s="37" t="str">
        <f t="shared" si="19"/>
        <v>○</v>
      </c>
      <c r="AI210" s="42">
        <f t="shared" si="17"/>
        <v>0</v>
      </c>
      <c r="AJ210" s="54"/>
    </row>
    <row r="211" spans="1:36" ht="27.75" customHeight="1">
      <c r="A211" s="37">
        <v>207</v>
      </c>
      <c r="B211" s="46" t="s">
        <v>452</v>
      </c>
      <c r="C211" s="45"/>
      <c r="D211" s="52"/>
      <c r="E211" s="55"/>
      <c r="F211" s="55"/>
      <c r="G211" s="55"/>
      <c r="H211" s="55"/>
      <c r="I211" s="55"/>
      <c r="J211" s="55"/>
      <c r="K211" s="55"/>
      <c r="L211" s="55"/>
      <c r="M211" s="55"/>
      <c r="N211" s="55"/>
      <c r="O211" s="55"/>
      <c r="P211" s="55"/>
      <c r="Q211" s="55"/>
      <c r="R211" s="55"/>
      <c r="S211" s="53"/>
      <c r="T211" s="53"/>
      <c r="U211" s="53"/>
      <c r="V211" s="53"/>
      <c r="W211" s="53"/>
      <c r="X211" s="53"/>
      <c r="Y211" s="53"/>
      <c r="Z211" s="53"/>
      <c r="AA211" s="53"/>
      <c r="AB211" s="53"/>
      <c r="AC211" s="53"/>
      <c r="AD211" s="53"/>
      <c r="AE211" s="53"/>
      <c r="AF211" s="53"/>
      <c r="AG211" s="37" t="str">
        <f t="shared" si="18"/>
        <v>○</v>
      </c>
      <c r="AH211" s="37" t="str">
        <f t="shared" si="19"/>
        <v>○</v>
      </c>
      <c r="AI211" s="42">
        <f t="shared" si="17"/>
        <v>0</v>
      </c>
      <c r="AJ211" s="54"/>
    </row>
    <row r="212" spans="1:36" ht="27.75" customHeight="1">
      <c r="A212" s="37">
        <v>208</v>
      </c>
      <c r="B212" s="46" t="s">
        <v>453</v>
      </c>
      <c r="C212" s="46" t="s">
        <v>791</v>
      </c>
      <c r="D212" s="52"/>
      <c r="E212" s="55"/>
      <c r="F212" s="55"/>
      <c r="G212" s="55"/>
      <c r="H212" s="55"/>
      <c r="I212" s="55"/>
      <c r="J212" s="55"/>
      <c r="K212" s="55"/>
      <c r="L212" s="55"/>
      <c r="M212" s="55"/>
      <c r="N212" s="55"/>
      <c r="O212" s="55"/>
      <c r="P212" s="55"/>
      <c r="Q212" s="55"/>
      <c r="R212" s="55"/>
      <c r="S212" s="53"/>
      <c r="T212" s="53"/>
      <c r="U212" s="53"/>
      <c r="V212" s="53"/>
      <c r="W212" s="53"/>
      <c r="X212" s="53"/>
      <c r="Y212" s="53"/>
      <c r="Z212" s="53"/>
      <c r="AA212" s="53"/>
      <c r="AB212" s="53"/>
      <c r="AC212" s="53"/>
      <c r="AD212" s="53"/>
      <c r="AE212" s="53"/>
      <c r="AF212" s="53"/>
      <c r="AG212" s="37" t="str">
        <f t="shared" si="18"/>
        <v>○</v>
      </c>
      <c r="AH212" s="37" t="str">
        <f t="shared" si="19"/>
        <v>○</v>
      </c>
      <c r="AI212" s="42">
        <f t="shared" si="17"/>
        <v>0</v>
      </c>
      <c r="AJ212" s="54"/>
    </row>
    <row r="213" spans="1:36" ht="27.75" customHeight="1">
      <c r="A213" s="37">
        <v>209</v>
      </c>
      <c r="B213" s="46" t="s">
        <v>454</v>
      </c>
      <c r="C213" s="46" t="s">
        <v>792</v>
      </c>
      <c r="D213" s="52"/>
      <c r="E213" s="55"/>
      <c r="F213" s="55"/>
      <c r="G213" s="55"/>
      <c r="H213" s="55"/>
      <c r="I213" s="55"/>
      <c r="J213" s="55"/>
      <c r="K213" s="55"/>
      <c r="L213" s="55"/>
      <c r="M213" s="55"/>
      <c r="N213" s="55"/>
      <c r="O213" s="55"/>
      <c r="P213" s="55"/>
      <c r="Q213" s="55"/>
      <c r="R213" s="55"/>
      <c r="S213" s="53"/>
      <c r="T213" s="53"/>
      <c r="U213" s="53"/>
      <c r="V213" s="53"/>
      <c r="W213" s="53"/>
      <c r="X213" s="53"/>
      <c r="Y213" s="53"/>
      <c r="Z213" s="53"/>
      <c r="AA213" s="53"/>
      <c r="AB213" s="53"/>
      <c r="AC213" s="53"/>
      <c r="AD213" s="53"/>
      <c r="AE213" s="53"/>
      <c r="AF213" s="53"/>
      <c r="AG213" s="37" t="str">
        <f t="shared" si="18"/>
        <v>○</v>
      </c>
      <c r="AH213" s="37" t="str">
        <f t="shared" si="19"/>
        <v>○</v>
      </c>
      <c r="AI213" s="42">
        <f t="shared" si="17"/>
        <v>0</v>
      </c>
      <c r="AJ213" s="54"/>
    </row>
    <row r="214" spans="1:36" ht="27.75" customHeight="1">
      <c r="A214" s="37">
        <v>210</v>
      </c>
      <c r="B214" s="46" t="s">
        <v>455</v>
      </c>
      <c r="C214" s="46" t="s">
        <v>793</v>
      </c>
      <c r="D214" s="52"/>
      <c r="E214" s="55"/>
      <c r="F214" s="55"/>
      <c r="G214" s="55"/>
      <c r="H214" s="55"/>
      <c r="I214" s="55"/>
      <c r="J214" s="55"/>
      <c r="K214" s="55"/>
      <c r="L214" s="55"/>
      <c r="M214" s="55"/>
      <c r="N214" s="55"/>
      <c r="O214" s="55"/>
      <c r="P214" s="55"/>
      <c r="Q214" s="55"/>
      <c r="R214" s="55"/>
      <c r="S214" s="53"/>
      <c r="T214" s="53"/>
      <c r="U214" s="53"/>
      <c r="V214" s="53"/>
      <c r="W214" s="53"/>
      <c r="X214" s="53"/>
      <c r="Y214" s="53"/>
      <c r="Z214" s="53"/>
      <c r="AA214" s="53"/>
      <c r="AB214" s="53"/>
      <c r="AC214" s="53"/>
      <c r="AD214" s="53"/>
      <c r="AE214" s="53"/>
      <c r="AF214" s="53"/>
      <c r="AG214" s="37" t="str">
        <f t="shared" si="18"/>
        <v>○</v>
      </c>
      <c r="AH214" s="37" t="str">
        <f t="shared" si="19"/>
        <v>○</v>
      </c>
      <c r="AI214" s="42">
        <f t="shared" si="17"/>
        <v>0</v>
      </c>
      <c r="AJ214" s="54"/>
    </row>
    <row r="215" spans="1:36" ht="27.75" customHeight="1">
      <c r="A215" s="37">
        <v>211</v>
      </c>
      <c r="B215" s="46" t="s">
        <v>456</v>
      </c>
      <c r="C215" s="46" t="s">
        <v>794</v>
      </c>
      <c r="D215" s="52"/>
      <c r="E215" s="55"/>
      <c r="F215" s="55"/>
      <c r="G215" s="55"/>
      <c r="H215" s="55"/>
      <c r="I215" s="55"/>
      <c r="J215" s="55"/>
      <c r="K215" s="55"/>
      <c r="L215" s="55"/>
      <c r="M215" s="55"/>
      <c r="N215" s="55"/>
      <c r="O215" s="55"/>
      <c r="P215" s="55"/>
      <c r="Q215" s="55"/>
      <c r="R215" s="55"/>
      <c r="S215" s="53"/>
      <c r="T215" s="53"/>
      <c r="U215" s="53"/>
      <c r="V215" s="53"/>
      <c r="W215" s="53"/>
      <c r="X215" s="53"/>
      <c r="Y215" s="53"/>
      <c r="Z215" s="53"/>
      <c r="AA215" s="53"/>
      <c r="AB215" s="53"/>
      <c r="AC215" s="53"/>
      <c r="AD215" s="53"/>
      <c r="AE215" s="53"/>
      <c r="AF215" s="53"/>
      <c r="AG215" s="37" t="str">
        <f t="shared" si="18"/>
        <v>○</v>
      </c>
      <c r="AH215" s="37" t="str">
        <f t="shared" si="19"/>
        <v>○</v>
      </c>
      <c r="AI215" s="42">
        <f t="shared" si="17"/>
        <v>0</v>
      </c>
      <c r="AJ215" s="54"/>
    </row>
    <row r="216" spans="1:36" ht="27.75" customHeight="1">
      <c r="A216" s="37">
        <v>212</v>
      </c>
      <c r="B216" s="46" t="s">
        <v>457</v>
      </c>
      <c r="C216" s="46" t="s">
        <v>795</v>
      </c>
      <c r="D216" s="52"/>
      <c r="E216" s="55"/>
      <c r="F216" s="55"/>
      <c r="G216" s="55"/>
      <c r="H216" s="55"/>
      <c r="I216" s="55"/>
      <c r="J216" s="55"/>
      <c r="K216" s="55"/>
      <c r="L216" s="55"/>
      <c r="M216" s="55"/>
      <c r="N216" s="55"/>
      <c r="O216" s="55"/>
      <c r="P216" s="55"/>
      <c r="Q216" s="13"/>
      <c r="R216" s="55"/>
      <c r="S216" s="53"/>
      <c r="T216" s="53"/>
      <c r="U216" s="53"/>
      <c r="V216" s="53"/>
      <c r="W216" s="53"/>
      <c r="X216" s="53"/>
      <c r="Y216" s="53"/>
      <c r="Z216" s="53"/>
      <c r="AA216" s="53"/>
      <c r="AB216" s="53"/>
      <c r="AC216" s="53"/>
      <c r="AD216" s="53"/>
      <c r="AE216" s="53"/>
      <c r="AF216" s="53"/>
      <c r="AG216" s="37" t="str">
        <f t="shared" si="18"/>
        <v>○</v>
      </c>
      <c r="AH216" s="37" t="str">
        <f t="shared" si="19"/>
        <v>○</v>
      </c>
      <c r="AI216" s="42">
        <f t="shared" si="17"/>
        <v>0</v>
      </c>
      <c r="AJ216" s="54"/>
    </row>
    <row r="217" spans="1:36" ht="27.75" customHeight="1">
      <c r="A217" s="37">
        <v>213</v>
      </c>
      <c r="B217" s="46" t="s">
        <v>458</v>
      </c>
      <c r="C217" s="46" t="s">
        <v>796</v>
      </c>
      <c r="D217" s="52"/>
      <c r="E217" s="55"/>
      <c r="F217" s="55"/>
      <c r="G217" s="55"/>
      <c r="H217" s="55"/>
      <c r="I217" s="55"/>
      <c r="J217" s="55"/>
      <c r="K217" s="55"/>
      <c r="L217" s="55"/>
      <c r="M217" s="55"/>
      <c r="N217" s="55"/>
      <c r="O217" s="55"/>
      <c r="P217" s="55"/>
      <c r="Q217" s="55"/>
      <c r="R217" s="55"/>
      <c r="S217" s="53"/>
      <c r="T217" s="53"/>
      <c r="U217" s="53"/>
      <c r="V217" s="53"/>
      <c r="W217" s="53"/>
      <c r="X217" s="53"/>
      <c r="Y217" s="53"/>
      <c r="Z217" s="53"/>
      <c r="AA217" s="53"/>
      <c r="AB217" s="53"/>
      <c r="AC217" s="53"/>
      <c r="AD217" s="53"/>
      <c r="AE217" s="53"/>
      <c r="AF217" s="53"/>
      <c r="AG217" s="37" t="str">
        <f t="shared" si="18"/>
        <v>○</v>
      </c>
      <c r="AH217" s="37" t="str">
        <f t="shared" si="19"/>
        <v>○</v>
      </c>
      <c r="AI217" s="42">
        <f t="shared" si="17"/>
        <v>0</v>
      </c>
      <c r="AJ217" s="54"/>
    </row>
    <row r="218" spans="1:36" ht="27.75" customHeight="1">
      <c r="A218" s="37">
        <v>214</v>
      </c>
      <c r="B218" s="46" t="s">
        <v>459</v>
      </c>
      <c r="C218" s="46" t="s">
        <v>797</v>
      </c>
      <c r="D218" s="52"/>
      <c r="E218" s="55"/>
      <c r="F218" s="55"/>
      <c r="G218" s="55"/>
      <c r="H218" s="55"/>
      <c r="I218" s="55"/>
      <c r="J218" s="55"/>
      <c r="K218" s="55"/>
      <c r="L218" s="55"/>
      <c r="M218" s="55"/>
      <c r="N218" s="55"/>
      <c r="O218" s="55"/>
      <c r="P218" s="55"/>
      <c r="Q218" s="55"/>
      <c r="R218" s="55"/>
      <c r="S218" s="53"/>
      <c r="T218" s="53"/>
      <c r="U218" s="53"/>
      <c r="V218" s="53"/>
      <c r="W218" s="53"/>
      <c r="X218" s="53"/>
      <c r="Y218" s="53"/>
      <c r="Z218" s="53"/>
      <c r="AA218" s="53"/>
      <c r="AB218" s="53"/>
      <c r="AC218" s="53"/>
      <c r="AD218" s="53"/>
      <c r="AE218" s="53"/>
      <c r="AF218" s="53"/>
      <c r="AG218" s="37" t="str">
        <f t="shared" si="18"/>
        <v>○</v>
      </c>
      <c r="AH218" s="37" t="str">
        <f t="shared" si="19"/>
        <v>○</v>
      </c>
      <c r="AI218" s="42">
        <f t="shared" si="17"/>
        <v>0</v>
      </c>
      <c r="AJ218" s="54"/>
    </row>
    <row r="219" spans="1:36" ht="27.75" customHeight="1">
      <c r="A219" s="37">
        <v>215</v>
      </c>
      <c r="B219" s="46" t="s">
        <v>460</v>
      </c>
      <c r="C219" s="46" t="s">
        <v>798</v>
      </c>
      <c r="D219" s="52"/>
      <c r="E219" s="55"/>
      <c r="F219" s="55"/>
      <c r="G219" s="55"/>
      <c r="H219" s="55"/>
      <c r="I219" s="55"/>
      <c r="J219" s="55"/>
      <c r="K219" s="55"/>
      <c r="L219" s="55"/>
      <c r="M219" s="55"/>
      <c r="N219" s="55"/>
      <c r="O219" s="55"/>
      <c r="P219" s="55"/>
      <c r="Q219" s="55"/>
      <c r="R219" s="55"/>
      <c r="S219" s="53"/>
      <c r="T219" s="53"/>
      <c r="U219" s="53"/>
      <c r="V219" s="53"/>
      <c r="W219" s="53"/>
      <c r="X219" s="53"/>
      <c r="Y219" s="53"/>
      <c r="Z219" s="53"/>
      <c r="AA219" s="53"/>
      <c r="AB219" s="53"/>
      <c r="AC219" s="53"/>
      <c r="AD219" s="53"/>
      <c r="AE219" s="53"/>
      <c r="AF219" s="53"/>
      <c r="AG219" s="37" t="str">
        <f t="shared" si="18"/>
        <v>○</v>
      </c>
      <c r="AH219" s="37" t="str">
        <f t="shared" si="19"/>
        <v>○</v>
      </c>
      <c r="AI219" s="42">
        <f t="shared" si="17"/>
        <v>0</v>
      </c>
      <c r="AJ219" s="54"/>
    </row>
    <row r="220" spans="1:36" ht="27.75" customHeight="1">
      <c r="A220" s="37">
        <v>216</v>
      </c>
      <c r="B220" s="46" t="s">
        <v>461</v>
      </c>
      <c r="C220" s="46" t="s">
        <v>799</v>
      </c>
      <c r="D220" s="52"/>
      <c r="E220" s="55"/>
      <c r="F220" s="55"/>
      <c r="G220" s="55"/>
      <c r="H220" s="55"/>
      <c r="I220" s="55"/>
      <c r="J220" s="55"/>
      <c r="K220" s="55"/>
      <c r="L220" s="55"/>
      <c r="M220" s="55"/>
      <c r="N220" s="55"/>
      <c r="O220" s="55"/>
      <c r="P220" s="55"/>
      <c r="Q220" s="55"/>
      <c r="R220" s="55"/>
      <c r="S220" s="53"/>
      <c r="T220" s="53"/>
      <c r="U220" s="53"/>
      <c r="V220" s="53"/>
      <c r="W220" s="53"/>
      <c r="X220" s="53"/>
      <c r="Y220" s="53"/>
      <c r="Z220" s="53"/>
      <c r="AA220" s="53"/>
      <c r="AB220" s="53"/>
      <c r="AC220" s="53"/>
      <c r="AD220" s="53"/>
      <c r="AE220" s="53"/>
      <c r="AF220" s="53"/>
      <c r="AG220" s="37" t="str">
        <f t="shared" si="18"/>
        <v>○</v>
      </c>
      <c r="AH220" s="37" t="str">
        <f t="shared" si="19"/>
        <v>○</v>
      </c>
      <c r="AI220" s="42">
        <f t="shared" si="17"/>
        <v>0</v>
      </c>
      <c r="AJ220" s="54"/>
    </row>
    <row r="221" spans="1:36" ht="27.75" customHeight="1">
      <c r="A221" s="37">
        <v>217</v>
      </c>
      <c r="B221" s="46" t="s">
        <v>462</v>
      </c>
      <c r="C221" s="46" t="s">
        <v>800</v>
      </c>
      <c r="D221" s="52"/>
      <c r="E221" s="55"/>
      <c r="F221" s="55"/>
      <c r="G221" s="55"/>
      <c r="H221" s="55"/>
      <c r="I221" s="55"/>
      <c r="J221" s="55"/>
      <c r="K221" s="55"/>
      <c r="L221" s="55"/>
      <c r="M221" s="55"/>
      <c r="N221" s="55"/>
      <c r="O221" s="55"/>
      <c r="P221" s="55"/>
      <c r="Q221" s="55"/>
      <c r="R221" s="55"/>
      <c r="S221" s="53"/>
      <c r="T221" s="53"/>
      <c r="U221" s="53"/>
      <c r="V221" s="53"/>
      <c r="W221" s="53"/>
      <c r="X221" s="53"/>
      <c r="Y221" s="53"/>
      <c r="Z221" s="53"/>
      <c r="AA221" s="53"/>
      <c r="AB221" s="53"/>
      <c r="AC221" s="53"/>
      <c r="AD221" s="53"/>
      <c r="AE221" s="53"/>
      <c r="AF221" s="53"/>
      <c r="AG221" s="37" t="str">
        <f t="shared" si="18"/>
        <v>○</v>
      </c>
      <c r="AH221" s="37" t="str">
        <f t="shared" si="19"/>
        <v>○</v>
      </c>
      <c r="AI221" s="42">
        <f t="shared" si="17"/>
        <v>0</v>
      </c>
      <c r="AJ221" s="54"/>
    </row>
    <row r="222" spans="1:36" ht="27.75" customHeight="1">
      <c r="A222" s="37">
        <v>218</v>
      </c>
      <c r="B222" s="46" t="s">
        <v>463</v>
      </c>
      <c r="C222" s="46" t="s">
        <v>801</v>
      </c>
      <c r="D222" s="52"/>
      <c r="E222" s="55"/>
      <c r="F222" s="55"/>
      <c r="G222" s="55"/>
      <c r="H222" s="55"/>
      <c r="I222" s="55"/>
      <c r="J222" s="55"/>
      <c r="K222" s="55"/>
      <c r="L222" s="55"/>
      <c r="M222" s="55"/>
      <c r="N222" s="55"/>
      <c r="O222" s="55"/>
      <c r="P222" s="55"/>
      <c r="Q222" s="55"/>
      <c r="R222" s="55"/>
      <c r="S222" s="53"/>
      <c r="T222" s="53"/>
      <c r="U222" s="53"/>
      <c r="V222" s="53"/>
      <c r="W222" s="53"/>
      <c r="X222" s="53"/>
      <c r="Y222" s="53"/>
      <c r="Z222" s="53"/>
      <c r="AA222" s="53"/>
      <c r="AB222" s="53"/>
      <c r="AC222" s="53"/>
      <c r="AD222" s="53"/>
      <c r="AE222" s="53"/>
      <c r="AF222" s="53"/>
      <c r="AG222" s="37" t="str">
        <f t="shared" si="18"/>
        <v>○</v>
      </c>
      <c r="AH222" s="37" t="str">
        <f t="shared" si="19"/>
        <v>○</v>
      </c>
      <c r="AI222" s="42">
        <f t="shared" si="17"/>
        <v>0</v>
      </c>
      <c r="AJ222" s="54"/>
    </row>
    <row r="223" spans="1:36" ht="27.75" customHeight="1">
      <c r="A223" s="37">
        <v>219</v>
      </c>
      <c r="B223" s="46" t="s">
        <v>464</v>
      </c>
      <c r="C223" s="46" t="s">
        <v>802</v>
      </c>
      <c r="D223" s="52"/>
      <c r="E223" s="55"/>
      <c r="F223" s="55"/>
      <c r="G223" s="55"/>
      <c r="H223" s="55"/>
      <c r="I223" s="55"/>
      <c r="J223" s="55"/>
      <c r="K223" s="55"/>
      <c r="L223" s="55"/>
      <c r="M223" s="55"/>
      <c r="N223" s="55"/>
      <c r="O223" s="55"/>
      <c r="P223" s="55"/>
      <c r="Q223" s="55"/>
      <c r="R223" s="55"/>
      <c r="S223" s="53"/>
      <c r="T223" s="53"/>
      <c r="U223" s="53"/>
      <c r="V223" s="53"/>
      <c r="W223" s="53"/>
      <c r="X223" s="53"/>
      <c r="Y223" s="53"/>
      <c r="Z223" s="53"/>
      <c r="AA223" s="53"/>
      <c r="AB223" s="53"/>
      <c r="AC223" s="53"/>
      <c r="AD223" s="53"/>
      <c r="AE223" s="53"/>
      <c r="AF223" s="53"/>
      <c r="AG223" s="37" t="str">
        <f t="shared" si="18"/>
        <v>○</v>
      </c>
      <c r="AH223" s="37" t="str">
        <f t="shared" si="19"/>
        <v>○</v>
      </c>
      <c r="AI223" s="42">
        <f t="shared" si="17"/>
        <v>0</v>
      </c>
      <c r="AJ223" s="54"/>
    </row>
    <row r="224" spans="1:36" ht="27.75" customHeight="1">
      <c r="A224" s="37">
        <v>220</v>
      </c>
      <c r="B224" s="46" t="s">
        <v>465</v>
      </c>
      <c r="C224" s="46" t="s">
        <v>803</v>
      </c>
      <c r="D224" s="52"/>
      <c r="E224" s="55"/>
      <c r="F224" s="55"/>
      <c r="G224" s="55"/>
      <c r="H224" s="55"/>
      <c r="I224" s="55"/>
      <c r="J224" s="55"/>
      <c r="K224" s="55"/>
      <c r="L224" s="55"/>
      <c r="M224" s="55"/>
      <c r="N224" s="55"/>
      <c r="O224" s="55"/>
      <c r="P224" s="55"/>
      <c r="Q224" s="55"/>
      <c r="R224" s="55"/>
      <c r="S224" s="53"/>
      <c r="T224" s="53"/>
      <c r="U224" s="53"/>
      <c r="V224" s="53"/>
      <c r="W224" s="53"/>
      <c r="X224" s="53"/>
      <c r="Y224" s="53"/>
      <c r="Z224" s="53"/>
      <c r="AA224" s="53"/>
      <c r="AB224" s="53"/>
      <c r="AC224" s="53"/>
      <c r="AD224" s="53"/>
      <c r="AE224" s="53"/>
      <c r="AF224" s="53"/>
      <c r="AG224" s="37" t="str">
        <f t="shared" si="18"/>
        <v>○</v>
      </c>
      <c r="AH224" s="37" t="str">
        <f t="shared" si="19"/>
        <v>○</v>
      </c>
      <c r="AI224" s="42">
        <f t="shared" si="17"/>
        <v>0</v>
      </c>
      <c r="AJ224" s="54"/>
    </row>
    <row r="225" spans="1:36" ht="27.75" customHeight="1">
      <c r="A225" s="37">
        <v>221</v>
      </c>
      <c r="B225" s="46" t="s">
        <v>466</v>
      </c>
      <c r="C225" s="46" t="s">
        <v>804</v>
      </c>
      <c r="D225" s="52"/>
      <c r="E225" s="55"/>
      <c r="F225" s="55"/>
      <c r="G225" s="55"/>
      <c r="H225" s="55"/>
      <c r="I225" s="55"/>
      <c r="J225" s="55"/>
      <c r="K225" s="55"/>
      <c r="L225" s="55"/>
      <c r="M225" s="55"/>
      <c r="N225" s="55"/>
      <c r="O225" s="55"/>
      <c r="P225" s="55"/>
      <c r="Q225" s="55"/>
      <c r="R225" s="55"/>
      <c r="S225" s="53"/>
      <c r="T225" s="53"/>
      <c r="U225" s="53"/>
      <c r="V225" s="53"/>
      <c r="W225" s="53"/>
      <c r="X225" s="53"/>
      <c r="Y225" s="53"/>
      <c r="Z225" s="53"/>
      <c r="AA225" s="53"/>
      <c r="AB225" s="53"/>
      <c r="AC225" s="53"/>
      <c r="AD225" s="53"/>
      <c r="AE225" s="53"/>
      <c r="AF225" s="53"/>
      <c r="AG225" s="37" t="str">
        <f t="shared" si="18"/>
        <v>○</v>
      </c>
      <c r="AH225" s="37" t="str">
        <f t="shared" si="19"/>
        <v>○</v>
      </c>
      <c r="AI225" s="42">
        <f t="shared" si="17"/>
        <v>0</v>
      </c>
      <c r="AJ225" s="54"/>
    </row>
    <row r="226" spans="1:36" ht="27.75" customHeight="1">
      <c r="A226" s="37">
        <v>222</v>
      </c>
      <c r="B226" s="46" t="s">
        <v>467</v>
      </c>
      <c r="C226" s="46" t="s">
        <v>805</v>
      </c>
      <c r="D226" s="52"/>
      <c r="E226" s="55"/>
      <c r="F226" s="55"/>
      <c r="G226" s="55"/>
      <c r="H226" s="55"/>
      <c r="I226" s="55"/>
      <c r="J226" s="55"/>
      <c r="K226" s="55"/>
      <c r="L226" s="55"/>
      <c r="M226" s="55"/>
      <c r="N226" s="55"/>
      <c r="O226" s="55"/>
      <c r="P226" s="55"/>
      <c r="Q226" s="55"/>
      <c r="R226" s="55"/>
      <c r="S226" s="53"/>
      <c r="T226" s="53"/>
      <c r="U226" s="53"/>
      <c r="V226" s="53"/>
      <c r="W226" s="53"/>
      <c r="X226" s="53"/>
      <c r="Y226" s="53"/>
      <c r="Z226" s="53"/>
      <c r="AA226" s="53"/>
      <c r="AB226" s="53"/>
      <c r="AC226" s="53"/>
      <c r="AD226" s="53"/>
      <c r="AE226" s="53"/>
      <c r="AF226" s="53"/>
      <c r="AG226" s="37" t="str">
        <f t="shared" si="18"/>
        <v>○</v>
      </c>
      <c r="AH226" s="37" t="str">
        <f t="shared" si="19"/>
        <v>○</v>
      </c>
      <c r="AI226" s="42">
        <f t="shared" si="17"/>
        <v>0</v>
      </c>
      <c r="AJ226" s="54"/>
    </row>
    <row r="227" spans="1:36" ht="27.75" customHeight="1">
      <c r="A227" s="37">
        <v>223</v>
      </c>
      <c r="B227" s="46" t="s">
        <v>468</v>
      </c>
      <c r="C227" s="46" t="s">
        <v>806</v>
      </c>
      <c r="D227" s="52"/>
      <c r="E227" s="55"/>
      <c r="F227" s="55"/>
      <c r="G227" s="55"/>
      <c r="H227" s="55"/>
      <c r="I227" s="55"/>
      <c r="J227" s="55"/>
      <c r="K227" s="55"/>
      <c r="L227" s="55"/>
      <c r="M227" s="55"/>
      <c r="N227" s="55"/>
      <c r="O227" s="55"/>
      <c r="P227" s="55"/>
      <c r="Q227" s="55"/>
      <c r="R227" s="55"/>
      <c r="S227" s="53"/>
      <c r="T227" s="53"/>
      <c r="U227" s="53"/>
      <c r="V227" s="53"/>
      <c r="W227" s="53"/>
      <c r="X227" s="53"/>
      <c r="Y227" s="53"/>
      <c r="Z227" s="53"/>
      <c r="AA227" s="53"/>
      <c r="AB227" s="53"/>
      <c r="AC227" s="53"/>
      <c r="AD227" s="53"/>
      <c r="AE227" s="53"/>
      <c r="AF227" s="53"/>
      <c r="AG227" s="37" t="str">
        <f t="shared" si="18"/>
        <v>○</v>
      </c>
      <c r="AH227" s="37" t="str">
        <f t="shared" si="19"/>
        <v>○</v>
      </c>
      <c r="AI227" s="42">
        <f t="shared" si="17"/>
        <v>0</v>
      </c>
      <c r="AJ227" s="54"/>
    </row>
    <row r="228" spans="1:36" ht="27.75" customHeight="1">
      <c r="A228" s="37">
        <v>224</v>
      </c>
      <c r="B228" s="46" t="s">
        <v>469</v>
      </c>
      <c r="C228" s="46" t="s">
        <v>807</v>
      </c>
      <c r="D228" s="52"/>
      <c r="E228" s="55"/>
      <c r="F228" s="55"/>
      <c r="G228" s="55"/>
      <c r="H228" s="55"/>
      <c r="I228" s="55"/>
      <c r="J228" s="55"/>
      <c r="K228" s="55"/>
      <c r="L228" s="55"/>
      <c r="M228" s="55"/>
      <c r="N228" s="55"/>
      <c r="O228" s="55"/>
      <c r="P228" s="55"/>
      <c r="Q228" s="55"/>
      <c r="R228" s="55"/>
      <c r="S228" s="53"/>
      <c r="T228" s="53"/>
      <c r="U228" s="53"/>
      <c r="V228" s="53"/>
      <c r="W228" s="53"/>
      <c r="X228" s="53"/>
      <c r="Y228" s="53"/>
      <c r="Z228" s="53"/>
      <c r="AA228" s="53"/>
      <c r="AB228" s="53"/>
      <c r="AC228" s="53"/>
      <c r="AD228" s="53"/>
      <c r="AE228" s="53"/>
      <c r="AF228" s="53"/>
      <c r="AG228" s="37" t="str">
        <f t="shared" si="18"/>
        <v>○</v>
      </c>
      <c r="AH228" s="37" t="str">
        <f t="shared" si="19"/>
        <v>○</v>
      </c>
      <c r="AI228" s="42">
        <f t="shared" si="17"/>
        <v>0</v>
      </c>
      <c r="AJ228" s="54"/>
    </row>
    <row r="229" spans="1:36" ht="27.75" customHeight="1">
      <c r="A229" s="37">
        <v>225</v>
      </c>
      <c r="B229" s="46" t="s">
        <v>470</v>
      </c>
      <c r="C229" s="46" t="s">
        <v>808</v>
      </c>
      <c r="D229" s="52"/>
      <c r="E229" s="55"/>
      <c r="F229" s="55"/>
      <c r="G229" s="55"/>
      <c r="H229" s="55"/>
      <c r="I229" s="55"/>
      <c r="J229" s="55"/>
      <c r="K229" s="55"/>
      <c r="L229" s="55"/>
      <c r="M229" s="55"/>
      <c r="N229" s="55"/>
      <c r="O229" s="55"/>
      <c r="P229" s="55"/>
      <c r="Q229" s="55"/>
      <c r="R229" s="55"/>
      <c r="S229" s="53"/>
      <c r="T229" s="53"/>
      <c r="U229" s="53"/>
      <c r="V229" s="53"/>
      <c r="W229" s="53"/>
      <c r="X229" s="53"/>
      <c r="Y229" s="53"/>
      <c r="Z229" s="53"/>
      <c r="AA229" s="53"/>
      <c r="AB229" s="53"/>
      <c r="AC229" s="53"/>
      <c r="AD229" s="53"/>
      <c r="AE229" s="53"/>
      <c r="AF229" s="53"/>
      <c r="AG229" s="37" t="str">
        <f t="shared" si="18"/>
        <v>○</v>
      </c>
      <c r="AH229" s="37" t="str">
        <f t="shared" si="19"/>
        <v>○</v>
      </c>
      <c r="AI229" s="42">
        <f t="shared" si="17"/>
        <v>0</v>
      </c>
      <c r="AJ229" s="54"/>
    </row>
    <row r="230" spans="1:36" ht="27.75" customHeight="1">
      <c r="A230" s="37">
        <v>226</v>
      </c>
      <c r="B230" s="46" t="s">
        <v>471</v>
      </c>
      <c r="C230" s="46" t="s">
        <v>809</v>
      </c>
      <c r="D230" s="52"/>
      <c r="E230" s="55"/>
      <c r="F230" s="55"/>
      <c r="G230" s="55"/>
      <c r="H230" s="55"/>
      <c r="I230" s="55"/>
      <c r="J230" s="55"/>
      <c r="K230" s="55"/>
      <c r="L230" s="55"/>
      <c r="M230" s="55"/>
      <c r="N230" s="55"/>
      <c r="O230" s="55"/>
      <c r="P230" s="55"/>
      <c r="Q230" s="55"/>
      <c r="R230" s="55"/>
      <c r="S230" s="53"/>
      <c r="T230" s="53"/>
      <c r="U230" s="53"/>
      <c r="V230" s="53"/>
      <c r="W230" s="53"/>
      <c r="X230" s="53"/>
      <c r="Y230" s="53"/>
      <c r="Z230" s="53"/>
      <c r="AA230" s="53"/>
      <c r="AB230" s="53"/>
      <c r="AC230" s="53"/>
      <c r="AD230" s="53"/>
      <c r="AE230" s="53"/>
      <c r="AF230" s="53"/>
      <c r="AG230" s="37" t="str">
        <f t="shared" si="18"/>
        <v>○</v>
      </c>
      <c r="AH230" s="37" t="str">
        <f t="shared" si="19"/>
        <v>○</v>
      </c>
      <c r="AI230" s="42">
        <f t="shared" si="17"/>
        <v>0</v>
      </c>
      <c r="AJ230" s="54"/>
    </row>
    <row r="231" spans="1:36" ht="27.75" customHeight="1">
      <c r="A231" s="37">
        <v>227</v>
      </c>
      <c r="B231" s="46" t="s">
        <v>472</v>
      </c>
      <c r="C231" s="46" t="s">
        <v>810</v>
      </c>
      <c r="D231" s="52"/>
      <c r="E231" s="55"/>
      <c r="F231" s="55"/>
      <c r="G231" s="55"/>
      <c r="H231" s="55"/>
      <c r="I231" s="55"/>
      <c r="J231" s="55"/>
      <c r="K231" s="55"/>
      <c r="L231" s="55"/>
      <c r="M231" s="55"/>
      <c r="N231" s="55"/>
      <c r="O231" s="55"/>
      <c r="P231" s="55"/>
      <c r="Q231" s="55"/>
      <c r="R231" s="55"/>
      <c r="S231" s="53"/>
      <c r="T231" s="53"/>
      <c r="U231" s="53"/>
      <c r="V231" s="53"/>
      <c r="W231" s="53"/>
      <c r="X231" s="53"/>
      <c r="Y231" s="53"/>
      <c r="Z231" s="53"/>
      <c r="AA231" s="53"/>
      <c r="AB231" s="53"/>
      <c r="AC231" s="53"/>
      <c r="AD231" s="53"/>
      <c r="AE231" s="53"/>
      <c r="AF231" s="53"/>
      <c r="AG231" s="37" t="str">
        <f t="shared" si="18"/>
        <v>○</v>
      </c>
      <c r="AH231" s="37" t="str">
        <f t="shared" si="19"/>
        <v>○</v>
      </c>
      <c r="AI231" s="42">
        <f t="shared" si="17"/>
        <v>0</v>
      </c>
      <c r="AJ231" s="54"/>
    </row>
    <row r="232" spans="1:36" ht="27.75" customHeight="1">
      <c r="A232" s="37">
        <v>228</v>
      </c>
      <c r="B232" s="46" t="s">
        <v>473</v>
      </c>
      <c r="C232" s="46" t="s">
        <v>811</v>
      </c>
      <c r="D232" s="52"/>
      <c r="E232" s="55"/>
      <c r="F232" s="55"/>
      <c r="G232" s="55"/>
      <c r="H232" s="55"/>
      <c r="I232" s="55"/>
      <c r="J232" s="55"/>
      <c r="K232" s="55"/>
      <c r="L232" s="55"/>
      <c r="M232" s="55"/>
      <c r="N232" s="55"/>
      <c r="O232" s="55"/>
      <c r="P232" s="55"/>
      <c r="Q232" s="55"/>
      <c r="R232" s="55"/>
      <c r="S232" s="53"/>
      <c r="T232" s="53"/>
      <c r="U232" s="53"/>
      <c r="V232" s="53"/>
      <c r="W232" s="53"/>
      <c r="X232" s="53"/>
      <c r="Y232" s="53"/>
      <c r="Z232" s="53"/>
      <c r="AA232" s="53"/>
      <c r="AB232" s="53"/>
      <c r="AC232" s="53"/>
      <c r="AD232" s="53"/>
      <c r="AE232" s="53"/>
      <c r="AF232" s="53"/>
      <c r="AG232" s="37" t="str">
        <f t="shared" si="18"/>
        <v>○</v>
      </c>
      <c r="AH232" s="37" t="str">
        <f t="shared" si="19"/>
        <v>○</v>
      </c>
      <c r="AI232" s="42">
        <f t="shared" si="17"/>
        <v>0</v>
      </c>
      <c r="AJ232" s="54"/>
    </row>
    <row r="233" spans="1:36" ht="27.75" customHeight="1">
      <c r="A233" s="37">
        <v>229</v>
      </c>
      <c r="B233" s="46" t="s">
        <v>474</v>
      </c>
      <c r="C233" s="46" t="s">
        <v>812</v>
      </c>
      <c r="D233" s="52"/>
      <c r="E233" s="55"/>
      <c r="F233" s="55"/>
      <c r="G233" s="55"/>
      <c r="H233" s="55"/>
      <c r="I233" s="55"/>
      <c r="J233" s="55"/>
      <c r="K233" s="55"/>
      <c r="L233" s="55"/>
      <c r="M233" s="55"/>
      <c r="N233" s="55"/>
      <c r="O233" s="55"/>
      <c r="P233" s="55"/>
      <c r="Q233" s="55"/>
      <c r="R233" s="55"/>
      <c r="S233" s="53"/>
      <c r="T233" s="53"/>
      <c r="U233" s="53"/>
      <c r="V233" s="53"/>
      <c r="W233" s="53"/>
      <c r="X233" s="53"/>
      <c r="Y233" s="53"/>
      <c r="Z233" s="53"/>
      <c r="AA233" s="53"/>
      <c r="AB233" s="53"/>
      <c r="AC233" s="53"/>
      <c r="AD233" s="53"/>
      <c r="AE233" s="53"/>
      <c r="AF233" s="53"/>
      <c r="AG233" s="37" t="str">
        <f t="shared" si="18"/>
        <v>○</v>
      </c>
      <c r="AH233" s="37" t="str">
        <f t="shared" si="19"/>
        <v>○</v>
      </c>
      <c r="AI233" s="42">
        <f t="shared" si="17"/>
        <v>0</v>
      </c>
      <c r="AJ233" s="54"/>
    </row>
    <row r="234" spans="1:36" ht="27.75" customHeight="1">
      <c r="A234" s="37">
        <v>230</v>
      </c>
      <c r="B234" s="46" t="s">
        <v>475</v>
      </c>
      <c r="C234" s="46" t="s">
        <v>813</v>
      </c>
      <c r="D234" s="52"/>
      <c r="E234" s="55"/>
      <c r="F234" s="55"/>
      <c r="G234" s="55"/>
      <c r="H234" s="55"/>
      <c r="I234" s="55"/>
      <c r="J234" s="55"/>
      <c r="K234" s="55"/>
      <c r="L234" s="55"/>
      <c r="M234" s="55"/>
      <c r="N234" s="55"/>
      <c r="O234" s="55"/>
      <c r="P234" s="55"/>
      <c r="Q234" s="55"/>
      <c r="R234" s="55"/>
      <c r="S234" s="53"/>
      <c r="T234" s="53"/>
      <c r="U234" s="53"/>
      <c r="V234" s="53"/>
      <c r="W234" s="53"/>
      <c r="X234" s="53"/>
      <c r="Y234" s="53"/>
      <c r="Z234" s="53"/>
      <c r="AA234" s="53"/>
      <c r="AB234" s="53"/>
      <c r="AC234" s="53"/>
      <c r="AD234" s="53"/>
      <c r="AE234" s="53"/>
      <c r="AF234" s="53"/>
      <c r="AG234" s="37" t="str">
        <f t="shared" si="18"/>
        <v>○</v>
      </c>
      <c r="AH234" s="37" t="str">
        <f t="shared" si="19"/>
        <v>○</v>
      </c>
      <c r="AI234" s="42">
        <f t="shared" si="17"/>
        <v>0</v>
      </c>
      <c r="AJ234" s="54"/>
    </row>
    <row r="235" spans="1:36" ht="27.75" customHeight="1">
      <c r="A235" s="37">
        <v>231</v>
      </c>
      <c r="B235" s="46" t="s">
        <v>476</v>
      </c>
      <c r="C235" s="46" t="s">
        <v>814</v>
      </c>
      <c r="D235" s="52"/>
      <c r="E235" s="55"/>
      <c r="F235" s="55"/>
      <c r="G235" s="55"/>
      <c r="H235" s="55"/>
      <c r="I235" s="55"/>
      <c r="J235" s="55"/>
      <c r="K235" s="55"/>
      <c r="L235" s="55"/>
      <c r="M235" s="55"/>
      <c r="N235" s="55"/>
      <c r="O235" s="55"/>
      <c r="P235" s="55"/>
      <c r="Q235" s="55"/>
      <c r="R235" s="55"/>
      <c r="S235" s="53"/>
      <c r="T235" s="53"/>
      <c r="U235" s="53"/>
      <c r="V235" s="53"/>
      <c r="W235" s="53"/>
      <c r="X235" s="53"/>
      <c r="Y235" s="53"/>
      <c r="Z235" s="53"/>
      <c r="AA235" s="53"/>
      <c r="AB235" s="53"/>
      <c r="AC235" s="53"/>
      <c r="AD235" s="53"/>
      <c r="AE235" s="53"/>
      <c r="AF235" s="53"/>
      <c r="AG235" s="37" t="str">
        <f t="shared" si="18"/>
        <v>○</v>
      </c>
      <c r="AH235" s="37" t="str">
        <f t="shared" si="19"/>
        <v>○</v>
      </c>
      <c r="AI235" s="42">
        <f t="shared" si="17"/>
        <v>0</v>
      </c>
      <c r="AJ235" s="54"/>
    </row>
    <row r="236" spans="1:36" ht="27.75" customHeight="1">
      <c r="A236" s="37">
        <v>232</v>
      </c>
      <c r="B236" s="46" t="s">
        <v>477</v>
      </c>
      <c r="C236" s="46" t="s">
        <v>815</v>
      </c>
      <c r="D236" s="52"/>
      <c r="E236" s="55"/>
      <c r="F236" s="55"/>
      <c r="G236" s="55"/>
      <c r="H236" s="55"/>
      <c r="I236" s="55"/>
      <c r="J236" s="55"/>
      <c r="K236" s="55"/>
      <c r="L236" s="55"/>
      <c r="M236" s="55"/>
      <c r="N236" s="55"/>
      <c r="O236" s="55"/>
      <c r="P236" s="55"/>
      <c r="Q236" s="55"/>
      <c r="R236" s="55"/>
      <c r="S236" s="53"/>
      <c r="T236" s="53"/>
      <c r="U236" s="53"/>
      <c r="V236" s="53"/>
      <c r="W236" s="53"/>
      <c r="X236" s="53"/>
      <c r="Y236" s="53"/>
      <c r="Z236" s="53"/>
      <c r="AA236" s="53"/>
      <c r="AB236" s="53"/>
      <c r="AC236" s="53"/>
      <c r="AD236" s="53"/>
      <c r="AE236" s="53"/>
      <c r="AF236" s="53"/>
      <c r="AG236" s="37" t="str">
        <f t="shared" si="18"/>
        <v>○</v>
      </c>
      <c r="AH236" s="37" t="str">
        <f t="shared" si="19"/>
        <v>○</v>
      </c>
      <c r="AI236" s="42">
        <f t="shared" si="17"/>
        <v>0</v>
      </c>
      <c r="AJ236" s="54"/>
    </row>
    <row r="237" spans="1:36" ht="27.75" customHeight="1">
      <c r="A237" s="37">
        <v>233</v>
      </c>
      <c r="B237" s="46" t="s">
        <v>478</v>
      </c>
      <c r="C237" s="46" t="s">
        <v>816</v>
      </c>
      <c r="D237" s="52"/>
      <c r="E237" s="55"/>
      <c r="F237" s="55"/>
      <c r="G237" s="55"/>
      <c r="H237" s="55"/>
      <c r="I237" s="55"/>
      <c r="J237" s="55"/>
      <c r="K237" s="55"/>
      <c r="L237" s="55"/>
      <c r="M237" s="55"/>
      <c r="N237" s="55"/>
      <c r="O237" s="55"/>
      <c r="P237" s="55"/>
      <c r="Q237" s="55"/>
      <c r="R237" s="55"/>
      <c r="S237" s="53"/>
      <c r="T237" s="53"/>
      <c r="U237" s="53"/>
      <c r="V237" s="53"/>
      <c r="W237" s="53"/>
      <c r="X237" s="53"/>
      <c r="Y237" s="53"/>
      <c r="Z237" s="53"/>
      <c r="AA237" s="53"/>
      <c r="AB237" s="53"/>
      <c r="AC237" s="53"/>
      <c r="AD237" s="53"/>
      <c r="AE237" s="53"/>
      <c r="AF237" s="53"/>
      <c r="AG237" s="37" t="str">
        <f t="shared" si="18"/>
        <v>○</v>
      </c>
      <c r="AH237" s="37" t="str">
        <f t="shared" si="19"/>
        <v>○</v>
      </c>
      <c r="AI237" s="42">
        <f t="shared" si="17"/>
        <v>0</v>
      </c>
      <c r="AJ237" s="54"/>
    </row>
    <row r="238" spans="1:36" ht="27.75" customHeight="1">
      <c r="A238" s="37">
        <v>234</v>
      </c>
      <c r="B238" s="46" t="s">
        <v>479</v>
      </c>
      <c r="C238" s="46" t="s">
        <v>817</v>
      </c>
      <c r="D238" s="52"/>
      <c r="E238" s="55"/>
      <c r="F238" s="55"/>
      <c r="G238" s="55"/>
      <c r="H238" s="55"/>
      <c r="I238" s="55"/>
      <c r="J238" s="55"/>
      <c r="K238" s="55"/>
      <c r="L238" s="55"/>
      <c r="M238" s="55"/>
      <c r="N238" s="55"/>
      <c r="O238" s="55"/>
      <c r="P238" s="55"/>
      <c r="Q238" s="55"/>
      <c r="R238" s="55"/>
      <c r="S238" s="53"/>
      <c r="T238" s="53"/>
      <c r="U238" s="53"/>
      <c r="V238" s="53"/>
      <c r="W238" s="53"/>
      <c r="X238" s="53"/>
      <c r="Y238" s="53"/>
      <c r="Z238" s="53"/>
      <c r="AA238" s="53"/>
      <c r="AB238" s="53"/>
      <c r="AC238" s="53"/>
      <c r="AD238" s="53"/>
      <c r="AE238" s="53"/>
      <c r="AF238" s="53"/>
      <c r="AG238" s="37" t="str">
        <f t="shared" si="18"/>
        <v>○</v>
      </c>
      <c r="AH238" s="37" t="str">
        <f t="shared" si="19"/>
        <v>○</v>
      </c>
      <c r="AI238" s="42">
        <f t="shared" si="17"/>
        <v>0</v>
      </c>
      <c r="AJ238" s="54"/>
    </row>
    <row r="239" spans="1:36" ht="27.75" customHeight="1">
      <c r="A239" s="37">
        <v>235</v>
      </c>
      <c r="B239" s="46" t="s">
        <v>480</v>
      </c>
      <c r="C239" s="46" t="s">
        <v>818</v>
      </c>
      <c r="D239" s="52"/>
      <c r="E239" s="55"/>
      <c r="F239" s="55"/>
      <c r="G239" s="55"/>
      <c r="H239" s="55"/>
      <c r="I239" s="55"/>
      <c r="J239" s="55"/>
      <c r="K239" s="55"/>
      <c r="L239" s="55"/>
      <c r="M239" s="55"/>
      <c r="N239" s="55"/>
      <c r="O239" s="55"/>
      <c r="P239" s="55"/>
      <c r="Q239" s="55"/>
      <c r="R239" s="55"/>
      <c r="S239" s="53"/>
      <c r="T239" s="53"/>
      <c r="U239" s="53"/>
      <c r="V239" s="53"/>
      <c r="W239" s="53"/>
      <c r="X239" s="53"/>
      <c r="Y239" s="53"/>
      <c r="Z239" s="53"/>
      <c r="AA239" s="53"/>
      <c r="AB239" s="53"/>
      <c r="AC239" s="53"/>
      <c r="AD239" s="53"/>
      <c r="AE239" s="53"/>
      <c r="AF239" s="53"/>
      <c r="AG239" s="37" t="str">
        <f t="shared" si="18"/>
        <v>○</v>
      </c>
      <c r="AH239" s="37" t="str">
        <f t="shared" si="19"/>
        <v>○</v>
      </c>
      <c r="AI239" s="42">
        <f t="shared" si="17"/>
        <v>0</v>
      </c>
      <c r="AJ239" s="54"/>
    </row>
    <row r="240" spans="1:36" ht="27.75" customHeight="1">
      <c r="A240" s="37">
        <v>236</v>
      </c>
      <c r="B240" s="46" t="s">
        <v>481</v>
      </c>
      <c r="C240" s="46" t="s">
        <v>819</v>
      </c>
      <c r="D240" s="52"/>
      <c r="E240" s="55"/>
      <c r="F240" s="55"/>
      <c r="G240" s="55"/>
      <c r="H240" s="55"/>
      <c r="I240" s="55"/>
      <c r="J240" s="55"/>
      <c r="K240" s="55"/>
      <c r="L240" s="55"/>
      <c r="M240" s="55"/>
      <c r="N240" s="55"/>
      <c r="O240" s="55"/>
      <c r="P240" s="55"/>
      <c r="Q240" s="55"/>
      <c r="R240" s="55"/>
      <c r="S240" s="53"/>
      <c r="T240" s="53"/>
      <c r="U240" s="53"/>
      <c r="V240" s="53"/>
      <c r="W240" s="53"/>
      <c r="X240" s="53"/>
      <c r="Y240" s="53"/>
      <c r="Z240" s="53"/>
      <c r="AA240" s="53"/>
      <c r="AB240" s="53"/>
      <c r="AC240" s="53"/>
      <c r="AD240" s="53"/>
      <c r="AE240" s="53"/>
      <c r="AF240" s="53"/>
      <c r="AG240" s="37" t="str">
        <f t="shared" si="18"/>
        <v>○</v>
      </c>
      <c r="AH240" s="37" t="str">
        <f t="shared" si="19"/>
        <v>○</v>
      </c>
      <c r="AI240" s="42">
        <f t="shared" si="17"/>
        <v>0</v>
      </c>
      <c r="AJ240" s="54"/>
    </row>
    <row r="241" spans="1:36" ht="27.75" customHeight="1">
      <c r="A241" s="37">
        <v>237</v>
      </c>
      <c r="B241" s="46" t="s">
        <v>482</v>
      </c>
      <c r="C241" s="46" t="s">
        <v>820</v>
      </c>
      <c r="D241" s="52"/>
      <c r="E241" s="55"/>
      <c r="F241" s="55"/>
      <c r="G241" s="55"/>
      <c r="H241" s="55"/>
      <c r="I241" s="55"/>
      <c r="J241" s="55"/>
      <c r="K241" s="55"/>
      <c r="L241" s="55"/>
      <c r="M241" s="55"/>
      <c r="N241" s="55"/>
      <c r="O241" s="55"/>
      <c r="P241" s="55"/>
      <c r="Q241" s="55"/>
      <c r="R241" s="55"/>
      <c r="S241" s="53"/>
      <c r="T241" s="53"/>
      <c r="U241" s="53"/>
      <c r="V241" s="53"/>
      <c r="W241" s="53"/>
      <c r="X241" s="53"/>
      <c r="Y241" s="53"/>
      <c r="Z241" s="53"/>
      <c r="AA241" s="53"/>
      <c r="AB241" s="53"/>
      <c r="AC241" s="53"/>
      <c r="AD241" s="53"/>
      <c r="AE241" s="53"/>
      <c r="AF241" s="53"/>
      <c r="AG241" s="37" t="str">
        <f t="shared" si="18"/>
        <v>○</v>
      </c>
      <c r="AH241" s="37" t="str">
        <f t="shared" si="19"/>
        <v>○</v>
      </c>
      <c r="AI241" s="42">
        <f t="shared" si="17"/>
        <v>0</v>
      </c>
      <c r="AJ241" s="54"/>
    </row>
    <row r="242" spans="1:36" ht="27.75" customHeight="1">
      <c r="A242" s="37">
        <v>238</v>
      </c>
      <c r="B242" s="46" t="s">
        <v>483</v>
      </c>
      <c r="C242" s="46" t="s">
        <v>821</v>
      </c>
      <c r="D242" s="52"/>
      <c r="E242" s="55"/>
      <c r="F242" s="55"/>
      <c r="G242" s="55"/>
      <c r="H242" s="55"/>
      <c r="I242" s="55"/>
      <c r="J242" s="55"/>
      <c r="K242" s="55"/>
      <c r="L242" s="55"/>
      <c r="M242" s="55"/>
      <c r="N242" s="55"/>
      <c r="O242" s="55"/>
      <c r="P242" s="55"/>
      <c r="Q242" s="55"/>
      <c r="R242" s="55"/>
      <c r="S242" s="53"/>
      <c r="T242" s="53"/>
      <c r="U242" s="53"/>
      <c r="V242" s="53"/>
      <c r="W242" s="53"/>
      <c r="X242" s="53"/>
      <c r="Y242" s="53"/>
      <c r="Z242" s="53"/>
      <c r="AA242" s="53"/>
      <c r="AB242" s="53"/>
      <c r="AC242" s="53"/>
      <c r="AD242" s="53"/>
      <c r="AE242" s="53"/>
      <c r="AF242" s="53"/>
      <c r="AG242" s="37" t="str">
        <f t="shared" si="18"/>
        <v>○</v>
      </c>
      <c r="AH242" s="37" t="str">
        <f t="shared" si="19"/>
        <v>○</v>
      </c>
      <c r="AI242" s="42">
        <f t="shared" si="17"/>
        <v>0</v>
      </c>
      <c r="AJ242" s="54"/>
    </row>
    <row r="243" spans="1:36" ht="27.75" customHeight="1">
      <c r="A243" s="37">
        <v>239</v>
      </c>
      <c r="B243" s="46" t="s">
        <v>484</v>
      </c>
      <c r="C243" s="46" t="s">
        <v>822</v>
      </c>
      <c r="D243" s="52"/>
      <c r="E243" s="55"/>
      <c r="F243" s="55"/>
      <c r="G243" s="55"/>
      <c r="H243" s="55"/>
      <c r="I243" s="55"/>
      <c r="J243" s="55"/>
      <c r="K243" s="55"/>
      <c r="L243" s="55"/>
      <c r="M243" s="55"/>
      <c r="N243" s="55"/>
      <c r="O243" s="55"/>
      <c r="P243" s="55"/>
      <c r="Q243" s="55"/>
      <c r="R243" s="55"/>
      <c r="S243" s="53"/>
      <c r="T243" s="53"/>
      <c r="U243" s="53"/>
      <c r="V243" s="53"/>
      <c r="W243" s="53"/>
      <c r="X243" s="53"/>
      <c r="Y243" s="53"/>
      <c r="Z243" s="53"/>
      <c r="AA243" s="53"/>
      <c r="AB243" s="53"/>
      <c r="AC243" s="53"/>
      <c r="AD243" s="53"/>
      <c r="AE243" s="53"/>
      <c r="AF243" s="53"/>
      <c r="AG243" s="37" t="str">
        <f t="shared" si="18"/>
        <v>○</v>
      </c>
      <c r="AH243" s="37" t="str">
        <f t="shared" si="19"/>
        <v>○</v>
      </c>
      <c r="AI243" s="42">
        <f t="shared" si="17"/>
        <v>0</v>
      </c>
      <c r="AJ243" s="54"/>
    </row>
    <row r="244" spans="1:36" ht="27.75" customHeight="1">
      <c r="A244" s="37">
        <v>240</v>
      </c>
      <c r="B244" s="46" t="s">
        <v>485</v>
      </c>
      <c r="C244" s="46" t="s">
        <v>823</v>
      </c>
      <c r="D244" s="52"/>
      <c r="E244" s="55"/>
      <c r="F244" s="55"/>
      <c r="G244" s="55"/>
      <c r="H244" s="55"/>
      <c r="I244" s="55"/>
      <c r="J244" s="55"/>
      <c r="K244" s="55"/>
      <c r="L244" s="55"/>
      <c r="M244" s="55"/>
      <c r="N244" s="55"/>
      <c r="O244" s="55"/>
      <c r="P244" s="55"/>
      <c r="Q244" s="55"/>
      <c r="R244" s="55"/>
      <c r="S244" s="53"/>
      <c r="T244" s="53"/>
      <c r="U244" s="53"/>
      <c r="V244" s="53"/>
      <c r="W244" s="53"/>
      <c r="X244" s="53"/>
      <c r="Y244" s="53"/>
      <c r="Z244" s="53"/>
      <c r="AA244" s="53"/>
      <c r="AB244" s="53"/>
      <c r="AC244" s="53"/>
      <c r="AD244" s="53"/>
      <c r="AE244" s="53"/>
      <c r="AF244" s="53"/>
      <c r="AG244" s="37" t="str">
        <f t="shared" si="18"/>
        <v>○</v>
      </c>
      <c r="AH244" s="37" t="str">
        <f t="shared" si="19"/>
        <v>○</v>
      </c>
      <c r="AI244" s="42">
        <f t="shared" si="17"/>
        <v>0</v>
      </c>
      <c r="AJ244" s="54"/>
    </row>
    <row r="245" spans="1:36" ht="27.75" customHeight="1">
      <c r="A245" s="37">
        <v>241</v>
      </c>
      <c r="B245" s="46" t="s">
        <v>486</v>
      </c>
      <c r="C245" s="46" t="s">
        <v>824</v>
      </c>
      <c r="D245" s="52"/>
      <c r="E245" s="55"/>
      <c r="F245" s="55"/>
      <c r="G245" s="55"/>
      <c r="H245" s="55"/>
      <c r="I245" s="55"/>
      <c r="J245" s="55"/>
      <c r="K245" s="55"/>
      <c r="L245" s="55"/>
      <c r="M245" s="55"/>
      <c r="N245" s="55"/>
      <c r="O245" s="55"/>
      <c r="P245" s="55"/>
      <c r="Q245" s="55"/>
      <c r="R245" s="55"/>
      <c r="S245" s="53"/>
      <c r="T245" s="53"/>
      <c r="U245" s="53"/>
      <c r="V245" s="53"/>
      <c r="W245" s="53"/>
      <c r="X245" s="53"/>
      <c r="Y245" s="53"/>
      <c r="Z245" s="53"/>
      <c r="AA245" s="53"/>
      <c r="AB245" s="53"/>
      <c r="AC245" s="53"/>
      <c r="AD245" s="53"/>
      <c r="AE245" s="53"/>
      <c r="AF245" s="53"/>
      <c r="AG245" s="37" t="str">
        <f t="shared" si="18"/>
        <v>○</v>
      </c>
      <c r="AH245" s="37" t="str">
        <f t="shared" si="19"/>
        <v>○</v>
      </c>
      <c r="AI245" s="42">
        <f t="shared" si="17"/>
        <v>0</v>
      </c>
      <c r="AJ245" s="54"/>
    </row>
    <row r="246" spans="1:36" ht="27.75" customHeight="1">
      <c r="A246" s="37">
        <v>242</v>
      </c>
      <c r="B246" s="46" t="s">
        <v>487</v>
      </c>
      <c r="C246" s="46" t="s">
        <v>825</v>
      </c>
      <c r="D246" s="52"/>
      <c r="E246" s="55"/>
      <c r="F246" s="55"/>
      <c r="G246" s="55"/>
      <c r="H246" s="55"/>
      <c r="I246" s="55"/>
      <c r="J246" s="55"/>
      <c r="K246" s="55"/>
      <c r="L246" s="55"/>
      <c r="M246" s="55"/>
      <c r="N246" s="55"/>
      <c r="O246" s="55"/>
      <c r="P246" s="55"/>
      <c r="Q246" s="55"/>
      <c r="R246" s="55"/>
      <c r="S246" s="53"/>
      <c r="T246" s="53"/>
      <c r="U246" s="53"/>
      <c r="V246" s="53"/>
      <c r="W246" s="53"/>
      <c r="X246" s="53"/>
      <c r="Y246" s="53"/>
      <c r="Z246" s="53"/>
      <c r="AA246" s="53"/>
      <c r="AB246" s="53"/>
      <c r="AC246" s="53"/>
      <c r="AD246" s="53"/>
      <c r="AE246" s="53"/>
      <c r="AF246" s="53"/>
      <c r="AG246" s="37" t="str">
        <f t="shared" si="18"/>
        <v>○</v>
      </c>
      <c r="AH246" s="37" t="str">
        <f t="shared" si="19"/>
        <v>○</v>
      </c>
      <c r="AI246" s="42">
        <f t="shared" si="17"/>
        <v>0</v>
      </c>
      <c r="AJ246" s="54"/>
    </row>
    <row r="247" spans="1:36" ht="27.75" customHeight="1">
      <c r="A247" s="37">
        <v>243</v>
      </c>
      <c r="B247" s="46" t="s">
        <v>488</v>
      </c>
      <c r="C247" s="46" t="s">
        <v>826</v>
      </c>
      <c r="D247" s="52"/>
      <c r="E247" s="55"/>
      <c r="F247" s="55"/>
      <c r="G247" s="55"/>
      <c r="H247" s="55"/>
      <c r="I247" s="55"/>
      <c r="J247" s="55"/>
      <c r="K247" s="55"/>
      <c r="L247" s="55"/>
      <c r="M247" s="55"/>
      <c r="N247" s="55"/>
      <c r="O247" s="55"/>
      <c r="P247" s="55"/>
      <c r="Q247" s="55"/>
      <c r="R247" s="55"/>
      <c r="S247" s="53"/>
      <c r="T247" s="53"/>
      <c r="U247" s="53"/>
      <c r="V247" s="53"/>
      <c r="W247" s="53"/>
      <c r="X247" s="53"/>
      <c r="Y247" s="53"/>
      <c r="Z247" s="53"/>
      <c r="AA247" s="53"/>
      <c r="AB247" s="53"/>
      <c r="AC247" s="53"/>
      <c r="AD247" s="53"/>
      <c r="AE247" s="53"/>
      <c r="AF247" s="53"/>
      <c r="AG247" s="37" t="str">
        <f t="shared" si="18"/>
        <v>○</v>
      </c>
      <c r="AH247" s="37" t="str">
        <f t="shared" si="19"/>
        <v>○</v>
      </c>
      <c r="AI247" s="42">
        <f t="shared" si="17"/>
        <v>0</v>
      </c>
      <c r="AJ247" s="54"/>
    </row>
    <row r="248" spans="1:36" ht="27.75" customHeight="1">
      <c r="A248" s="37">
        <v>244</v>
      </c>
      <c r="B248" s="46" t="s">
        <v>489</v>
      </c>
      <c r="C248" s="46" t="s">
        <v>827</v>
      </c>
      <c r="D248" s="52"/>
      <c r="E248" s="55"/>
      <c r="F248" s="55"/>
      <c r="G248" s="55"/>
      <c r="H248" s="55"/>
      <c r="I248" s="55"/>
      <c r="J248" s="55"/>
      <c r="K248" s="55"/>
      <c r="L248" s="55"/>
      <c r="M248" s="55"/>
      <c r="N248" s="55"/>
      <c r="O248" s="55"/>
      <c r="P248" s="55"/>
      <c r="Q248" s="55"/>
      <c r="R248" s="55"/>
      <c r="S248" s="53"/>
      <c r="T248" s="53"/>
      <c r="U248" s="53"/>
      <c r="V248" s="53"/>
      <c r="W248" s="53"/>
      <c r="X248" s="53"/>
      <c r="Y248" s="53"/>
      <c r="Z248" s="53"/>
      <c r="AA248" s="53"/>
      <c r="AB248" s="53"/>
      <c r="AC248" s="53"/>
      <c r="AD248" s="53"/>
      <c r="AE248" s="53"/>
      <c r="AF248" s="53"/>
      <c r="AG248" s="37" t="str">
        <f t="shared" si="18"/>
        <v>○</v>
      </c>
      <c r="AH248" s="37" t="str">
        <f t="shared" si="19"/>
        <v>○</v>
      </c>
      <c r="AI248" s="42">
        <f t="shared" si="17"/>
        <v>0</v>
      </c>
      <c r="AJ248" s="54"/>
    </row>
    <row r="249" spans="1:36" ht="27.75" customHeight="1">
      <c r="A249" s="37">
        <v>245</v>
      </c>
      <c r="B249" s="46" t="s">
        <v>490</v>
      </c>
      <c r="C249" s="46" t="s">
        <v>828</v>
      </c>
      <c r="D249" s="52"/>
      <c r="E249" s="55"/>
      <c r="F249" s="55"/>
      <c r="G249" s="55"/>
      <c r="H249" s="55"/>
      <c r="I249" s="55"/>
      <c r="J249" s="55"/>
      <c r="K249" s="55"/>
      <c r="L249" s="55"/>
      <c r="M249" s="55"/>
      <c r="N249" s="55"/>
      <c r="O249" s="55"/>
      <c r="P249" s="55"/>
      <c r="Q249" s="55"/>
      <c r="R249" s="55"/>
      <c r="S249" s="53"/>
      <c r="T249" s="53"/>
      <c r="U249" s="53"/>
      <c r="V249" s="53"/>
      <c r="W249" s="53"/>
      <c r="X249" s="53"/>
      <c r="Y249" s="53"/>
      <c r="Z249" s="53"/>
      <c r="AA249" s="53"/>
      <c r="AB249" s="53"/>
      <c r="AC249" s="53"/>
      <c r="AD249" s="53"/>
      <c r="AE249" s="53"/>
      <c r="AF249" s="53"/>
      <c r="AG249" s="37" t="str">
        <f t="shared" si="18"/>
        <v>○</v>
      </c>
      <c r="AH249" s="37" t="str">
        <f t="shared" si="19"/>
        <v>○</v>
      </c>
      <c r="AI249" s="42">
        <f t="shared" si="17"/>
        <v>0</v>
      </c>
      <c r="AJ249" s="54"/>
    </row>
    <row r="250" spans="1:36" ht="27.75" customHeight="1">
      <c r="A250" s="37">
        <v>246</v>
      </c>
      <c r="B250" s="46" t="s">
        <v>491</v>
      </c>
      <c r="C250" s="46" t="s">
        <v>829</v>
      </c>
      <c r="D250" s="52"/>
      <c r="E250" s="55"/>
      <c r="F250" s="55"/>
      <c r="G250" s="55"/>
      <c r="H250" s="55"/>
      <c r="I250" s="55"/>
      <c r="J250" s="55"/>
      <c r="K250" s="55"/>
      <c r="L250" s="55"/>
      <c r="M250" s="55"/>
      <c r="N250" s="55"/>
      <c r="O250" s="55"/>
      <c r="P250" s="55"/>
      <c r="Q250" s="55"/>
      <c r="R250" s="55"/>
      <c r="S250" s="53"/>
      <c r="T250" s="53"/>
      <c r="U250" s="53"/>
      <c r="V250" s="53"/>
      <c r="W250" s="53"/>
      <c r="X250" s="53"/>
      <c r="Y250" s="53"/>
      <c r="Z250" s="53"/>
      <c r="AA250" s="53"/>
      <c r="AB250" s="53"/>
      <c r="AC250" s="53"/>
      <c r="AD250" s="53"/>
      <c r="AE250" s="53"/>
      <c r="AF250" s="53"/>
      <c r="AG250" s="37" t="str">
        <f t="shared" si="18"/>
        <v>○</v>
      </c>
      <c r="AH250" s="37" t="str">
        <f t="shared" si="19"/>
        <v>○</v>
      </c>
      <c r="AI250" s="42">
        <f t="shared" si="17"/>
        <v>0</v>
      </c>
      <c r="AJ250" s="54"/>
    </row>
    <row r="251" spans="1:36" ht="27.75" customHeight="1">
      <c r="A251" s="37">
        <v>247</v>
      </c>
      <c r="B251" s="46" t="s">
        <v>492</v>
      </c>
      <c r="C251" s="46" t="s">
        <v>830</v>
      </c>
      <c r="D251" s="52"/>
      <c r="E251" s="55"/>
      <c r="F251" s="55"/>
      <c r="G251" s="55"/>
      <c r="H251" s="55"/>
      <c r="I251" s="55"/>
      <c r="J251" s="55"/>
      <c r="K251" s="55"/>
      <c r="L251" s="55"/>
      <c r="M251" s="55"/>
      <c r="N251" s="55"/>
      <c r="O251" s="55"/>
      <c r="P251" s="55"/>
      <c r="Q251" s="55"/>
      <c r="R251" s="55"/>
      <c r="S251" s="53"/>
      <c r="T251" s="53"/>
      <c r="U251" s="53"/>
      <c r="V251" s="53"/>
      <c r="W251" s="53"/>
      <c r="X251" s="53"/>
      <c r="Y251" s="53"/>
      <c r="Z251" s="53"/>
      <c r="AA251" s="53"/>
      <c r="AB251" s="53"/>
      <c r="AC251" s="53"/>
      <c r="AD251" s="53"/>
      <c r="AE251" s="53"/>
      <c r="AF251" s="53"/>
      <c r="AG251" s="37" t="str">
        <f t="shared" ref="AG251:AG314" si="20">IF(AND(B251="",E251="",S251=""),"",IF(SUMPRODUCT(((E251:R251&gt;=1)&lt;&gt;(S251:AF251&gt;=1))*1)=0,"○","✗"))</f>
        <v>○</v>
      </c>
      <c r="AH251" s="37" t="str">
        <f t="shared" ref="AH251:AH314" si="21">IF(AG251="","",IF(AG251="✗","✗",IF(SUMPRODUCT((E251:R251&lt;&gt;S251:AF251)*1)=0,"○","✗")))</f>
        <v>○</v>
      </c>
      <c r="AI251" s="42">
        <f t="shared" si="17"/>
        <v>0</v>
      </c>
      <c r="AJ251" s="54"/>
    </row>
    <row r="252" spans="1:36" ht="27.75" customHeight="1">
      <c r="A252" s="37">
        <v>248</v>
      </c>
      <c r="B252" s="46" t="s">
        <v>493</v>
      </c>
      <c r="C252" s="46" t="s">
        <v>831</v>
      </c>
      <c r="D252" s="52"/>
      <c r="E252" s="55"/>
      <c r="F252" s="55"/>
      <c r="G252" s="55"/>
      <c r="H252" s="55"/>
      <c r="I252" s="55"/>
      <c r="J252" s="55"/>
      <c r="K252" s="55"/>
      <c r="L252" s="55"/>
      <c r="M252" s="55"/>
      <c r="N252" s="55"/>
      <c r="O252" s="55"/>
      <c r="P252" s="55"/>
      <c r="Q252" s="55"/>
      <c r="R252" s="55"/>
      <c r="S252" s="53"/>
      <c r="T252" s="53"/>
      <c r="U252" s="53"/>
      <c r="V252" s="53"/>
      <c r="W252" s="53"/>
      <c r="X252" s="53"/>
      <c r="Y252" s="53"/>
      <c r="Z252" s="53"/>
      <c r="AA252" s="53"/>
      <c r="AB252" s="53"/>
      <c r="AC252" s="53"/>
      <c r="AD252" s="53"/>
      <c r="AE252" s="53"/>
      <c r="AF252" s="53"/>
      <c r="AG252" s="37" t="str">
        <f t="shared" si="20"/>
        <v>○</v>
      </c>
      <c r="AH252" s="37" t="str">
        <f t="shared" si="21"/>
        <v>○</v>
      </c>
      <c r="AI252" s="42">
        <f t="shared" si="17"/>
        <v>0</v>
      </c>
      <c r="AJ252" s="54"/>
    </row>
    <row r="253" spans="1:36" ht="27.75" customHeight="1">
      <c r="A253" s="37">
        <v>249</v>
      </c>
      <c r="B253" s="46" t="s">
        <v>494</v>
      </c>
      <c r="C253" s="46" t="s">
        <v>832</v>
      </c>
      <c r="D253" s="52"/>
      <c r="E253" s="55"/>
      <c r="F253" s="55"/>
      <c r="G253" s="55"/>
      <c r="H253" s="55"/>
      <c r="I253" s="55"/>
      <c r="J253" s="55"/>
      <c r="K253" s="55"/>
      <c r="L253" s="55"/>
      <c r="M253" s="55"/>
      <c r="N253" s="55"/>
      <c r="O253" s="55"/>
      <c r="P253" s="55"/>
      <c r="Q253" s="55"/>
      <c r="R253" s="55"/>
      <c r="S253" s="53"/>
      <c r="T253" s="53"/>
      <c r="U253" s="53"/>
      <c r="V253" s="53"/>
      <c r="W253" s="53"/>
      <c r="X253" s="53"/>
      <c r="Y253" s="53"/>
      <c r="Z253" s="53"/>
      <c r="AA253" s="53"/>
      <c r="AB253" s="53"/>
      <c r="AC253" s="53"/>
      <c r="AD253" s="53"/>
      <c r="AE253" s="53"/>
      <c r="AF253" s="53"/>
      <c r="AG253" s="37" t="str">
        <f t="shared" si="20"/>
        <v>○</v>
      </c>
      <c r="AH253" s="37" t="str">
        <f t="shared" si="21"/>
        <v>○</v>
      </c>
      <c r="AI253" s="42">
        <f t="shared" si="17"/>
        <v>0</v>
      </c>
      <c r="AJ253" s="54"/>
    </row>
    <row r="254" spans="1:36" ht="27.75" customHeight="1">
      <c r="A254" s="37">
        <v>250</v>
      </c>
      <c r="B254" s="46" t="s">
        <v>495</v>
      </c>
      <c r="C254" s="46" t="s">
        <v>833</v>
      </c>
      <c r="D254" s="52"/>
      <c r="E254" s="55"/>
      <c r="F254" s="55"/>
      <c r="G254" s="55"/>
      <c r="H254" s="55"/>
      <c r="I254" s="55"/>
      <c r="J254" s="55"/>
      <c r="K254" s="55"/>
      <c r="L254" s="55"/>
      <c r="M254" s="55"/>
      <c r="N254" s="55"/>
      <c r="O254" s="55"/>
      <c r="P254" s="55"/>
      <c r="Q254" s="55"/>
      <c r="R254" s="55"/>
      <c r="S254" s="53"/>
      <c r="T254" s="53"/>
      <c r="U254" s="53"/>
      <c r="V254" s="53"/>
      <c r="W254" s="53"/>
      <c r="X254" s="53"/>
      <c r="Y254" s="53"/>
      <c r="Z254" s="53"/>
      <c r="AA254" s="53"/>
      <c r="AB254" s="53"/>
      <c r="AC254" s="53"/>
      <c r="AD254" s="53"/>
      <c r="AE254" s="53"/>
      <c r="AF254" s="53"/>
      <c r="AG254" s="37" t="str">
        <f t="shared" si="20"/>
        <v>○</v>
      </c>
      <c r="AH254" s="37" t="str">
        <f t="shared" si="21"/>
        <v>○</v>
      </c>
      <c r="AI254" s="42">
        <f t="shared" si="17"/>
        <v>0</v>
      </c>
      <c r="AJ254" s="54"/>
    </row>
    <row r="255" spans="1:36" ht="27.75" customHeight="1">
      <c r="A255" s="37">
        <v>251</v>
      </c>
      <c r="B255" s="46" t="s">
        <v>496</v>
      </c>
      <c r="C255" s="46" t="s">
        <v>834</v>
      </c>
      <c r="D255" s="52"/>
      <c r="E255" s="55"/>
      <c r="F255" s="55"/>
      <c r="G255" s="55"/>
      <c r="H255" s="55"/>
      <c r="I255" s="55"/>
      <c r="J255" s="55"/>
      <c r="K255" s="55"/>
      <c r="L255" s="55"/>
      <c r="M255" s="55"/>
      <c r="N255" s="55"/>
      <c r="O255" s="55"/>
      <c r="P255" s="55"/>
      <c r="Q255" s="55"/>
      <c r="R255" s="55"/>
      <c r="S255" s="53"/>
      <c r="T255" s="53"/>
      <c r="U255" s="53"/>
      <c r="V255" s="53"/>
      <c r="W255" s="53"/>
      <c r="X255" s="53"/>
      <c r="Y255" s="53"/>
      <c r="Z255" s="53"/>
      <c r="AA255" s="53"/>
      <c r="AB255" s="53"/>
      <c r="AC255" s="53"/>
      <c r="AD255" s="53"/>
      <c r="AE255" s="53"/>
      <c r="AF255" s="53"/>
      <c r="AG255" s="37" t="str">
        <f t="shared" si="20"/>
        <v>○</v>
      </c>
      <c r="AH255" s="37" t="str">
        <f t="shared" si="21"/>
        <v>○</v>
      </c>
      <c r="AI255" s="42">
        <f t="shared" si="17"/>
        <v>0</v>
      </c>
      <c r="AJ255" s="54"/>
    </row>
    <row r="256" spans="1:36" ht="27.75" customHeight="1">
      <c r="A256" s="37">
        <v>252</v>
      </c>
      <c r="B256" s="46" t="s">
        <v>497</v>
      </c>
      <c r="C256" s="46" t="s">
        <v>835</v>
      </c>
      <c r="D256" s="52"/>
      <c r="E256" s="55"/>
      <c r="F256" s="55"/>
      <c r="G256" s="55"/>
      <c r="H256" s="55"/>
      <c r="I256" s="55"/>
      <c r="J256" s="55"/>
      <c r="K256" s="55"/>
      <c r="L256" s="55"/>
      <c r="M256" s="55"/>
      <c r="N256" s="55"/>
      <c r="O256" s="55"/>
      <c r="P256" s="55"/>
      <c r="Q256" s="55"/>
      <c r="R256" s="55"/>
      <c r="S256" s="53"/>
      <c r="T256" s="53"/>
      <c r="U256" s="53"/>
      <c r="V256" s="53"/>
      <c r="W256" s="53"/>
      <c r="X256" s="53"/>
      <c r="Y256" s="53"/>
      <c r="Z256" s="53"/>
      <c r="AA256" s="53"/>
      <c r="AB256" s="53"/>
      <c r="AC256" s="53"/>
      <c r="AD256" s="53"/>
      <c r="AE256" s="53"/>
      <c r="AF256" s="53"/>
      <c r="AG256" s="37" t="str">
        <f t="shared" si="20"/>
        <v>○</v>
      </c>
      <c r="AH256" s="37" t="str">
        <f t="shared" si="21"/>
        <v>○</v>
      </c>
      <c r="AI256" s="42">
        <f t="shared" si="17"/>
        <v>0</v>
      </c>
      <c r="AJ256" s="54"/>
    </row>
    <row r="257" spans="1:36" ht="27.75" customHeight="1">
      <c r="A257" s="37">
        <v>253</v>
      </c>
      <c r="B257" s="46" t="s">
        <v>498</v>
      </c>
      <c r="C257" s="46" t="s">
        <v>836</v>
      </c>
      <c r="D257" s="52"/>
      <c r="E257" s="55"/>
      <c r="F257" s="55"/>
      <c r="G257" s="55"/>
      <c r="H257" s="55"/>
      <c r="I257" s="55"/>
      <c r="J257" s="55"/>
      <c r="K257" s="55"/>
      <c r="L257" s="55"/>
      <c r="M257" s="55"/>
      <c r="N257" s="55"/>
      <c r="O257" s="55"/>
      <c r="P257" s="55"/>
      <c r="Q257" s="55"/>
      <c r="R257" s="55"/>
      <c r="S257" s="53"/>
      <c r="T257" s="53"/>
      <c r="U257" s="53"/>
      <c r="V257" s="53"/>
      <c r="W257" s="53"/>
      <c r="X257" s="53"/>
      <c r="Y257" s="53"/>
      <c r="Z257" s="53"/>
      <c r="AA257" s="53"/>
      <c r="AB257" s="53"/>
      <c r="AC257" s="53"/>
      <c r="AD257" s="53"/>
      <c r="AE257" s="53"/>
      <c r="AF257" s="53"/>
      <c r="AG257" s="37" t="str">
        <f t="shared" si="20"/>
        <v>○</v>
      </c>
      <c r="AH257" s="37" t="str">
        <f t="shared" si="21"/>
        <v>○</v>
      </c>
      <c r="AI257" s="42">
        <f t="shared" si="17"/>
        <v>0</v>
      </c>
      <c r="AJ257" s="54"/>
    </row>
    <row r="258" spans="1:36" ht="27.75" customHeight="1">
      <c r="A258" s="37">
        <v>254</v>
      </c>
      <c r="B258" s="46" t="s">
        <v>499</v>
      </c>
      <c r="C258" s="46" t="s">
        <v>837</v>
      </c>
      <c r="D258" s="52"/>
      <c r="E258" s="55"/>
      <c r="F258" s="55"/>
      <c r="G258" s="55"/>
      <c r="H258" s="55"/>
      <c r="I258" s="55"/>
      <c r="J258" s="55"/>
      <c r="K258" s="55"/>
      <c r="L258" s="55"/>
      <c r="M258" s="55"/>
      <c r="N258" s="55"/>
      <c r="O258" s="55"/>
      <c r="P258" s="55"/>
      <c r="Q258" s="55"/>
      <c r="R258" s="55"/>
      <c r="S258" s="53"/>
      <c r="T258" s="53"/>
      <c r="U258" s="53"/>
      <c r="V258" s="53"/>
      <c r="W258" s="53"/>
      <c r="X258" s="53"/>
      <c r="Y258" s="53"/>
      <c r="Z258" s="53"/>
      <c r="AA258" s="53"/>
      <c r="AB258" s="53"/>
      <c r="AC258" s="53"/>
      <c r="AD258" s="53"/>
      <c r="AE258" s="53"/>
      <c r="AF258" s="53"/>
      <c r="AG258" s="37" t="str">
        <f t="shared" si="20"/>
        <v>○</v>
      </c>
      <c r="AH258" s="37" t="str">
        <f t="shared" si="21"/>
        <v>○</v>
      </c>
      <c r="AI258" s="42">
        <f t="shared" si="17"/>
        <v>0</v>
      </c>
      <c r="AJ258" s="54"/>
    </row>
    <row r="259" spans="1:36" ht="27.75" customHeight="1">
      <c r="A259" s="37">
        <v>255</v>
      </c>
      <c r="B259" s="46" t="s">
        <v>500</v>
      </c>
      <c r="C259" s="46" t="s">
        <v>838</v>
      </c>
      <c r="D259" s="52"/>
      <c r="E259" s="55"/>
      <c r="F259" s="55"/>
      <c r="G259" s="55"/>
      <c r="H259" s="55"/>
      <c r="I259" s="55"/>
      <c r="J259" s="55"/>
      <c r="K259" s="55"/>
      <c r="L259" s="55"/>
      <c r="M259" s="55"/>
      <c r="N259" s="55"/>
      <c r="O259" s="55"/>
      <c r="P259" s="55"/>
      <c r="Q259" s="55"/>
      <c r="R259" s="55"/>
      <c r="S259" s="53"/>
      <c r="T259" s="53"/>
      <c r="U259" s="53"/>
      <c r="V259" s="53"/>
      <c r="W259" s="53"/>
      <c r="X259" s="53"/>
      <c r="Y259" s="53"/>
      <c r="Z259" s="53"/>
      <c r="AA259" s="53"/>
      <c r="AB259" s="53"/>
      <c r="AC259" s="53"/>
      <c r="AD259" s="53"/>
      <c r="AE259" s="53"/>
      <c r="AF259" s="53"/>
      <c r="AG259" s="37" t="str">
        <f t="shared" si="20"/>
        <v>○</v>
      </c>
      <c r="AH259" s="37" t="str">
        <f t="shared" si="21"/>
        <v>○</v>
      </c>
      <c r="AI259" s="42">
        <f t="shared" si="17"/>
        <v>0</v>
      </c>
      <c r="AJ259" s="54"/>
    </row>
    <row r="260" spans="1:36" ht="27.75" customHeight="1">
      <c r="A260" s="37">
        <v>256</v>
      </c>
      <c r="B260" s="46" t="s">
        <v>501</v>
      </c>
      <c r="C260" s="46" t="s">
        <v>839</v>
      </c>
      <c r="D260" s="52"/>
      <c r="E260" s="55"/>
      <c r="F260" s="55"/>
      <c r="G260" s="55"/>
      <c r="H260" s="55"/>
      <c r="I260" s="55"/>
      <c r="J260" s="55"/>
      <c r="K260" s="55"/>
      <c r="L260" s="55"/>
      <c r="M260" s="55"/>
      <c r="N260" s="55"/>
      <c r="O260" s="55"/>
      <c r="P260" s="55"/>
      <c r="Q260" s="55"/>
      <c r="R260" s="55"/>
      <c r="S260" s="53"/>
      <c r="T260" s="53"/>
      <c r="U260" s="53"/>
      <c r="V260" s="53"/>
      <c r="W260" s="53"/>
      <c r="X260" s="53"/>
      <c r="Y260" s="53"/>
      <c r="Z260" s="53"/>
      <c r="AA260" s="53"/>
      <c r="AB260" s="53"/>
      <c r="AC260" s="53"/>
      <c r="AD260" s="53"/>
      <c r="AE260" s="53"/>
      <c r="AF260" s="53"/>
      <c r="AG260" s="37" t="str">
        <f t="shared" si="20"/>
        <v>○</v>
      </c>
      <c r="AH260" s="37" t="str">
        <f t="shared" si="21"/>
        <v>○</v>
      </c>
      <c r="AI260" s="42">
        <f t="shared" si="17"/>
        <v>0</v>
      </c>
      <c r="AJ260" s="54"/>
    </row>
    <row r="261" spans="1:36" ht="27.75" customHeight="1">
      <c r="A261" s="37">
        <v>257</v>
      </c>
      <c r="B261" s="46" t="s">
        <v>502</v>
      </c>
      <c r="C261" s="46" t="s">
        <v>840</v>
      </c>
      <c r="D261" s="52"/>
      <c r="E261" s="55"/>
      <c r="F261" s="55"/>
      <c r="G261" s="55"/>
      <c r="H261" s="55"/>
      <c r="I261" s="55"/>
      <c r="J261" s="55"/>
      <c r="K261" s="55"/>
      <c r="L261" s="55"/>
      <c r="M261" s="55"/>
      <c r="N261" s="55"/>
      <c r="O261" s="55"/>
      <c r="P261" s="55"/>
      <c r="Q261" s="55"/>
      <c r="R261" s="55"/>
      <c r="S261" s="53"/>
      <c r="T261" s="53"/>
      <c r="U261" s="53"/>
      <c r="V261" s="53"/>
      <c r="W261" s="53"/>
      <c r="X261" s="53"/>
      <c r="Y261" s="53"/>
      <c r="Z261" s="53"/>
      <c r="AA261" s="53"/>
      <c r="AB261" s="53"/>
      <c r="AC261" s="53"/>
      <c r="AD261" s="53"/>
      <c r="AE261" s="53"/>
      <c r="AF261" s="53"/>
      <c r="AG261" s="37" t="str">
        <f t="shared" si="20"/>
        <v>○</v>
      </c>
      <c r="AH261" s="37" t="str">
        <f t="shared" si="21"/>
        <v>○</v>
      </c>
      <c r="AI261" s="42">
        <f t="shared" si="17"/>
        <v>0</v>
      </c>
      <c r="AJ261" s="54"/>
    </row>
    <row r="262" spans="1:36" ht="27.75" customHeight="1">
      <c r="A262" s="37">
        <v>258</v>
      </c>
      <c r="B262" s="46" t="s">
        <v>503</v>
      </c>
      <c r="C262" s="46" t="s">
        <v>841</v>
      </c>
      <c r="D262" s="52"/>
      <c r="E262" s="55"/>
      <c r="F262" s="55"/>
      <c r="G262" s="55"/>
      <c r="H262" s="55"/>
      <c r="I262" s="55"/>
      <c r="J262" s="55"/>
      <c r="K262" s="55"/>
      <c r="L262" s="55"/>
      <c r="M262" s="55"/>
      <c r="N262" s="55"/>
      <c r="O262" s="55"/>
      <c r="P262" s="55"/>
      <c r="Q262" s="55"/>
      <c r="R262" s="55"/>
      <c r="S262" s="53"/>
      <c r="T262" s="53"/>
      <c r="U262" s="53"/>
      <c r="V262" s="53"/>
      <c r="W262" s="53"/>
      <c r="X262" s="53"/>
      <c r="Y262" s="53"/>
      <c r="Z262" s="53"/>
      <c r="AA262" s="53"/>
      <c r="AB262" s="53"/>
      <c r="AC262" s="53"/>
      <c r="AD262" s="53"/>
      <c r="AE262" s="53"/>
      <c r="AF262" s="53"/>
      <c r="AG262" s="37" t="str">
        <f t="shared" si="20"/>
        <v>○</v>
      </c>
      <c r="AH262" s="37" t="str">
        <f t="shared" si="21"/>
        <v>○</v>
      </c>
      <c r="AI262" s="42">
        <f t="shared" si="17"/>
        <v>0</v>
      </c>
      <c r="AJ262" s="54"/>
    </row>
    <row r="263" spans="1:36" ht="27.75" customHeight="1">
      <c r="A263" s="37">
        <v>259</v>
      </c>
      <c r="B263" s="46" t="s">
        <v>504</v>
      </c>
      <c r="C263" s="46" t="s">
        <v>842</v>
      </c>
      <c r="D263" s="52"/>
      <c r="E263" s="55"/>
      <c r="F263" s="55"/>
      <c r="G263" s="55"/>
      <c r="H263" s="55"/>
      <c r="I263" s="55"/>
      <c r="J263" s="55"/>
      <c r="K263" s="55"/>
      <c r="L263" s="55"/>
      <c r="M263" s="55"/>
      <c r="N263" s="55"/>
      <c r="O263" s="55"/>
      <c r="P263" s="55"/>
      <c r="Q263" s="55"/>
      <c r="R263" s="55"/>
      <c r="S263" s="53"/>
      <c r="T263" s="53"/>
      <c r="U263" s="53"/>
      <c r="V263" s="53"/>
      <c r="W263" s="53"/>
      <c r="X263" s="53"/>
      <c r="Y263" s="53"/>
      <c r="Z263" s="53"/>
      <c r="AA263" s="53"/>
      <c r="AB263" s="53"/>
      <c r="AC263" s="53"/>
      <c r="AD263" s="53"/>
      <c r="AE263" s="53"/>
      <c r="AF263" s="53"/>
      <c r="AG263" s="37" t="str">
        <f t="shared" si="20"/>
        <v>○</v>
      </c>
      <c r="AH263" s="37" t="str">
        <f t="shared" si="21"/>
        <v>○</v>
      </c>
      <c r="AI263" s="42">
        <f t="shared" si="17"/>
        <v>0</v>
      </c>
      <c r="AJ263" s="54"/>
    </row>
    <row r="264" spans="1:36" ht="27.75" customHeight="1">
      <c r="A264" s="37">
        <v>260</v>
      </c>
      <c r="B264" s="46" t="s">
        <v>505</v>
      </c>
      <c r="C264" s="46" t="s">
        <v>843</v>
      </c>
      <c r="D264" s="52"/>
      <c r="E264" s="55"/>
      <c r="F264" s="55"/>
      <c r="G264" s="55"/>
      <c r="H264" s="55"/>
      <c r="I264" s="55"/>
      <c r="J264" s="55"/>
      <c r="K264" s="55"/>
      <c r="L264" s="55"/>
      <c r="M264" s="55"/>
      <c r="N264" s="55"/>
      <c r="O264" s="55"/>
      <c r="P264" s="55"/>
      <c r="Q264" s="55"/>
      <c r="R264" s="55"/>
      <c r="S264" s="53"/>
      <c r="T264" s="53"/>
      <c r="U264" s="53"/>
      <c r="V264" s="53"/>
      <c r="W264" s="53"/>
      <c r="X264" s="53"/>
      <c r="Y264" s="53"/>
      <c r="Z264" s="53"/>
      <c r="AA264" s="53"/>
      <c r="AB264" s="53"/>
      <c r="AC264" s="53"/>
      <c r="AD264" s="53"/>
      <c r="AE264" s="53"/>
      <c r="AF264" s="53"/>
      <c r="AG264" s="37" t="str">
        <f t="shared" si="20"/>
        <v>○</v>
      </c>
      <c r="AH264" s="37" t="str">
        <f t="shared" si="21"/>
        <v>○</v>
      </c>
      <c r="AI264" s="42">
        <f t="shared" si="17"/>
        <v>0</v>
      </c>
      <c r="AJ264" s="54"/>
    </row>
    <row r="265" spans="1:36" ht="27.75" customHeight="1">
      <c r="A265" s="37">
        <v>261</v>
      </c>
      <c r="B265" s="46" t="s">
        <v>506</v>
      </c>
      <c r="C265" s="46" t="s">
        <v>844</v>
      </c>
      <c r="D265" s="52"/>
      <c r="E265" s="55"/>
      <c r="F265" s="55"/>
      <c r="G265" s="55"/>
      <c r="H265" s="55"/>
      <c r="I265" s="55"/>
      <c r="J265" s="55"/>
      <c r="K265" s="55"/>
      <c r="L265" s="55"/>
      <c r="M265" s="55"/>
      <c r="N265" s="55"/>
      <c r="O265" s="55"/>
      <c r="P265" s="55"/>
      <c r="Q265" s="55"/>
      <c r="R265" s="55"/>
      <c r="S265" s="53"/>
      <c r="T265" s="53"/>
      <c r="U265" s="53"/>
      <c r="V265" s="53"/>
      <c r="W265" s="53"/>
      <c r="X265" s="53"/>
      <c r="Y265" s="53"/>
      <c r="Z265" s="53"/>
      <c r="AA265" s="53"/>
      <c r="AB265" s="53"/>
      <c r="AC265" s="53"/>
      <c r="AD265" s="53"/>
      <c r="AE265" s="53"/>
      <c r="AF265" s="53"/>
      <c r="AG265" s="37" t="str">
        <f t="shared" si="20"/>
        <v>○</v>
      </c>
      <c r="AH265" s="37" t="str">
        <f t="shared" si="21"/>
        <v>○</v>
      </c>
      <c r="AI265" s="42">
        <f t="shared" si="17"/>
        <v>0</v>
      </c>
      <c r="AJ265" s="54"/>
    </row>
    <row r="266" spans="1:36" ht="27.75" customHeight="1">
      <c r="A266" s="37">
        <v>262</v>
      </c>
      <c r="B266" s="46" t="s">
        <v>507</v>
      </c>
      <c r="C266" s="46" t="s">
        <v>845</v>
      </c>
      <c r="D266" s="52"/>
      <c r="E266" s="55"/>
      <c r="F266" s="55"/>
      <c r="G266" s="55"/>
      <c r="H266" s="55"/>
      <c r="I266" s="55"/>
      <c r="J266" s="55"/>
      <c r="K266" s="55"/>
      <c r="L266" s="55"/>
      <c r="M266" s="55"/>
      <c r="N266" s="55"/>
      <c r="O266" s="55"/>
      <c r="P266" s="55"/>
      <c r="Q266" s="55"/>
      <c r="R266" s="55"/>
      <c r="S266" s="53"/>
      <c r="T266" s="53"/>
      <c r="U266" s="53"/>
      <c r="V266" s="53"/>
      <c r="W266" s="53"/>
      <c r="X266" s="53"/>
      <c r="Y266" s="53"/>
      <c r="Z266" s="53"/>
      <c r="AA266" s="53"/>
      <c r="AB266" s="53"/>
      <c r="AC266" s="53"/>
      <c r="AD266" s="53"/>
      <c r="AE266" s="53"/>
      <c r="AF266" s="53"/>
      <c r="AG266" s="37" t="str">
        <f t="shared" si="20"/>
        <v>○</v>
      </c>
      <c r="AH266" s="37" t="str">
        <f t="shared" si="21"/>
        <v>○</v>
      </c>
      <c r="AI266" s="42">
        <f t="shared" si="17"/>
        <v>0</v>
      </c>
      <c r="AJ266" s="54"/>
    </row>
    <row r="267" spans="1:36" ht="27.75" customHeight="1">
      <c r="A267" s="37">
        <v>263</v>
      </c>
      <c r="B267" s="46" t="s">
        <v>508</v>
      </c>
      <c r="C267" s="46" t="s">
        <v>846</v>
      </c>
      <c r="D267" s="52"/>
      <c r="E267" s="55"/>
      <c r="F267" s="55"/>
      <c r="G267" s="55"/>
      <c r="H267" s="55"/>
      <c r="I267" s="55"/>
      <c r="J267" s="55"/>
      <c r="K267" s="55"/>
      <c r="L267" s="55"/>
      <c r="M267" s="55"/>
      <c r="N267" s="55"/>
      <c r="O267" s="55"/>
      <c r="P267" s="55"/>
      <c r="Q267" s="55"/>
      <c r="R267" s="55"/>
      <c r="S267" s="53"/>
      <c r="T267" s="53"/>
      <c r="U267" s="53"/>
      <c r="V267" s="53"/>
      <c r="W267" s="53"/>
      <c r="X267" s="53"/>
      <c r="Y267" s="53"/>
      <c r="Z267" s="53"/>
      <c r="AA267" s="53"/>
      <c r="AB267" s="53"/>
      <c r="AC267" s="53"/>
      <c r="AD267" s="53"/>
      <c r="AE267" s="53"/>
      <c r="AF267" s="53"/>
      <c r="AG267" s="37" t="str">
        <f t="shared" si="20"/>
        <v>○</v>
      </c>
      <c r="AH267" s="37" t="str">
        <f t="shared" si="21"/>
        <v>○</v>
      </c>
      <c r="AI267" s="42">
        <f t="shared" si="17"/>
        <v>0</v>
      </c>
      <c r="AJ267" s="54"/>
    </row>
    <row r="268" spans="1:36" ht="27.75" customHeight="1">
      <c r="A268" s="37">
        <v>264</v>
      </c>
      <c r="B268" s="46" t="s">
        <v>509</v>
      </c>
      <c r="C268" s="46" t="s">
        <v>847</v>
      </c>
      <c r="D268" s="52"/>
      <c r="E268" s="55"/>
      <c r="F268" s="55"/>
      <c r="G268" s="55"/>
      <c r="H268" s="55"/>
      <c r="I268" s="55"/>
      <c r="J268" s="55"/>
      <c r="K268" s="55"/>
      <c r="L268" s="55"/>
      <c r="M268" s="55"/>
      <c r="N268" s="55"/>
      <c r="O268" s="55"/>
      <c r="P268" s="55"/>
      <c r="Q268" s="55"/>
      <c r="R268" s="55"/>
      <c r="S268" s="53"/>
      <c r="T268" s="53"/>
      <c r="U268" s="53"/>
      <c r="V268" s="53"/>
      <c r="W268" s="53"/>
      <c r="X268" s="53"/>
      <c r="Y268" s="53"/>
      <c r="Z268" s="53"/>
      <c r="AA268" s="53"/>
      <c r="AB268" s="53"/>
      <c r="AC268" s="53"/>
      <c r="AD268" s="53"/>
      <c r="AE268" s="53"/>
      <c r="AF268" s="53"/>
      <c r="AG268" s="37" t="str">
        <f t="shared" si="20"/>
        <v>○</v>
      </c>
      <c r="AH268" s="37" t="str">
        <f t="shared" si="21"/>
        <v>○</v>
      </c>
      <c r="AI268" s="42">
        <f t="shared" si="17"/>
        <v>0</v>
      </c>
      <c r="AJ268" s="54"/>
    </row>
    <row r="269" spans="1:36" ht="27.75" customHeight="1">
      <c r="A269" s="37">
        <v>265</v>
      </c>
      <c r="B269" s="46" t="s">
        <v>510</v>
      </c>
      <c r="C269" s="46" t="s">
        <v>848</v>
      </c>
      <c r="D269" s="52"/>
      <c r="E269" s="55"/>
      <c r="F269" s="55"/>
      <c r="G269" s="55"/>
      <c r="H269" s="55"/>
      <c r="I269" s="55"/>
      <c r="J269" s="55"/>
      <c r="K269" s="55"/>
      <c r="L269" s="55"/>
      <c r="M269" s="55"/>
      <c r="N269" s="55"/>
      <c r="O269" s="55"/>
      <c r="P269" s="55"/>
      <c r="Q269" s="55"/>
      <c r="R269" s="55"/>
      <c r="S269" s="53"/>
      <c r="T269" s="53"/>
      <c r="U269" s="53"/>
      <c r="V269" s="53"/>
      <c r="W269" s="53"/>
      <c r="X269" s="53"/>
      <c r="Y269" s="53"/>
      <c r="Z269" s="53"/>
      <c r="AA269" s="53"/>
      <c r="AB269" s="53"/>
      <c r="AC269" s="53"/>
      <c r="AD269" s="53"/>
      <c r="AE269" s="53"/>
      <c r="AF269" s="53"/>
      <c r="AG269" s="37" t="str">
        <f t="shared" si="20"/>
        <v>○</v>
      </c>
      <c r="AH269" s="37" t="str">
        <f t="shared" si="21"/>
        <v>○</v>
      </c>
      <c r="AI269" s="42">
        <f t="shared" si="17"/>
        <v>0</v>
      </c>
      <c r="AJ269" s="54"/>
    </row>
    <row r="270" spans="1:36" ht="27.75" customHeight="1">
      <c r="A270" s="37">
        <v>266</v>
      </c>
      <c r="B270" s="46" t="s">
        <v>511</v>
      </c>
      <c r="C270" s="46" t="s">
        <v>849</v>
      </c>
      <c r="D270" s="52"/>
      <c r="E270" s="55"/>
      <c r="F270" s="55"/>
      <c r="G270" s="55"/>
      <c r="H270" s="55"/>
      <c r="I270" s="55"/>
      <c r="J270" s="55"/>
      <c r="K270" s="55"/>
      <c r="L270" s="55"/>
      <c r="M270" s="55"/>
      <c r="N270" s="55"/>
      <c r="O270" s="55"/>
      <c r="P270" s="55"/>
      <c r="Q270" s="55"/>
      <c r="R270" s="55"/>
      <c r="S270" s="53"/>
      <c r="T270" s="53"/>
      <c r="U270" s="53"/>
      <c r="V270" s="53"/>
      <c r="W270" s="53"/>
      <c r="X270" s="53"/>
      <c r="Y270" s="53"/>
      <c r="Z270" s="53"/>
      <c r="AA270" s="53"/>
      <c r="AB270" s="53"/>
      <c r="AC270" s="53"/>
      <c r="AD270" s="53"/>
      <c r="AE270" s="53"/>
      <c r="AF270" s="53"/>
      <c r="AG270" s="37" t="str">
        <f t="shared" si="20"/>
        <v>○</v>
      </c>
      <c r="AH270" s="37" t="str">
        <f t="shared" si="21"/>
        <v>○</v>
      </c>
      <c r="AI270" s="42">
        <f t="shared" si="17"/>
        <v>0</v>
      </c>
      <c r="AJ270" s="54"/>
    </row>
    <row r="271" spans="1:36" ht="27.75" customHeight="1">
      <c r="A271" s="37">
        <v>267</v>
      </c>
      <c r="B271" s="46" t="s">
        <v>512</v>
      </c>
      <c r="C271" s="46" t="s">
        <v>850</v>
      </c>
      <c r="D271" s="52"/>
      <c r="E271" s="55"/>
      <c r="F271" s="55"/>
      <c r="G271" s="55"/>
      <c r="H271" s="55"/>
      <c r="I271" s="55"/>
      <c r="J271" s="55"/>
      <c r="K271" s="55"/>
      <c r="L271" s="55"/>
      <c r="M271" s="55"/>
      <c r="N271" s="55"/>
      <c r="O271" s="55"/>
      <c r="P271" s="55"/>
      <c r="Q271" s="55"/>
      <c r="R271" s="55"/>
      <c r="S271" s="53"/>
      <c r="T271" s="53"/>
      <c r="U271" s="53"/>
      <c r="V271" s="53"/>
      <c r="W271" s="53"/>
      <c r="X271" s="53"/>
      <c r="Y271" s="53"/>
      <c r="Z271" s="53"/>
      <c r="AA271" s="53"/>
      <c r="AB271" s="53"/>
      <c r="AC271" s="53"/>
      <c r="AD271" s="53"/>
      <c r="AE271" s="53"/>
      <c r="AF271" s="53"/>
      <c r="AG271" s="37" t="str">
        <f t="shared" si="20"/>
        <v>○</v>
      </c>
      <c r="AH271" s="37" t="str">
        <f t="shared" si="21"/>
        <v>○</v>
      </c>
      <c r="AI271" s="42">
        <f t="shared" si="17"/>
        <v>0</v>
      </c>
      <c r="AJ271" s="54"/>
    </row>
    <row r="272" spans="1:36" ht="27.75" customHeight="1">
      <c r="A272" s="37">
        <v>268</v>
      </c>
      <c r="B272" s="46" t="s">
        <v>513</v>
      </c>
      <c r="C272" s="46" t="s">
        <v>851</v>
      </c>
      <c r="D272" s="52"/>
      <c r="E272" s="55"/>
      <c r="F272" s="55"/>
      <c r="G272" s="55"/>
      <c r="H272" s="55"/>
      <c r="I272" s="55"/>
      <c r="J272" s="55"/>
      <c r="K272" s="55"/>
      <c r="L272" s="55"/>
      <c r="M272" s="55"/>
      <c r="N272" s="55"/>
      <c r="O272" s="55"/>
      <c r="P272" s="55"/>
      <c r="Q272" s="55"/>
      <c r="R272" s="55"/>
      <c r="S272" s="53"/>
      <c r="T272" s="53"/>
      <c r="U272" s="53"/>
      <c r="V272" s="53"/>
      <c r="W272" s="53"/>
      <c r="X272" s="53"/>
      <c r="Y272" s="53"/>
      <c r="Z272" s="53"/>
      <c r="AA272" s="53"/>
      <c r="AB272" s="53"/>
      <c r="AC272" s="53"/>
      <c r="AD272" s="53"/>
      <c r="AE272" s="53"/>
      <c r="AF272" s="53"/>
      <c r="AG272" s="37" t="str">
        <f t="shared" si="20"/>
        <v>○</v>
      </c>
      <c r="AH272" s="37" t="str">
        <f t="shared" si="21"/>
        <v>○</v>
      </c>
      <c r="AI272" s="42">
        <f t="shared" si="17"/>
        <v>0</v>
      </c>
      <c r="AJ272" s="54"/>
    </row>
    <row r="273" spans="1:36" ht="27.75" customHeight="1">
      <c r="A273" s="37">
        <v>269</v>
      </c>
      <c r="B273" s="46" t="s">
        <v>514</v>
      </c>
      <c r="C273" s="46" t="s">
        <v>852</v>
      </c>
      <c r="D273" s="52"/>
      <c r="E273" s="55"/>
      <c r="F273" s="55"/>
      <c r="G273" s="55"/>
      <c r="H273" s="55"/>
      <c r="I273" s="55"/>
      <c r="J273" s="55"/>
      <c r="K273" s="55"/>
      <c r="L273" s="55"/>
      <c r="M273" s="55"/>
      <c r="N273" s="55"/>
      <c r="O273" s="55"/>
      <c r="P273" s="55"/>
      <c r="Q273" s="55"/>
      <c r="R273" s="55"/>
      <c r="S273" s="53"/>
      <c r="T273" s="53"/>
      <c r="U273" s="53"/>
      <c r="V273" s="53"/>
      <c r="W273" s="53"/>
      <c r="X273" s="53"/>
      <c r="Y273" s="53"/>
      <c r="Z273" s="53"/>
      <c r="AA273" s="53"/>
      <c r="AB273" s="53"/>
      <c r="AC273" s="53"/>
      <c r="AD273" s="53"/>
      <c r="AE273" s="53"/>
      <c r="AF273" s="53"/>
      <c r="AG273" s="37" t="str">
        <f t="shared" si="20"/>
        <v>○</v>
      </c>
      <c r="AH273" s="37" t="str">
        <f t="shared" si="21"/>
        <v>○</v>
      </c>
      <c r="AI273" s="42">
        <f t="shared" si="17"/>
        <v>0</v>
      </c>
      <c r="AJ273" s="54"/>
    </row>
    <row r="274" spans="1:36" ht="27.75" customHeight="1">
      <c r="A274" s="37">
        <v>270</v>
      </c>
      <c r="B274" s="46" t="s">
        <v>515</v>
      </c>
      <c r="C274" s="46" t="s">
        <v>853</v>
      </c>
      <c r="D274" s="52"/>
      <c r="E274" s="55"/>
      <c r="F274" s="55"/>
      <c r="G274" s="55"/>
      <c r="H274" s="55"/>
      <c r="I274" s="55"/>
      <c r="J274" s="55"/>
      <c r="K274" s="55"/>
      <c r="L274" s="55"/>
      <c r="M274" s="55"/>
      <c r="N274" s="55"/>
      <c r="O274" s="55"/>
      <c r="P274" s="55"/>
      <c r="Q274" s="55"/>
      <c r="R274" s="55"/>
      <c r="S274" s="53"/>
      <c r="T274" s="53"/>
      <c r="U274" s="53"/>
      <c r="V274" s="53"/>
      <c r="W274" s="53"/>
      <c r="X274" s="53"/>
      <c r="Y274" s="53"/>
      <c r="Z274" s="53"/>
      <c r="AA274" s="53"/>
      <c r="AB274" s="53"/>
      <c r="AC274" s="53"/>
      <c r="AD274" s="53"/>
      <c r="AE274" s="53"/>
      <c r="AF274" s="53"/>
      <c r="AG274" s="37" t="str">
        <f t="shared" si="20"/>
        <v>○</v>
      </c>
      <c r="AH274" s="37" t="str">
        <f t="shared" si="21"/>
        <v>○</v>
      </c>
      <c r="AI274" s="42">
        <f t="shared" si="17"/>
        <v>0</v>
      </c>
      <c r="AJ274" s="54"/>
    </row>
    <row r="275" spans="1:36" ht="27.75" customHeight="1">
      <c r="A275" s="37">
        <v>271</v>
      </c>
      <c r="B275" s="46" t="s">
        <v>516</v>
      </c>
      <c r="C275" s="46" t="s">
        <v>854</v>
      </c>
      <c r="D275" s="52"/>
      <c r="E275" s="55"/>
      <c r="F275" s="55"/>
      <c r="G275" s="55"/>
      <c r="H275" s="55"/>
      <c r="I275" s="55"/>
      <c r="J275" s="55"/>
      <c r="K275" s="55"/>
      <c r="L275" s="55"/>
      <c r="M275" s="55"/>
      <c r="N275" s="55"/>
      <c r="O275" s="55"/>
      <c r="P275" s="55"/>
      <c r="Q275" s="55"/>
      <c r="R275" s="55"/>
      <c r="S275" s="53"/>
      <c r="T275" s="53"/>
      <c r="U275" s="53"/>
      <c r="V275" s="53"/>
      <c r="W275" s="53"/>
      <c r="X275" s="53"/>
      <c r="Y275" s="53"/>
      <c r="Z275" s="53"/>
      <c r="AA275" s="53"/>
      <c r="AB275" s="53"/>
      <c r="AC275" s="53"/>
      <c r="AD275" s="53"/>
      <c r="AE275" s="53"/>
      <c r="AF275" s="53"/>
      <c r="AG275" s="37" t="str">
        <f t="shared" si="20"/>
        <v>○</v>
      </c>
      <c r="AH275" s="37" t="str">
        <f t="shared" si="21"/>
        <v>○</v>
      </c>
      <c r="AI275" s="42">
        <f t="shared" si="17"/>
        <v>0</v>
      </c>
      <c r="AJ275" s="54"/>
    </row>
    <row r="276" spans="1:36" ht="27.75" customHeight="1">
      <c r="A276" s="37">
        <v>272</v>
      </c>
      <c r="B276" s="46" t="s">
        <v>517</v>
      </c>
      <c r="C276" s="46" t="s">
        <v>855</v>
      </c>
      <c r="D276" s="52"/>
      <c r="E276" s="55"/>
      <c r="F276" s="55"/>
      <c r="G276" s="55"/>
      <c r="H276" s="55"/>
      <c r="I276" s="55"/>
      <c r="J276" s="55"/>
      <c r="K276" s="55"/>
      <c r="L276" s="55"/>
      <c r="M276" s="55"/>
      <c r="N276" s="55"/>
      <c r="O276" s="55"/>
      <c r="P276" s="55"/>
      <c r="Q276" s="55"/>
      <c r="R276" s="55"/>
      <c r="S276" s="53"/>
      <c r="T276" s="53"/>
      <c r="U276" s="53"/>
      <c r="V276" s="53"/>
      <c r="W276" s="53"/>
      <c r="X276" s="53"/>
      <c r="Y276" s="53"/>
      <c r="Z276" s="53"/>
      <c r="AA276" s="53"/>
      <c r="AB276" s="53"/>
      <c r="AC276" s="53"/>
      <c r="AD276" s="53"/>
      <c r="AE276" s="53"/>
      <c r="AF276" s="53"/>
      <c r="AG276" s="37" t="str">
        <f t="shared" si="20"/>
        <v>○</v>
      </c>
      <c r="AH276" s="37" t="str">
        <f t="shared" si="21"/>
        <v>○</v>
      </c>
      <c r="AI276" s="42">
        <f t="shared" si="17"/>
        <v>0</v>
      </c>
      <c r="AJ276" s="54"/>
    </row>
    <row r="277" spans="1:36" ht="27.75" customHeight="1">
      <c r="A277" s="37">
        <v>273</v>
      </c>
      <c r="B277" s="46" t="s">
        <v>518</v>
      </c>
      <c r="C277" s="46" t="s">
        <v>856</v>
      </c>
      <c r="D277" s="52"/>
      <c r="E277" s="55"/>
      <c r="F277" s="55"/>
      <c r="G277" s="55"/>
      <c r="H277" s="55"/>
      <c r="I277" s="55"/>
      <c r="J277" s="55"/>
      <c r="K277" s="55"/>
      <c r="L277" s="55"/>
      <c r="M277" s="55"/>
      <c r="N277" s="55"/>
      <c r="O277" s="55"/>
      <c r="P277" s="55"/>
      <c r="Q277" s="55"/>
      <c r="R277" s="55"/>
      <c r="S277" s="53"/>
      <c r="T277" s="53"/>
      <c r="U277" s="53"/>
      <c r="V277" s="53"/>
      <c r="W277" s="53"/>
      <c r="X277" s="53"/>
      <c r="Y277" s="53"/>
      <c r="Z277" s="53"/>
      <c r="AA277" s="53"/>
      <c r="AB277" s="53"/>
      <c r="AC277" s="53"/>
      <c r="AD277" s="53"/>
      <c r="AE277" s="53"/>
      <c r="AF277" s="53"/>
      <c r="AG277" s="37" t="str">
        <f t="shared" si="20"/>
        <v>○</v>
      </c>
      <c r="AH277" s="37" t="str">
        <f t="shared" si="21"/>
        <v>○</v>
      </c>
      <c r="AI277" s="42">
        <f t="shared" si="17"/>
        <v>0</v>
      </c>
      <c r="AJ277" s="54"/>
    </row>
    <row r="278" spans="1:36" ht="27.75" customHeight="1">
      <c r="A278" s="37">
        <v>274</v>
      </c>
      <c r="B278" s="46" t="s">
        <v>519</v>
      </c>
      <c r="C278" s="46" t="s">
        <v>857</v>
      </c>
      <c r="D278" s="52"/>
      <c r="E278" s="55"/>
      <c r="F278" s="55"/>
      <c r="G278" s="55"/>
      <c r="H278" s="55"/>
      <c r="I278" s="55"/>
      <c r="J278" s="55"/>
      <c r="K278" s="55"/>
      <c r="L278" s="55"/>
      <c r="M278" s="55"/>
      <c r="N278" s="55"/>
      <c r="O278" s="55"/>
      <c r="P278" s="55"/>
      <c r="Q278" s="55"/>
      <c r="R278" s="55"/>
      <c r="S278" s="53"/>
      <c r="T278" s="53"/>
      <c r="U278" s="53"/>
      <c r="V278" s="53"/>
      <c r="W278" s="53"/>
      <c r="X278" s="53"/>
      <c r="Y278" s="53"/>
      <c r="Z278" s="53"/>
      <c r="AA278" s="53"/>
      <c r="AB278" s="53"/>
      <c r="AC278" s="53"/>
      <c r="AD278" s="53"/>
      <c r="AE278" s="53"/>
      <c r="AF278" s="53"/>
      <c r="AG278" s="37" t="str">
        <f t="shared" si="20"/>
        <v>○</v>
      </c>
      <c r="AH278" s="37" t="str">
        <f t="shared" si="21"/>
        <v>○</v>
      </c>
      <c r="AI278" s="42">
        <f t="shared" si="17"/>
        <v>0</v>
      </c>
      <c r="AJ278" s="54"/>
    </row>
    <row r="279" spans="1:36" ht="27.75" customHeight="1">
      <c r="A279" s="37">
        <v>275</v>
      </c>
      <c r="B279" s="46" t="s">
        <v>520</v>
      </c>
      <c r="C279" s="46" t="s">
        <v>858</v>
      </c>
      <c r="D279" s="52"/>
      <c r="E279" s="55"/>
      <c r="F279" s="55"/>
      <c r="G279" s="55"/>
      <c r="H279" s="55"/>
      <c r="I279" s="55"/>
      <c r="J279" s="55"/>
      <c r="K279" s="55"/>
      <c r="L279" s="55"/>
      <c r="M279" s="55"/>
      <c r="N279" s="55"/>
      <c r="O279" s="55"/>
      <c r="P279" s="55"/>
      <c r="Q279" s="55"/>
      <c r="R279" s="55"/>
      <c r="S279" s="53"/>
      <c r="T279" s="53"/>
      <c r="U279" s="53"/>
      <c r="V279" s="53"/>
      <c r="W279" s="53"/>
      <c r="X279" s="53"/>
      <c r="Y279" s="53"/>
      <c r="Z279" s="53"/>
      <c r="AA279" s="53"/>
      <c r="AB279" s="53"/>
      <c r="AC279" s="53"/>
      <c r="AD279" s="53"/>
      <c r="AE279" s="53"/>
      <c r="AF279" s="53"/>
      <c r="AG279" s="37" t="str">
        <f t="shared" si="20"/>
        <v>○</v>
      </c>
      <c r="AH279" s="37" t="str">
        <f t="shared" si="21"/>
        <v>○</v>
      </c>
      <c r="AI279" s="42">
        <f t="shared" si="17"/>
        <v>0</v>
      </c>
      <c r="AJ279" s="54"/>
    </row>
    <row r="280" spans="1:36" ht="27.75" customHeight="1">
      <c r="A280" s="37">
        <v>276</v>
      </c>
      <c r="B280" s="46" t="s">
        <v>521</v>
      </c>
      <c r="C280" s="46" t="s">
        <v>859</v>
      </c>
      <c r="D280" s="52"/>
      <c r="E280" s="55"/>
      <c r="F280" s="55"/>
      <c r="G280" s="55"/>
      <c r="H280" s="55"/>
      <c r="I280" s="55"/>
      <c r="J280" s="55"/>
      <c r="K280" s="55"/>
      <c r="L280" s="55"/>
      <c r="M280" s="55"/>
      <c r="N280" s="55"/>
      <c r="O280" s="55"/>
      <c r="P280" s="55"/>
      <c r="Q280" s="55"/>
      <c r="R280" s="55"/>
      <c r="S280" s="53"/>
      <c r="T280" s="53"/>
      <c r="U280" s="53"/>
      <c r="V280" s="53"/>
      <c r="W280" s="53"/>
      <c r="X280" s="53"/>
      <c r="Y280" s="53"/>
      <c r="Z280" s="53"/>
      <c r="AA280" s="53"/>
      <c r="AB280" s="53"/>
      <c r="AC280" s="53"/>
      <c r="AD280" s="53"/>
      <c r="AE280" s="53"/>
      <c r="AF280" s="53"/>
      <c r="AG280" s="37" t="str">
        <f t="shared" si="20"/>
        <v>○</v>
      </c>
      <c r="AH280" s="37" t="str">
        <f t="shared" si="21"/>
        <v>○</v>
      </c>
      <c r="AI280" s="42">
        <f t="shared" si="17"/>
        <v>0</v>
      </c>
      <c r="AJ280" s="54"/>
    </row>
    <row r="281" spans="1:36" ht="27.75" customHeight="1">
      <c r="A281" s="37">
        <v>277</v>
      </c>
      <c r="B281" s="46" t="s">
        <v>522</v>
      </c>
      <c r="C281" s="46" t="s">
        <v>860</v>
      </c>
      <c r="D281" s="52"/>
      <c r="E281" s="55"/>
      <c r="F281" s="55"/>
      <c r="G281" s="55"/>
      <c r="H281" s="55"/>
      <c r="I281" s="55"/>
      <c r="J281" s="55"/>
      <c r="K281" s="55"/>
      <c r="L281" s="55"/>
      <c r="M281" s="55"/>
      <c r="N281" s="55"/>
      <c r="O281" s="55"/>
      <c r="P281" s="55"/>
      <c r="Q281" s="55"/>
      <c r="R281" s="55"/>
      <c r="S281" s="53"/>
      <c r="T281" s="53"/>
      <c r="U281" s="53"/>
      <c r="V281" s="53"/>
      <c r="W281" s="53"/>
      <c r="X281" s="53"/>
      <c r="Y281" s="53"/>
      <c r="Z281" s="53"/>
      <c r="AA281" s="53"/>
      <c r="AB281" s="53"/>
      <c r="AC281" s="53"/>
      <c r="AD281" s="53"/>
      <c r="AE281" s="53"/>
      <c r="AF281" s="53"/>
      <c r="AG281" s="37" t="str">
        <f t="shared" si="20"/>
        <v>○</v>
      </c>
      <c r="AH281" s="37" t="str">
        <f t="shared" si="21"/>
        <v>○</v>
      </c>
      <c r="AI281" s="42">
        <f t="shared" si="17"/>
        <v>0</v>
      </c>
      <c r="AJ281" s="54"/>
    </row>
    <row r="282" spans="1:36" ht="27.75" customHeight="1">
      <c r="A282" s="37">
        <v>278</v>
      </c>
      <c r="B282" s="46" t="s">
        <v>523</v>
      </c>
      <c r="C282" s="46" t="s">
        <v>861</v>
      </c>
      <c r="D282" s="52"/>
      <c r="E282" s="55"/>
      <c r="F282" s="55"/>
      <c r="G282" s="55"/>
      <c r="H282" s="55"/>
      <c r="I282" s="55"/>
      <c r="J282" s="55"/>
      <c r="K282" s="55"/>
      <c r="L282" s="55"/>
      <c r="M282" s="55"/>
      <c r="N282" s="55"/>
      <c r="O282" s="55"/>
      <c r="P282" s="55"/>
      <c r="Q282" s="55"/>
      <c r="R282" s="55"/>
      <c r="S282" s="53"/>
      <c r="T282" s="53"/>
      <c r="U282" s="53"/>
      <c r="V282" s="53"/>
      <c r="W282" s="53"/>
      <c r="X282" s="53"/>
      <c r="Y282" s="53"/>
      <c r="Z282" s="53"/>
      <c r="AA282" s="53"/>
      <c r="AB282" s="53"/>
      <c r="AC282" s="53"/>
      <c r="AD282" s="53"/>
      <c r="AE282" s="53"/>
      <c r="AF282" s="53"/>
      <c r="AG282" s="37" t="str">
        <f t="shared" si="20"/>
        <v>○</v>
      </c>
      <c r="AH282" s="37" t="str">
        <f t="shared" si="21"/>
        <v>○</v>
      </c>
      <c r="AI282" s="42">
        <f t="shared" si="17"/>
        <v>0</v>
      </c>
      <c r="AJ282" s="54"/>
    </row>
    <row r="283" spans="1:36" ht="27.75" customHeight="1">
      <c r="A283" s="37">
        <v>279</v>
      </c>
      <c r="B283" s="46" t="s">
        <v>524</v>
      </c>
      <c r="C283" s="46" t="s">
        <v>862</v>
      </c>
      <c r="D283" s="52"/>
      <c r="E283" s="55"/>
      <c r="F283" s="55"/>
      <c r="G283" s="55"/>
      <c r="H283" s="55"/>
      <c r="I283" s="55"/>
      <c r="J283" s="55"/>
      <c r="K283" s="55"/>
      <c r="L283" s="55"/>
      <c r="M283" s="55"/>
      <c r="N283" s="55"/>
      <c r="O283" s="55"/>
      <c r="P283" s="55"/>
      <c r="Q283" s="55"/>
      <c r="R283" s="55"/>
      <c r="S283" s="53"/>
      <c r="T283" s="53"/>
      <c r="U283" s="53"/>
      <c r="V283" s="53"/>
      <c r="W283" s="53"/>
      <c r="X283" s="53"/>
      <c r="Y283" s="53"/>
      <c r="Z283" s="53"/>
      <c r="AA283" s="53"/>
      <c r="AB283" s="53"/>
      <c r="AC283" s="53"/>
      <c r="AD283" s="53"/>
      <c r="AE283" s="53"/>
      <c r="AF283" s="53"/>
      <c r="AG283" s="37" t="str">
        <f t="shared" si="20"/>
        <v>○</v>
      </c>
      <c r="AH283" s="37" t="str">
        <f t="shared" si="21"/>
        <v>○</v>
      </c>
      <c r="AI283" s="42">
        <f t="shared" si="17"/>
        <v>0</v>
      </c>
      <c r="AJ283" s="54"/>
    </row>
    <row r="284" spans="1:36" ht="27.75" customHeight="1">
      <c r="A284" s="37">
        <v>280</v>
      </c>
      <c r="B284" s="46" t="s">
        <v>525</v>
      </c>
      <c r="C284" s="46" t="s">
        <v>863</v>
      </c>
      <c r="D284" s="52"/>
      <c r="E284" s="55"/>
      <c r="F284" s="55"/>
      <c r="G284" s="55"/>
      <c r="H284" s="55"/>
      <c r="I284" s="55"/>
      <c r="J284" s="55"/>
      <c r="K284" s="55"/>
      <c r="L284" s="55"/>
      <c r="M284" s="55"/>
      <c r="N284" s="55"/>
      <c r="O284" s="55"/>
      <c r="P284" s="55"/>
      <c r="Q284" s="55"/>
      <c r="R284" s="55"/>
      <c r="S284" s="53"/>
      <c r="T284" s="53"/>
      <c r="U284" s="53"/>
      <c r="V284" s="53"/>
      <c r="W284" s="53"/>
      <c r="X284" s="53"/>
      <c r="Y284" s="53"/>
      <c r="Z284" s="53"/>
      <c r="AA284" s="53"/>
      <c r="AB284" s="53"/>
      <c r="AC284" s="53"/>
      <c r="AD284" s="53"/>
      <c r="AE284" s="53"/>
      <c r="AF284" s="53"/>
      <c r="AG284" s="37" t="str">
        <f t="shared" si="20"/>
        <v>○</v>
      </c>
      <c r="AH284" s="37" t="str">
        <f t="shared" si="21"/>
        <v>○</v>
      </c>
      <c r="AI284" s="42">
        <f t="shared" si="17"/>
        <v>0</v>
      </c>
      <c r="AJ284" s="54"/>
    </row>
    <row r="285" spans="1:36" ht="27.75" customHeight="1">
      <c r="A285" s="37">
        <v>281</v>
      </c>
      <c r="B285" s="46" t="s">
        <v>528</v>
      </c>
      <c r="C285" s="46" t="s">
        <v>864</v>
      </c>
      <c r="D285" s="52"/>
      <c r="E285" s="55"/>
      <c r="F285" s="55"/>
      <c r="G285" s="55"/>
      <c r="H285" s="55"/>
      <c r="I285" s="55"/>
      <c r="J285" s="55"/>
      <c r="K285" s="55"/>
      <c r="L285" s="55"/>
      <c r="M285" s="55"/>
      <c r="N285" s="55"/>
      <c r="O285" s="55"/>
      <c r="P285" s="55"/>
      <c r="Q285" s="55"/>
      <c r="R285" s="55"/>
      <c r="S285" s="53"/>
      <c r="T285" s="53"/>
      <c r="U285" s="53"/>
      <c r="V285" s="53"/>
      <c r="W285" s="53"/>
      <c r="X285" s="53"/>
      <c r="Y285" s="53"/>
      <c r="Z285" s="53"/>
      <c r="AA285" s="53"/>
      <c r="AB285" s="53"/>
      <c r="AC285" s="53"/>
      <c r="AD285" s="53"/>
      <c r="AE285" s="53"/>
      <c r="AF285" s="53"/>
      <c r="AG285" s="37" t="str">
        <f t="shared" si="20"/>
        <v>○</v>
      </c>
      <c r="AH285" s="37" t="str">
        <f t="shared" si="21"/>
        <v>○</v>
      </c>
      <c r="AI285" s="42">
        <f t="shared" si="17"/>
        <v>0</v>
      </c>
      <c r="AJ285" s="54"/>
    </row>
    <row r="286" spans="1:36" ht="27.75" customHeight="1">
      <c r="A286" s="37">
        <v>282</v>
      </c>
      <c r="B286" s="46" t="s">
        <v>526</v>
      </c>
      <c r="C286" s="46" t="s">
        <v>865</v>
      </c>
      <c r="D286" s="52"/>
      <c r="E286" s="55"/>
      <c r="F286" s="55"/>
      <c r="G286" s="55"/>
      <c r="H286" s="55"/>
      <c r="I286" s="55"/>
      <c r="J286" s="55"/>
      <c r="K286" s="55"/>
      <c r="L286" s="55"/>
      <c r="M286" s="55"/>
      <c r="N286" s="55"/>
      <c r="O286" s="55"/>
      <c r="P286" s="55"/>
      <c r="Q286" s="55"/>
      <c r="R286" s="55"/>
      <c r="S286" s="53"/>
      <c r="T286" s="53"/>
      <c r="U286" s="53"/>
      <c r="V286" s="53"/>
      <c r="W286" s="53"/>
      <c r="X286" s="53"/>
      <c r="Y286" s="53"/>
      <c r="Z286" s="53"/>
      <c r="AA286" s="53"/>
      <c r="AB286" s="53"/>
      <c r="AC286" s="53"/>
      <c r="AD286" s="53"/>
      <c r="AE286" s="53"/>
      <c r="AF286" s="53"/>
      <c r="AG286" s="37" t="str">
        <f t="shared" si="20"/>
        <v>○</v>
      </c>
      <c r="AH286" s="37" t="str">
        <f t="shared" si="21"/>
        <v>○</v>
      </c>
      <c r="AI286" s="42">
        <f t="shared" si="17"/>
        <v>0</v>
      </c>
      <c r="AJ286" s="54"/>
    </row>
    <row r="287" spans="1:36" ht="27.75" customHeight="1">
      <c r="A287" s="37">
        <v>283</v>
      </c>
      <c r="B287" s="46" t="s">
        <v>527</v>
      </c>
      <c r="C287" s="46" t="s">
        <v>866</v>
      </c>
      <c r="D287" s="52"/>
      <c r="E287" s="55"/>
      <c r="F287" s="55"/>
      <c r="G287" s="55"/>
      <c r="H287" s="55"/>
      <c r="I287" s="55"/>
      <c r="J287" s="55"/>
      <c r="K287" s="55"/>
      <c r="L287" s="55"/>
      <c r="M287" s="55"/>
      <c r="N287" s="55"/>
      <c r="O287" s="55"/>
      <c r="P287" s="55"/>
      <c r="Q287" s="55"/>
      <c r="R287" s="55"/>
      <c r="S287" s="53"/>
      <c r="T287" s="53"/>
      <c r="U287" s="53"/>
      <c r="V287" s="53"/>
      <c r="W287" s="53"/>
      <c r="X287" s="53"/>
      <c r="Y287" s="53"/>
      <c r="Z287" s="53"/>
      <c r="AA287" s="53"/>
      <c r="AB287" s="53"/>
      <c r="AC287" s="53"/>
      <c r="AD287" s="53"/>
      <c r="AE287" s="53"/>
      <c r="AF287" s="53"/>
      <c r="AG287" s="37" t="str">
        <f t="shared" si="20"/>
        <v>○</v>
      </c>
      <c r="AH287" s="37" t="str">
        <f t="shared" si="21"/>
        <v>○</v>
      </c>
      <c r="AI287" s="42">
        <f t="shared" si="17"/>
        <v>0</v>
      </c>
      <c r="AJ287" s="54"/>
    </row>
    <row r="288" spans="1:36" ht="27.75" customHeight="1">
      <c r="A288" s="37">
        <v>284</v>
      </c>
      <c r="B288" s="46" t="s">
        <v>529</v>
      </c>
      <c r="C288" s="46" t="s">
        <v>867</v>
      </c>
      <c r="D288" s="52"/>
      <c r="E288" s="55"/>
      <c r="F288" s="55"/>
      <c r="G288" s="55"/>
      <c r="H288" s="55"/>
      <c r="I288" s="55"/>
      <c r="J288" s="55"/>
      <c r="K288" s="55"/>
      <c r="L288" s="55"/>
      <c r="M288" s="55"/>
      <c r="N288" s="55"/>
      <c r="O288" s="55"/>
      <c r="P288" s="55"/>
      <c r="Q288" s="55"/>
      <c r="R288" s="55"/>
      <c r="S288" s="53"/>
      <c r="T288" s="53"/>
      <c r="U288" s="53"/>
      <c r="V288" s="53"/>
      <c r="W288" s="53"/>
      <c r="X288" s="53"/>
      <c r="Y288" s="53"/>
      <c r="Z288" s="53"/>
      <c r="AA288" s="53"/>
      <c r="AB288" s="53"/>
      <c r="AC288" s="53"/>
      <c r="AD288" s="53"/>
      <c r="AE288" s="53"/>
      <c r="AF288" s="53"/>
      <c r="AG288" s="37" t="str">
        <f t="shared" si="20"/>
        <v>○</v>
      </c>
      <c r="AH288" s="37" t="str">
        <f t="shared" si="21"/>
        <v>○</v>
      </c>
      <c r="AI288" s="42">
        <f t="shared" si="17"/>
        <v>0</v>
      </c>
      <c r="AJ288" s="54"/>
    </row>
    <row r="289" spans="1:36" ht="27.75" customHeight="1">
      <c r="A289" s="37">
        <v>285</v>
      </c>
      <c r="B289" s="46" t="s">
        <v>530</v>
      </c>
      <c r="C289" s="46" t="s">
        <v>868</v>
      </c>
      <c r="D289" s="52"/>
      <c r="E289" s="55"/>
      <c r="F289" s="55"/>
      <c r="G289" s="55"/>
      <c r="H289" s="55"/>
      <c r="I289" s="55"/>
      <c r="J289" s="55"/>
      <c r="K289" s="55"/>
      <c r="L289" s="55"/>
      <c r="M289" s="55"/>
      <c r="N289" s="55"/>
      <c r="O289" s="55"/>
      <c r="P289" s="55"/>
      <c r="Q289" s="55"/>
      <c r="R289" s="55"/>
      <c r="S289" s="53"/>
      <c r="T289" s="53"/>
      <c r="U289" s="53"/>
      <c r="V289" s="53"/>
      <c r="W289" s="53"/>
      <c r="X289" s="53"/>
      <c r="Y289" s="53"/>
      <c r="Z289" s="53"/>
      <c r="AA289" s="53"/>
      <c r="AB289" s="53"/>
      <c r="AC289" s="53"/>
      <c r="AD289" s="53"/>
      <c r="AE289" s="53"/>
      <c r="AF289" s="53"/>
      <c r="AG289" s="37" t="str">
        <f t="shared" si="20"/>
        <v>○</v>
      </c>
      <c r="AH289" s="37" t="str">
        <f t="shared" si="21"/>
        <v>○</v>
      </c>
      <c r="AI289" s="42">
        <f t="shared" si="17"/>
        <v>0</v>
      </c>
      <c r="AJ289" s="54"/>
    </row>
    <row r="290" spans="1:36" ht="27.75" customHeight="1">
      <c r="A290" s="37">
        <v>286</v>
      </c>
      <c r="B290" s="46" t="s">
        <v>531</v>
      </c>
      <c r="C290" s="46" t="s">
        <v>869</v>
      </c>
      <c r="D290" s="52"/>
      <c r="E290" s="55"/>
      <c r="F290" s="55"/>
      <c r="G290" s="55"/>
      <c r="H290" s="55"/>
      <c r="I290" s="55"/>
      <c r="J290" s="55"/>
      <c r="K290" s="55"/>
      <c r="L290" s="55"/>
      <c r="M290" s="55"/>
      <c r="N290" s="55"/>
      <c r="O290" s="55"/>
      <c r="P290" s="55"/>
      <c r="Q290" s="55"/>
      <c r="R290" s="55"/>
      <c r="S290" s="53"/>
      <c r="T290" s="53"/>
      <c r="U290" s="53"/>
      <c r="V290" s="53"/>
      <c r="W290" s="53"/>
      <c r="X290" s="53"/>
      <c r="Y290" s="53"/>
      <c r="Z290" s="53"/>
      <c r="AA290" s="53"/>
      <c r="AB290" s="53"/>
      <c r="AC290" s="53"/>
      <c r="AD290" s="53"/>
      <c r="AE290" s="53"/>
      <c r="AF290" s="53"/>
      <c r="AG290" s="37" t="str">
        <f t="shared" si="20"/>
        <v>○</v>
      </c>
      <c r="AH290" s="37" t="str">
        <f t="shared" si="21"/>
        <v>○</v>
      </c>
      <c r="AI290" s="42">
        <f t="shared" si="17"/>
        <v>0</v>
      </c>
      <c r="AJ290" s="54"/>
    </row>
    <row r="291" spans="1:36" ht="27.75" customHeight="1">
      <c r="A291" s="37">
        <v>287</v>
      </c>
      <c r="B291" s="46" t="s">
        <v>532</v>
      </c>
      <c r="C291" s="46" t="s">
        <v>870</v>
      </c>
      <c r="D291" s="52"/>
      <c r="E291" s="55"/>
      <c r="F291" s="55"/>
      <c r="G291" s="55"/>
      <c r="H291" s="55"/>
      <c r="I291" s="55"/>
      <c r="J291" s="55"/>
      <c r="K291" s="55"/>
      <c r="L291" s="55"/>
      <c r="M291" s="55"/>
      <c r="N291" s="55"/>
      <c r="O291" s="55"/>
      <c r="P291" s="55"/>
      <c r="Q291" s="55"/>
      <c r="R291" s="55"/>
      <c r="S291" s="53"/>
      <c r="T291" s="53"/>
      <c r="U291" s="53"/>
      <c r="V291" s="53"/>
      <c r="W291" s="53"/>
      <c r="X291" s="53"/>
      <c r="Y291" s="53"/>
      <c r="Z291" s="53"/>
      <c r="AA291" s="53"/>
      <c r="AB291" s="53"/>
      <c r="AC291" s="53"/>
      <c r="AD291" s="53"/>
      <c r="AE291" s="53"/>
      <c r="AF291" s="53"/>
      <c r="AG291" s="37" t="str">
        <f t="shared" si="20"/>
        <v>○</v>
      </c>
      <c r="AH291" s="37" t="str">
        <f t="shared" si="21"/>
        <v>○</v>
      </c>
      <c r="AI291" s="42">
        <f t="shared" si="17"/>
        <v>0</v>
      </c>
      <c r="AJ291" s="54"/>
    </row>
    <row r="292" spans="1:36" ht="27.75" customHeight="1">
      <c r="A292" s="37">
        <v>288</v>
      </c>
      <c r="B292" s="46" t="s">
        <v>533</v>
      </c>
      <c r="C292" s="46" t="s">
        <v>871</v>
      </c>
      <c r="D292" s="52"/>
      <c r="E292" s="55"/>
      <c r="F292" s="55"/>
      <c r="G292" s="55"/>
      <c r="H292" s="55"/>
      <c r="I292" s="55"/>
      <c r="J292" s="55"/>
      <c r="K292" s="55"/>
      <c r="L292" s="55"/>
      <c r="M292" s="55"/>
      <c r="N292" s="55"/>
      <c r="O292" s="55"/>
      <c r="P292" s="55"/>
      <c r="Q292" s="55"/>
      <c r="R292" s="55"/>
      <c r="S292" s="53"/>
      <c r="T292" s="53"/>
      <c r="U292" s="53"/>
      <c r="V292" s="53"/>
      <c r="W292" s="53"/>
      <c r="X292" s="53"/>
      <c r="Y292" s="53"/>
      <c r="Z292" s="53"/>
      <c r="AA292" s="53"/>
      <c r="AB292" s="53"/>
      <c r="AC292" s="53"/>
      <c r="AD292" s="53"/>
      <c r="AE292" s="53"/>
      <c r="AF292" s="53"/>
      <c r="AG292" s="37" t="str">
        <f t="shared" si="20"/>
        <v>○</v>
      </c>
      <c r="AH292" s="37" t="str">
        <f t="shared" si="21"/>
        <v>○</v>
      </c>
      <c r="AI292" s="42">
        <f t="shared" si="17"/>
        <v>0</v>
      </c>
      <c r="AJ292" s="54"/>
    </row>
    <row r="293" spans="1:36" ht="27.75" customHeight="1">
      <c r="A293" s="37">
        <v>289</v>
      </c>
      <c r="B293" s="46" t="s">
        <v>534</v>
      </c>
      <c r="C293" s="46" t="s">
        <v>872</v>
      </c>
      <c r="D293" s="52"/>
      <c r="E293" s="55"/>
      <c r="F293" s="55"/>
      <c r="G293" s="55"/>
      <c r="H293" s="55"/>
      <c r="I293" s="55"/>
      <c r="J293" s="55"/>
      <c r="K293" s="55"/>
      <c r="L293" s="55"/>
      <c r="M293" s="55"/>
      <c r="N293" s="55"/>
      <c r="O293" s="55"/>
      <c r="P293" s="55"/>
      <c r="Q293" s="55"/>
      <c r="R293" s="55"/>
      <c r="S293" s="53"/>
      <c r="T293" s="53"/>
      <c r="U293" s="53"/>
      <c r="V293" s="53"/>
      <c r="W293" s="53"/>
      <c r="X293" s="53"/>
      <c r="Y293" s="53"/>
      <c r="Z293" s="53"/>
      <c r="AA293" s="53"/>
      <c r="AB293" s="53"/>
      <c r="AC293" s="53"/>
      <c r="AD293" s="53"/>
      <c r="AE293" s="53"/>
      <c r="AF293" s="53"/>
      <c r="AG293" s="37" t="str">
        <f t="shared" si="20"/>
        <v>○</v>
      </c>
      <c r="AH293" s="37" t="str">
        <f t="shared" si="21"/>
        <v>○</v>
      </c>
      <c r="AI293" s="42">
        <f t="shared" si="17"/>
        <v>0</v>
      </c>
      <c r="AJ293" s="54"/>
    </row>
    <row r="294" spans="1:36" ht="27.75" customHeight="1">
      <c r="A294" s="37">
        <v>290</v>
      </c>
      <c r="B294" s="46" t="s">
        <v>535</v>
      </c>
      <c r="C294" s="46" t="s">
        <v>873</v>
      </c>
      <c r="D294" s="52"/>
      <c r="E294" s="55"/>
      <c r="F294" s="55"/>
      <c r="G294" s="55"/>
      <c r="H294" s="55"/>
      <c r="I294" s="55"/>
      <c r="J294" s="55"/>
      <c r="K294" s="55"/>
      <c r="L294" s="55"/>
      <c r="M294" s="55"/>
      <c r="N294" s="55"/>
      <c r="O294" s="55"/>
      <c r="P294" s="55"/>
      <c r="Q294" s="55"/>
      <c r="R294" s="55"/>
      <c r="S294" s="53"/>
      <c r="T294" s="53"/>
      <c r="U294" s="53"/>
      <c r="V294" s="53"/>
      <c r="W294" s="53"/>
      <c r="X294" s="53"/>
      <c r="Y294" s="53"/>
      <c r="Z294" s="53"/>
      <c r="AA294" s="53"/>
      <c r="AB294" s="53"/>
      <c r="AC294" s="53"/>
      <c r="AD294" s="53"/>
      <c r="AE294" s="53"/>
      <c r="AF294" s="53"/>
      <c r="AG294" s="37" t="str">
        <f t="shared" si="20"/>
        <v>○</v>
      </c>
      <c r="AH294" s="37" t="str">
        <f t="shared" si="21"/>
        <v>○</v>
      </c>
      <c r="AI294" s="42">
        <f t="shared" si="17"/>
        <v>0</v>
      </c>
      <c r="AJ294" s="54"/>
    </row>
    <row r="295" spans="1:36" ht="27.75" customHeight="1">
      <c r="A295" s="37">
        <v>291</v>
      </c>
      <c r="B295" s="46" t="s">
        <v>536</v>
      </c>
      <c r="C295" s="46" t="s">
        <v>874</v>
      </c>
      <c r="D295" s="52"/>
      <c r="E295" s="55"/>
      <c r="F295" s="55"/>
      <c r="G295" s="55"/>
      <c r="H295" s="55"/>
      <c r="I295" s="55"/>
      <c r="J295" s="55"/>
      <c r="K295" s="55"/>
      <c r="L295" s="55"/>
      <c r="M295" s="55"/>
      <c r="N295" s="55"/>
      <c r="O295" s="55"/>
      <c r="P295" s="55"/>
      <c r="Q295" s="55"/>
      <c r="R295" s="55"/>
      <c r="S295" s="53"/>
      <c r="T295" s="53"/>
      <c r="U295" s="53"/>
      <c r="V295" s="53"/>
      <c r="W295" s="53"/>
      <c r="X295" s="53"/>
      <c r="Y295" s="53"/>
      <c r="Z295" s="53"/>
      <c r="AA295" s="53"/>
      <c r="AB295" s="53"/>
      <c r="AC295" s="53"/>
      <c r="AD295" s="53"/>
      <c r="AE295" s="53"/>
      <c r="AF295" s="53"/>
      <c r="AG295" s="37" t="str">
        <f t="shared" si="20"/>
        <v>○</v>
      </c>
      <c r="AH295" s="37" t="str">
        <f t="shared" si="21"/>
        <v>○</v>
      </c>
      <c r="AI295" s="42">
        <f t="shared" si="17"/>
        <v>0</v>
      </c>
      <c r="AJ295" s="54"/>
    </row>
    <row r="296" spans="1:36" ht="27.75" customHeight="1">
      <c r="A296" s="37">
        <v>292</v>
      </c>
      <c r="B296" s="46" t="s">
        <v>537</v>
      </c>
      <c r="C296" s="46" t="s">
        <v>875</v>
      </c>
      <c r="D296" s="52"/>
      <c r="E296" s="55"/>
      <c r="F296" s="55"/>
      <c r="G296" s="55"/>
      <c r="H296" s="55"/>
      <c r="I296" s="55"/>
      <c r="J296" s="55"/>
      <c r="K296" s="55"/>
      <c r="L296" s="55"/>
      <c r="M296" s="55"/>
      <c r="N296" s="55"/>
      <c r="O296" s="55"/>
      <c r="P296" s="55"/>
      <c r="Q296" s="55"/>
      <c r="R296" s="55"/>
      <c r="S296" s="53"/>
      <c r="T296" s="53"/>
      <c r="U296" s="53"/>
      <c r="V296" s="53"/>
      <c r="W296" s="53"/>
      <c r="X296" s="53"/>
      <c r="Y296" s="53"/>
      <c r="Z296" s="53"/>
      <c r="AA296" s="53"/>
      <c r="AB296" s="53"/>
      <c r="AC296" s="53"/>
      <c r="AD296" s="53"/>
      <c r="AE296" s="53"/>
      <c r="AF296" s="53"/>
      <c r="AG296" s="37" t="str">
        <f t="shared" si="20"/>
        <v>○</v>
      </c>
      <c r="AH296" s="37" t="str">
        <f t="shared" si="21"/>
        <v>○</v>
      </c>
      <c r="AI296" s="42">
        <f t="shared" si="17"/>
        <v>0</v>
      </c>
      <c r="AJ296" s="54"/>
    </row>
    <row r="297" spans="1:36" ht="27.75" customHeight="1">
      <c r="A297" s="37">
        <v>293</v>
      </c>
      <c r="B297" s="46" t="s">
        <v>538</v>
      </c>
      <c r="C297" s="46" t="s">
        <v>876</v>
      </c>
      <c r="D297" s="52"/>
      <c r="E297" s="55"/>
      <c r="F297" s="55"/>
      <c r="G297" s="55"/>
      <c r="H297" s="55"/>
      <c r="I297" s="55"/>
      <c r="J297" s="55"/>
      <c r="K297" s="55"/>
      <c r="L297" s="55"/>
      <c r="M297" s="55"/>
      <c r="N297" s="55"/>
      <c r="O297" s="55"/>
      <c r="P297" s="55"/>
      <c r="Q297" s="55"/>
      <c r="R297" s="55"/>
      <c r="S297" s="53"/>
      <c r="T297" s="53"/>
      <c r="U297" s="53"/>
      <c r="V297" s="53"/>
      <c r="W297" s="53"/>
      <c r="X297" s="53"/>
      <c r="Y297" s="53"/>
      <c r="Z297" s="53"/>
      <c r="AA297" s="53"/>
      <c r="AB297" s="53"/>
      <c r="AC297" s="53"/>
      <c r="AD297" s="53"/>
      <c r="AE297" s="53"/>
      <c r="AF297" s="53"/>
      <c r="AG297" s="37" t="str">
        <f t="shared" si="20"/>
        <v>○</v>
      </c>
      <c r="AH297" s="37" t="str">
        <f t="shared" si="21"/>
        <v>○</v>
      </c>
      <c r="AI297" s="42">
        <f t="shared" si="17"/>
        <v>0</v>
      </c>
      <c r="AJ297" s="54"/>
    </row>
    <row r="298" spans="1:36" ht="27.75" customHeight="1">
      <c r="A298" s="37">
        <v>294</v>
      </c>
      <c r="B298" s="46" t="s">
        <v>539</v>
      </c>
      <c r="C298" s="46" t="s">
        <v>877</v>
      </c>
      <c r="D298" s="52"/>
      <c r="E298" s="55"/>
      <c r="F298" s="55"/>
      <c r="G298" s="55"/>
      <c r="H298" s="55"/>
      <c r="I298" s="55"/>
      <c r="J298" s="55"/>
      <c r="K298" s="55"/>
      <c r="L298" s="55"/>
      <c r="M298" s="55"/>
      <c r="N298" s="55"/>
      <c r="O298" s="55"/>
      <c r="P298" s="55"/>
      <c r="Q298" s="55"/>
      <c r="R298" s="55"/>
      <c r="S298" s="53"/>
      <c r="T298" s="53"/>
      <c r="U298" s="53"/>
      <c r="V298" s="53"/>
      <c r="W298" s="53"/>
      <c r="X298" s="53"/>
      <c r="Y298" s="53"/>
      <c r="Z298" s="53"/>
      <c r="AA298" s="53"/>
      <c r="AB298" s="53"/>
      <c r="AC298" s="53"/>
      <c r="AD298" s="53"/>
      <c r="AE298" s="53"/>
      <c r="AF298" s="53"/>
      <c r="AG298" s="37" t="str">
        <f t="shared" si="20"/>
        <v>○</v>
      </c>
      <c r="AH298" s="37" t="str">
        <f t="shared" si="21"/>
        <v>○</v>
      </c>
      <c r="AI298" s="42">
        <f t="shared" si="17"/>
        <v>0</v>
      </c>
      <c r="AJ298" s="54"/>
    </row>
    <row r="299" spans="1:36" ht="27.75" customHeight="1">
      <c r="A299" s="37">
        <v>295</v>
      </c>
      <c r="B299" s="46" t="s">
        <v>540</v>
      </c>
      <c r="C299" s="46" t="s">
        <v>878</v>
      </c>
      <c r="D299" s="52"/>
      <c r="E299" s="55"/>
      <c r="F299" s="55"/>
      <c r="G299" s="55"/>
      <c r="H299" s="55"/>
      <c r="I299" s="55"/>
      <c r="J299" s="55"/>
      <c r="K299" s="55"/>
      <c r="L299" s="55"/>
      <c r="M299" s="55"/>
      <c r="N299" s="55"/>
      <c r="O299" s="55"/>
      <c r="P299" s="55"/>
      <c r="Q299" s="55"/>
      <c r="R299" s="55"/>
      <c r="S299" s="53"/>
      <c r="T299" s="53"/>
      <c r="U299" s="53"/>
      <c r="V299" s="53"/>
      <c r="W299" s="53"/>
      <c r="X299" s="53"/>
      <c r="Y299" s="53"/>
      <c r="Z299" s="53"/>
      <c r="AA299" s="53"/>
      <c r="AB299" s="53"/>
      <c r="AC299" s="53"/>
      <c r="AD299" s="53"/>
      <c r="AE299" s="53"/>
      <c r="AF299" s="53"/>
      <c r="AG299" s="37" t="str">
        <f t="shared" si="20"/>
        <v>○</v>
      </c>
      <c r="AH299" s="37" t="str">
        <f t="shared" si="21"/>
        <v>○</v>
      </c>
      <c r="AI299" s="42">
        <f t="shared" si="17"/>
        <v>0</v>
      </c>
      <c r="AJ299" s="54"/>
    </row>
    <row r="300" spans="1:36" ht="27.75" customHeight="1">
      <c r="A300" s="37">
        <v>296</v>
      </c>
      <c r="B300" s="46" t="s">
        <v>541</v>
      </c>
      <c r="C300" s="46" t="s">
        <v>879</v>
      </c>
      <c r="D300" s="52"/>
      <c r="E300" s="55"/>
      <c r="F300" s="55"/>
      <c r="G300" s="55"/>
      <c r="H300" s="55"/>
      <c r="I300" s="55"/>
      <c r="J300" s="55"/>
      <c r="K300" s="55"/>
      <c r="L300" s="55"/>
      <c r="M300" s="55"/>
      <c r="N300" s="55"/>
      <c r="O300" s="55"/>
      <c r="P300" s="55"/>
      <c r="Q300" s="55"/>
      <c r="R300" s="55"/>
      <c r="S300" s="53"/>
      <c r="T300" s="53"/>
      <c r="U300" s="53"/>
      <c r="V300" s="53"/>
      <c r="W300" s="53"/>
      <c r="X300" s="53"/>
      <c r="Y300" s="53"/>
      <c r="Z300" s="53"/>
      <c r="AA300" s="53"/>
      <c r="AB300" s="53"/>
      <c r="AC300" s="53"/>
      <c r="AD300" s="53"/>
      <c r="AE300" s="53"/>
      <c r="AF300" s="53"/>
      <c r="AG300" s="37" t="str">
        <f t="shared" si="20"/>
        <v>○</v>
      </c>
      <c r="AH300" s="37" t="str">
        <f t="shared" si="21"/>
        <v>○</v>
      </c>
      <c r="AI300" s="42">
        <f t="shared" si="17"/>
        <v>0</v>
      </c>
      <c r="AJ300" s="54"/>
    </row>
    <row r="301" spans="1:36" ht="27.75" customHeight="1">
      <c r="A301" s="37">
        <v>297</v>
      </c>
      <c r="B301" s="46" t="s">
        <v>542</v>
      </c>
      <c r="C301" s="46" t="s">
        <v>880</v>
      </c>
      <c r="D301" s="52"/>
      <c r="E301" s="55"/>
      <c r="F301" s="55"/>
      <c r="G301" s="55"/>
      <c r="H301" s="55"/>
      <c r="I301" s="55"/>
      <c r="J301" s="55"/>
      <c r="K301" s="55"/>
      <c r="L301" s="55"/>
      <c r="M301" s="55"/>
      <c r="N301" s="55"/>
      <c r="O301" s="55"/>
      <c r="P301" s="55"/>
      <c r="Q301" s="55"/>
      <c r="R301" s="55"/>
      <c r="S301" s="53"/>
      <c r="T301" s="53"/>
      <c r="U301" s="53"/>
      <c r="V301" s="53"/>
      <c r="W301" s="53"/>
      <c r="X301" s="53"/>
      <c r="Y301" s="53"/>
      <c r="Z301" s="53"/>
      <c r="AA301" s="53"/>
      <c r="AB301" s="53"/>
      <c r="AC301" s="53"/>
      <c r="AD301" s="53"/>
      <c r="AE301" s="53"/>
      <c r="AF301" s="53"/>
      <c r="AG301" s="37" t="str">
        <f t="shared" si="20"/>
        <v>○</v>
      </c>
      <c r="AH301" s="37" t="str">
        <f t="shared" si="21"/>
        <v>○</v>
      </c>
      <c r="AI301" s="42">
        <f t="shared" si="17"/>
        <v>0</v>
      </c>
      <c r="AJ301" s="54"/>
    </row>
    <row r="302" spans="1:36" ht="27.75" customHeight="1">
      <c r="A302" s="37">
        <v>298</v>
      </c>
      <c r="B302" s="46" t="s">
        <v>543</v>
      </c>
      <c r="C302" s="46" t="s">
        <v>881</v>
      </c>
      <c r="D302" s="52"/>
      <c r="E302" s="55"/>
      <c r="F302" s="55"/>
      <c r="G302" s="55"/>
      <c r="H302" s="55"/>
      <c r="I302" s="55"/>
      <c r="J302" s="55"/>
      <c r="K302" s="55"/>
      <c r="L302" s="55"/>
      <c r="M302" s="55"/>
      <c r="N302" s="55"/>
      <c r="O302" s="55"/>
      <c r="P302" s="55"/>
      <c r="Q302" s="55"/>
      <c r="R302" s="55"/>
      <c r="S302" s="53"/>
      <c r="T302" s="53"/>
      <c r="U302" s="53"/>
      <c r="V302" s="53"/>
      <c r="W302" s="53"/>
      <c r="X302" s="53"/>
      <c r="Y302" s="53"/>
      <c r="Z302" s="53"/>
      <c r="AA302" s="53"/>
      <c r="AB302" s="53"/>
      <c r="AC302" s="53"/>
      <c r="AD302" s="53"/>
      <c r="AE302" s="53"/>
      <c r="AF302" s="53"/>
      <c r="AG302" s="37" t="str">
        <f t="shared" si="20"/>
        <v>○</v>
      </c>
      <c r="AH302" s="37" t="str">
        <f t="shared" si="21"/>
        <v>○</v>
      </c>
      <c r="AI302" s="42">
        <f t="shared" si="17"/>
        <v>0</v>
      </c>
      <c r="AJ302" s="54"/>
    </row>
    <row r="303" spans="1:36" ht="27.75" customHeight="1">
      <c r="A303" s="37">
        <v>299</v>
      </c>
      <c r="B303" s="46" t="s">
        <v>516</v>
      </c>
      <c r="C303" s="46" t="s">
        <v>854</v>
      </c>
      <c r="D303" s="52"/>
      <c r="E303" s="55"/>
      <c r="F303" s="55"/>
      <c r="G303" s="55"/>
      <c r="H303" s="55"/>
      <c r="I303" s="55"/>
      <c r="J303" s="55"/>
      <c r="K303" s="55"/>
      <c r="L303" s="55"/>
      <c r="M303" s="55"/>
      <c r="N303" s="55"/>
      <c r="O303" s="55"/>
      <c r="P303" s="55"/>
      <c r="Q303" s="55"/>
      <c r="R303" s="55"/>
      <c r="S303" s="53"/>
      <c r="T303" s="53"/>
      <c r="U303" s="53"/>
      <c r="V303" s="53"/>
      <c r="W303" s="53"/>
      <c r="X303" s="53"/>
      <c r="Y303" s="53"/>
      <c r="Z303" s="53"/>
      <c r="AA303" s="53"/>
      <c r="AB303" s="53"/>
      <c r="AC303" s="53"/>
      <c r="AD303" s="53"/>
      <c r="AE303" s="53"/>
      <c r="AF303" s="53"/>
      <c r="AG303" s="37" t="str">
        <f t="shared" si="20"/>
        <v>○</v>
      </c>
      <c r="AH303" s="37" t="str">
        <f t="shared" si="21"/>
        <v>○</v>
      </c>
      <c r="AI303" s="42">
        <f t="shared" si="17"/>
        <v>0</v>
      </c>
      <c r="AJ303" s="54"/>
    </row>
    <row r="304" spans="1:36" ht="27.75" customHeight="1">
      <c r="A304" s="37">
        <v>300</v>
      </c>
      <c r="B304" s="46" t="s">
        <v>544</v>
      </c>
      <c r="C304" s="46" t="s">
        <v>882</v>
      </c>
      <c r="D304" s="52"/>
      <c r="E304" s="55"/>
      <c r="F304" s="55"/>
      <c r="G304" s="55"/>
      <c r="H304" s="55"/>
      <c r="I304" s="55"/>
      <c r="J304" s="55"/>
      <c r="K304" s="55"/>
      <c r="L304" s="55"/>
      <c r="M304" s="55"/>
      <c r="N304" s="55"/>
      <c r="O304" s="55"/>
      <c r="P304" s="55"/>
      <c r="Q304" s="55"/>
      <c r="R304" s="55"/>
      <c r="S304" s="53"/>
      <c r="T304" s="53"/>
      <c r="U304" s="53"/>
      <c r="V304" s="53"/>
      <c r="W304" s="53"/>
      <c r="X304" s="53"/>
      <c r="Y304" s="53"/>
      <c r="Z304" s="53"/>
      <c r="AA304" s="53"/>
      <c r="AB304" s="53"/>
      <c r="AC304" s="53"/>
      <c r="AD304" s="53"/>
      <c r="AE304" s="53"/>
      <c r="AF304" s="53"/>
      <c r="AG304" s="37" t="str">
        <f t="shared" si="20"/>
        <v>○</v>
      </c>
      <c r="AH304" s="37" t="str">
        <f t="shared" si="21"/>
        <v>○</v>
      </c>
      <c r="AI304" s="42">
        <f t="shared" si="17"/>
        <v>0</v>
      </c>
      <c r="AJ304" s="54"/>
    </row>
    <row r="305" spans="1:36" ht="27.75" customHeight="1">
      <c r="A305" s="37">
        <v>301</v>
      </c>
      <c r="B305" s="46" t="s">
        <v>545</v>
      </c>
      <c r="C305" s="46" t="s">
        <v>883</v>
      </c>
      <c r="D305" s="52"/>
      <c r="E305" s="55"/>
      <c r="F305" s="55"/>
      <c r="G305" s="55"/>
      <c r="H305" s="55"/>
      <c r="I305" s="55"/>
      <c r="J305" s="55"/>
      <c r="K305" s="55"/>
      <c r="L305" s="55"/>
      <c r="M305" s="55"/>
      <c r="N305" s="55"/>
      <c r="O305" s="55"/>
      <c r="P305" s="55"/>
      <c r="Q305" s="55"/>
      <c r="R305" s="55"/>
      <c r="S305" s="53"/>
      <c r="T305" s="53"/>
      <c r="U305" s="53"/>
      <c r="V305" s="53"/>
      <c r="W305" s="53"/>
      <c r="X305" s="53"/>
      <c r="Y305" s="53"/>
      <c r="Z305" s="53"/>
      <c r="AA305" s="53"/>
      <c r="AB305" s="53"/>
      <c r="AC305" s="53"/>
      <c r="AD305" s="53"/>
      <c r="AE305" s="53"/>
      <c r="AF305" s="53"/>
      <c r="AG305" s="37" t="str">
        <f t="shared" si="20"/>
        <v>○</v>
      </c>
      <c r="AH305" s="37" t="str">
        <f t="shared" si="21"/>
        <v>○</v>
      </c>
      <c r="AI305" s="42">
        <f t="shared" si="17"/>
        <v>0</v>
      </c>
      <c r="AJ305" s="54"/>
    </row>
    <row r="306" spans="1:36" ht="27.75" customHeight="1">
      <c r="A306" s="37">
        <v>302</v>
      </c>
      <c r="B306" s="46" t="s">
        <v>546</v>
      </c>
      <c r="C306" s="46" t="s">
        <v>884</v>
      </c>
      <c r="D306" s="52"/>
      <c r="E306" s="55"/>
      <c r="F306" s="55"/>
      <c r="G306" s="55"/>
      <c r="H306" s="55"/>
      <c r="I306" s="55"/>
      <c r="J306" s="55"/>
      <c r="K306" s="55"/>
      <c r="L306" s="55"/>
      <c r="M306" s="55"/>
      <c r="N306" s="55"/>
      <c r="O306" s="55"/>
      <c r="P306" s="55"/>
      <c r="Q306" s="55"/>
      <c r="R306" s="55"/>
      <c r="S306" s="53"/>
      <c r="T306" s="53"/>
      <c r="U306" s="53"/>
      <c r="V306" s="53"/>
      <c r="W306" s="53"/>
      <c r="X306" s="53"/>
      <c r="Y306" s="53"/>
      <c r="Z306" s="53"/>
      <c r="AA306" s="53"/>
      <c r="AB306" s="53"/>
      <c r="AC306" s="53"/>
      <c r="AD306" s="53"/>
      <c r="AE306" s="53"/>
      <c r="AF306" s="53"/>
      <c r="AG306" s="37" t="str">
        <f t="shared" si="20"/>
        <v>○</v>
      </c>
      <c r="AH306" s="37" t="str">
        <f t="shared" si="21"/>
        <v>○</v>
      </c>
      <c r="AI306" s="42">
        <f t="shared" si="17"/>
        <v>0</v>
      </c>
      <c r="AJ306" s="54"/>
    </row>
    <row r="307" spans="1:36" ht="27.75" customHeight="1">
      <c r="A307" s="37">
        <v>303</v>
      </c>
      <c r="B307" s="46" t="s">
        <v>547</v>
      </c>
      <c r="C307" s="45" t="s">
        <v>885</v>
      </c>
      <c r="D307" s="52"/>
      <c r="E307" s="55"/>
      <c r="F307" s="55"/>
      <c r="G307" s="55"/>
      <c r="H307" s="55"/>
      <c r="I307" s="55"/>
      <c r="J307" s="55"/>
      <c r="K307" s="55"/>
      <c r="L307" s="55"/>
      <c r="M307" s="55"/>
      <c r="N307" s="55"/>
      <c r="O307" s="55"/>
      <c r="P307" s="55"/>
      <c r="Q307" s="55"/>
      <c r="R307" s="55"/>
      <c r="S307" s="53"/>
      <c r="T307" s="53"/>
      <c r="U307" s="53"/>
      <c r="V307" s="53"/>
      <c r="W307" s="53"/>
      <c r="X307" s="53"/>
      <c r="Y307" s="53"/>
      <c r="Z307" s="53"/>
      <c r="AA307" s="53"/>
      <c r="AB307" s="53"/>
      <c r="AC307" s="53"/>
      <c r="AD307" s="53"/>
      <c r="AE307" s="53"/>
      <c r="AF307" s="53"/>
      <c r="AG307" s="37" t="str">
        <f t="shared" si="20"/>
        <v>○</v>
      </c>
      <c r="AH307" s="37" t="str">
        <f t="shared" si="21"/>
        <v>○</v>
      </c>
      <c r="AI307" s="42">
        <f t="shared" si="17"/>
        <v>0</v>
      </c>
      <c r="AJ307" s="54"/>
    </row>
    <row r="308" spans="1:36" ht="27.75" customHeight="1">
      <c r="A308" s="37">
        <v>304</v>
      </c>
      <c r="B308" s="46" t="s">
        <v>548</v>
      </c>
      <c r="C308" s="45" t="s">
        <v>886</v>
      </c>
      <c r="D308" s="52"/>
      <c r="E308" s="55"/>
      <c r="F308" s="55"/>
      <c r="G308" s="55"/>
      <c r="H308" s="55"/>
      <c r="I308" s="55"/>
      <c r="J308" s="55"/>
      <c r="K308" s="55"/>
      <c r="L308" s="55"/>
      <c r="M308" s="55"/>
      <c r="N308" s="55"/>
      <c r="O308" s="55"/>
      <c r="P308" s="55"/>
      <c r="Q308" s="55"/>
      <c r="R308" s="55"/>
      <c r="S308" s="53"/>
      <c r="T308" s="53"/>
      <c r="U308" s="53"/>
      <c r="V308" s="53"/>
      <c r="W308" s="53"/>
      <c r="X308" s="53"/>
      <c r="Y308" s="53"/>
      <c r="Z308" s="53"/>
      <c r="AA308" s="53"/>
      <c r="AB308" s="53"/>
      <c r="AC308" s="53"/>
      <c r="AD308" s="53"/>
      <c r="AE308" s="53"/>
      <c r="AF308" s="53"/>
      <c r="AG308" s="37" t="str">
        <f t="shared" si="20"/>
        <v>○</v>
      </c>
      <c r="AH308" s="37" t="str">
        <f t="shared" si="21"/>
        <v>○</v>
      </c>
      <c r="AI308" s="42">
        <f t="shared" si="17"/>
        <v>0</v>
      </c>
      <c r="AJ308" s="54"/>
    </row>
    <row r="309" spans="1:36" ht="27.75" customHeight="1">
      <c r="A309" s="37">
        <v>305</v>
      </c>
      <c r="B309" s="46" t="s">
        <v>549</v>
      </c>
      <c r="C309" s="45" t="s">
        <v>887</v>
      </c>
      <c r="D309" s="52"/>
      <c r="E309" s="55"/>
      <c r="F309" s="55"/>
      <c r="G309" s="55"/>
      <c r="H309" s="55"/>
      <c r="I309" s="55"/>
      <c r="J309" s="55"/>
      <c r="K309" s="55"/>
      <c r="L309" s="55"/>
      <c r="M309" s="55"/>
      <c r="N309" s="55"/>
      <c r="O309" s="55"/>
      <c r="P309" s="55"/>
      <c r="Q309" s="55"/>
      <c r="R309" s="55"/>
      <c r="S309" s="53"/>
      <c r="T309" s="53"/>
      <c r="U309" s="53"/>
      <c r="V309" s="53"/>
      <c r="W309" s="53"/>
      <c r="X309" s="53"/>
      <c r="Y309" s="53"/>
      <c r="Z309" s="53"/>
      <c r="AA309" s="53"/>
      <c r="AB309" s="53"/>
      <c r="AC309" s="53"/>
      <c r="AD309" s="53"/>
      <c r="AE309" s="53"/>
      <c r="AF309" s="53"/>
      <c r="AG309" s="37" t="str">
        <f t="shared" si="20"/>
        <v>○</v>
      </c>
      <c r="AH309" s="37" t="str">
        <f t="shared" si="21"/>
        <v>○</v>
      </c>
      <c r="AI309" s="42">
        <f t="shared" si="17"/>
        <v>0</v>
      </c>
      <c r="AJ309" s="54"/>
    </row>
    <row r="310" spans="1:36" ht="27.75" customHeight="1">
      <c r="A310" s="37">
        <v>306</v>
      </c>
      <c r="B310" s="46" t="s">
        <v>550</v>
      </c>
      <c r="C310" s="45" t="s">
        <v>888</v>
      </c>
      <c r="D310" s="52"/>
      <c r="E310" s="55"/>
      <c r="F310" s="55"/>
      <c r="G310" s="55"/>
      <c r="H310" s="55"/>
      <c r="I310" s="55"/>
      <c r="J310" s="55"/>
      <c r="K310" s="55"/>
      <c r="L310" s="55"/>
      <c r="M310" s="55"/>
      <c r="N310" s="55"/>
      <c r="O310" s="55"/>
      <c r="P310" s="55"/>
      <c r="Q310" s="55"/>
      <c r="R310" s="55"/>
      <c r="S310" s="53"/>
      <c r="T310" s="53"/>
      <c r="U310" s="53"/>
      <c r="V310" s="53"/>
      <c r="W310" s="53"/>
      <c r="X310" s="53"/>
      <c r="Y310" s="53"/>
      <c r="Z310" s="53"/>
      <c r="AA310" s="53"/>
      <c r="AB310" s="53"/>
      <c r="AC310" s="53"/>
      <c r="AD310" s="53"/>
      <c r="AE310" s="53"/>
      <c r="AF310" s="53"/>
      <c r="AG310" s="37" t="str">
        <f t="shared" si="20"/>
        <v>○</v>
      </c>
      <c r="AH310" s="37" t="str">
        <f t="shared" si="21"/>
        <v>○</v>
      </c>
      <c r="AI310" s="42">
        <f t="shared" si="17"/>
        <v>0</v>
      </c>
      <c r="AJ310" s="54"/>
    </row>
    <row r="311" spans="1:36" ht="27.75" customHeight="1">
      <c r="A311" s="37">
        <v>307</v>
      </c>
      <c r="B311" s="46" t="s">
        <v>551</v>
      </c>
      <c r="C311" s="45" t="s">
        <v>889</v>
      </c>
      <c r="D311" s="52"/>
      <c r="E311" s="55"/>
      <c r="F311" s="55"/>
      <c r="G311" s="55"/>
      <c r="H311" s="55"/>
      <c r="I311" s="55"/>
      <c r="J311" s="55"/>
      <c r="K311" s="55"/>
      <c r="L311" s="55"/>
      <c r="M311" s="55"/>
      <c r="N311" s="55"/>
      <c r="O311" s="55"/>
      <c r="P311" s="55"/>
      <c r="Q311" s="55"/>
      <c r="R311" s="55"/>
      <c r="S311" s="53"/>
      <c r="T311" s="53"/>
      <c r="U311" s="53"/>
      <c r="V311" s="53"/>
      <c r="W311" s="53"/>
      <c r="X311" s="53"/>
      <c r="Y311" s="53"/>
      <c r="Z311" s="53"/>
      <c r="AA311" s="53"/>
      <c r="AB311" s="53"/>
      <c r="AC311" s="53"/>
      <c r="AD311" s="53"/>
      <c r="AE311" s="53"/>
      <c r="AF311" s="53"/>
      <c r="AG311" s="37" t="str">
        <f t="shared" si="20"/>
        <v>○</v>
      </c>
      <c r="AH311" s="37" t="str">
        <f t="shared" si="21"/>
        <v>○</v>
      </c>
      <c r="AI311" s="42">
        <f t="shared" si="17"/>
        <v>0</v>
      </c>
      <c r="AJ311" s="54"/>
    </row>
    <row r="312" spans="1:36" ht="27.75" customHeight="1">
      <c r="A312" s="37">
        <v>308</v>
      </c>
      <c r="B312" s="46" t="s">
        <v>552</v>
      </c>
      <c r="C312" s="45" t="s">
        <v>890</v>
      </c>
      <c r="D312" s="52"/>
      <c r="E312" s="55"/>
      <c r="F312" s="55"/>
      <c r="G312" s="55"/>
      <c r="H312" s="55"/>
      <c r="I312" s="55"/>
      <c r="J312" s="55"/>
      <c r="K312" s="55"/>
      <c r="L312" s="55"/>
      <c r="M312" s="55"/>
      <c r="N312" s="55"/>
      <c r="O312" s="55"/>
      <c r="P312" s="55"/>
      <c r="Q312" s="55"/>
      <c r="R312" s="55"/>
      <c r="S312" s="53"/>
      <c r="T312" s="53"/>
      <c r="U312" s="53"/>
      <c r="V312" s="53"/>
      <c r="W312" s="53"/>
      <c r="X312" s="53"/>
      <c r="Y312" s="53"/>
      <c r="Z312" s="53"/>
      <c r="AA312" s="53"/>
      <c r="AB312" s="53"/>
      <c r="AC312" s="53"/>
      <c r="AD312" s="53"/>
      <c r="AE312" s="53"/>
      <c r="AF312" s="53"/>
      <c r="AG312" s="37" t="str">
        <f t="shared" si="20"/>
        <v>○</v>
      </c>
      <c r="AH312" s="37" t="str">
        <f t="shared" si="21"/>
        <v>○</v>
      </c>
      <c r="AI312" s="42">
        <f t="shared" si="17"/>
        <v>0</v>
      </c>
      <c r="AJ312" s="54"/>
    </row>
    <row r="313" spans="1:36" ht="27.75" customHeight="1">
      <c r="A313" s="37">
        <v>309</v>
      </c>
      <c r="B313" s="46" t="s">
        <v>553</v>
      </c>
      <c r="C313" s="45" t="s">
        <v>891</v>
      </c>
      <c r="D313" s="52"/>
      <c r="E313" s="55"/>
      <c r="F313" s="55"/>
      <c r="G313" s="55"/>
      <c r="H313" s="55"/>
      <c r="I313" s="55"/>
      <c r="J313" s="55"/>
      <c r="K313" s="55"/>
      <c r="L313" s="55"/>
      <c r="M313" s="55"/>
      <c r="N313" s="55"/>
      <c r="O313" s="55"/>
      <c r="P313" s="55"/>
      <c r="Q313" s="55"/>
      <c r="R313" s="55"/>
      <c r="S313" s="53"/>
      <c r="T313" s="53"/>
      <c r="U313" s="53"/>
      <c r="V313" s="53"/>
      <c r="W313" s="53"/>
      <c r="X313" s="53"/>
      <c r="Y313" s="53"/>
      <c r="Z313" s="53"/>
      <c r="AA313" s="53"/>
      <c r="AB313" s="53"/>
      <c r="AC313" s="53"/>
      <c r="AD313" s="53"/>
      <c r="AE313" s="53"/>
      <c r="AF313" s="53"/>
      <c r="AG313" s="37" t="str">
        <f t="shared" si="20"/>
        <v>○</v>
      </c>
      <c r="AH313" s="37" t="str">
        <f t="shared" si="21"/>
        <v>○</v>
      </c>
      <c r="AI313" s="42">
        <f t="shared" si="17"/>
        <v>0</v>
      </c>
      <c r="AJ313" s="54"/>
    </row>
    <row r="314" spans="1:36" ht="27.75" customHeight="1">
      <c r="A314" s="37">
        <v>310</v>
      </c>
      <c r="B314" s="46" t="s">
        <v>554</v>
      </c>
      <c r="C314" s="45" t="s">
        <v>892</v>
      </c>
      <c r="D314" s="52"/>
      <c r="E314" s="55"/>
      <c r="F314" s="55"/>
      <c r="G314" s="55"/>
      <c r="H314" s="55"/>
      <c r="I314" s="55"/>
      <c r="J314" s="55"/>
      <c r="K314" s="55"/>
      <c r="L314" s="55"/>
      <c r="M314" s="55"/>
      <c r="N314" s="55"/>
      <c r="O314" s="55"/>
      <c r="P314" s="55"/>
      <c r="Q314" s="55"/>
      <c r="R314" s="55"/>
      <c r="S314" s="53"/>
      <c r="T314" s="53"/>
      <c r="U314" s="53"/>
      <c r="V314" s="53"/>
      <c r="W314" s="53"/>
      <c r="X314" s="53"/>
      <c r="Y314" s="53"/>
      <c r="Z314" s="53"/>
      <c r="AA314" s="53"/>
      <c r="AB314" s="53"/>
      <c r="AC314" s="53"/>
      <c r="AD314" s="53"/>
      <c r="AE314" s="53"/>
      <c r="AF314" s="53"/>
      <c r="AG314" s="37" t="str">
        <f t="shared" si="20"/>
        <v>○</v>
      </c>
      <c r="AH314" s="37" t="str">
        <f t="shared" si="21"/>
        <v>○</v>
      </c>
      <c r="AI314" s="42">
        <f t="shared" si="17"/>
        <v>0</v>
      </c>
      <c r="AJ314" s="54"/>
    </row>
    <row r="315" spans="1:36" ht="27.75" customHeight="1">
      <c r="A315" s="37">
        <v>311</v>
      </c>
      <c r="B315" s="46" t="s">
        <v>555</v>
      </c>
      <c r="C315" s="46" t="s">
        <v>893</v>
      </c>
      <c r="D315" s="16"/>
      <c r="E315" s="55"/>
      <c r="F315" s="55"/>
      <c r="G315" s="55"/>
      <c r="H315" s="55"/>
      <c r="I315" s="55"/>
      <c r="J315" s="55"/>
      <c r="K315" s="55"/>
      <c r="L315" s="55"/>
      <c r="M315" s="55"/>
      <c r="N315" s="55"/>
      <c r="O315" s="55"/>
      <c r="P315" s="55"/>
      <c r="Q315" s="55"/>
      <c r="R315" s="55"/>
      <c r="S315" s="38"/>
      <c r="T315" s="38"/>
      <c r="U315" s="38"/>
      <c r="V315" s="38"/>
      <c r="W315" s="38"/>
      <c r="X315" s="38"/>
      <c r="Y315" s="38"/>
      <c r="Z315" s="38"/>
      <c r="AA315" s="38"/>
      <c r="AB315" s="38"/>
      <c r="AC315" s="38"/>
      <c r="AD315" s="38"/>
      <c r="AE315" s="38"/>
      <c r="AF315" s="38"/>
      <c r="AG315" s="37" t="str">
        <f t="shared" ref="AG315:AG342" si="22">IF(AND(B315="",E315="",S315=""),"",IF(SUMPRODUCT(((E315:R315&gt;=1)&lt;&gt;(S315:AF315&gt;=1))*1)=0,"○","✗"))</f>
        <v>○</v>
      </c>
      <c r="AH315" s="37" t="str">
        <f t="shared" ref="AH315:AH342" si="23">IF(AG315="","",IF(AG315="✗","✗",IF(SUMPRODUCT((E315:R315&lt;&gt;S315:AF315)*1)=0,"○","✗")))</f>
        <v>○</v>
      </c>
      <c r="AI315" s="42">
        <f t="shared" si="17"/>
        <v>0</v>
      </c>
      <c r="AJ315" s="11"/>
    </row>
    <row r="316" spans="1:36" ht="27.75" customHeight="1">
      <c r="A316" s="37">
        <v>312</v>
      </c>
      <c r="B316" s="46" t="s">
        <v>556</v>
      </c>
      <c r="C316" s="46" t="s">
        <v>894</v>
      </c>
      <c r="D316" s="16"/>
      <c r="E316" s="55"/>
      <c r="F316" s="55"/>
      <c r="G316" s="55"/>
      <c r="H316" s="55"/>
      <c r="I316" s="55"/>
      <c r="J316" s="55"/>
      <c r="K316" s="55"/>
      <c r="L316" s="55"/>
      <c r="M316" s="55"/>
      <c r="N316" s="55"/>
      <c r="O316" s="55"/>
      <c r="P316" s="55"/>
      <c r="Q316" s="55"/>
      <c r="R316" s="55"/>
      <c r="S316" s="38"/>
      <c r="T316" s="38"/>
      <c r="U316" s="38"/>
      <c r="V316" s="38"/>
      <c r="W316" s="38"/>
      <c r="X316" s="38"/>
      <c r="Y316" s="38"/>
      <c r="Z316" s="38"/>
      <c r="AA316" s="38"/>
      <c r="AB316" s="38"/>
      <c r="AC316" s="38"/>
      <c r="AD316" s="38"/>
      <c r="AE316" s="38"/>
      <c r="AF316" s="38"/>
      <c r="AG316" s="37" t="str">
        <f t="shared" si="22"/>
        <v>○</v>
      </c>
      <c r="AH316" s="37" t="str">
        <f t="shared" si="23"/>
        <v>○</v>
      </c>
      <c r="AI316" s="42">
        <f t="shared" si="17"/>
        <v>0</v>
      </c>
      <c r="AJ316" s="11"/>
    </row>
    <row r="317" spans="1:36" ht="27.75" customHeight="1">
      <c r="A317" s="37">
        <v>313</v>
      </c>
      <c r="B317" s="46" t="s">
        <v>557</v>
      </c>
      <c r="C317" s="46" t="s">
        <v>895</v>
      </c>
      <c r="D317" s="52"/>
      <c r="E317" s="55"/>
      <c r="F317" s="55"/>
      <c r="G317" s="55"/>
      <c r="H317" s="55"/>
      <c r="I317" s="55"/>
      <c r="J317" s="55"/>
      <c r="K317" s="55"/>
      <c r="L317" s="55"/>
      <c r="M317" s="55"/>
      <c r="N317" s="55"/>
      <c r="O317" s="55"/>
      <c r="P317" s="55"/>
      <c r="Q317" s="55"/>
      <c r="R317" s="55"/>
      <c r="S317" s="53"/>
      <c r="T317" s="53"/>
      <c r="U317" s="53"/>
      <c r="V317" s="53"/>
      <c r="W317" s="53"/>
      <c r="X317" s="53"/>
      <c r="Y317" s="53"/>
      <c r="Z317" s="53"/>
      <c r="AA317" s="53"/>
      <c r="AB317" s="53"/>
      <c r="AC317" s="53"/>
      <c r="AD317" s="53"/>
      <c r="AE317" s="53"/>
      <c r="AF317" s="53"/>
      <c r="AG317" s="37" t="str">
        <f t="shared" si="22"/>
        <v>○</v>
      </c>
      <c r="AH317" s="37" t="str">
        <f t="shared" si="23"/>
        <v>○</v>
      </c>
      <c r="AI317" s="42">
        <f t="shared" si="17"/>
        <v>0</v>
      </c>
      <c r="AJ317" s="54"/>
    </row>
    <row r="318" spans="1:36" ht="27.75" customHeight="1">
      <c r="A318" s="37">
        <v>314</v>
      </c>
      <c r="B318" s="46" t="s">
        <v>558</v>
      </c>
      <c r="C318" s="46" t="s">
        <v>896</v>
      </c>
      <c r="D318" s="52"/>
      <c r="E318" s="55"/>
      <c r="F318" s="55"/>
      <c r="G318" s="55"/>
      <c r="H318" s="55"/>
      <c r="I318" s="55"/>
      <c r="J318" s="55"/>
      <c r="K318" s="55"/>
      <c r="L318" s="55"/>
      <c r="M318" s="55"/>
      <c r="N318" s="55"/>
      <c r="O318" s="55"/>
      <c r="P318" s="55"/>
      <c r="Q318" s="55"/>
      <c r="R318" s="55"/>
      <c r="S318" s="53"/>
      <c r="T318" s="53"/>
      <c r="U318" s="53"/>
      <c r="V318" s="53"/>
      <c r="W318" s="53"/>
      <c r="X318" s="53"/>
      <c r="Y318" s="53"/>
      <c r="Z318" s="53"/>
      <c r="AA318" s="53"/>
      <c r="AB318" s="53"/>
      <c r="AC318" s="53"/>
      <c r="AD318" s="53"/>
      <c r="AE318" s="53"/>
      <c r="AF318" s="53"/>
      <c r="AG318" s="37" t="str">
        <f t="shared" si="22"/>
        <v>○</v>
      </c>
      <c r="AH318" s="37" t="str">
        <f t="shared" si="23"/>
        <v>○</v>
      </c>
      <c r="AI318" s="42">
        <f t="shared" si="17"/>
        <v>0</v>
      </c>
      <c r="AJ318" s="54"/>
    </row>
    <row r="319" spans="1:36" ht="27.75" customHeight="1">
      <c r="A319" s="37">
        <v>315</v>
      </c>
      <c r="B319" s="46" t="s">
        <v>559</v>
      </c>
      <c r="C319" s="46" t="s">
        <v>897</v>
      </c>
      <c r="D319" s="52"/>
      <c r="E319" s="55"/>
      <c r="F319" s="55"/>
      <c r="G319" s="55"/>
      <c r="H319" s="55"/>
      <c r="I319" s="55"/>
      <c r="J319" s="55"/>
      <c r="K319" s="55"/>
      <c r="L319" s="55"/>
      <c r="M319" s="55"/>
      <c r="N319" s="55"/>
      <c r="O319" s="55"/>
      <c r="P319" s="55"/>
      <c r="Q319" s="55"/>
      <c r="R319" s="55"/>
      <c r="S319" s="53"/>
      <c r="T319" s="53"/>
      <c r="U319" s="53"/>
      <c r="V319" s="53"/>
      <c r="W319" s="53"/>
      <c r="X319" s="53"/>
      <c r="Y319" s="53"/>
      <c r="Z319" s="53"/>
      <c r="AA319" s="53"/>
      <c r="AB319" s="53"/>
      <c r="AC319" s="53"/>
      <c r="AD319" s="53"/>
      <c r="AE319" s="53"/>
      <c r="AF319" s="53"/>
      <c r="AG319" s="37" t="str">
        <f t="shared" si="22"/>
        <v>○</v>
      </c>
      <c r="AH319" s="37" t="str">
        <f t="shared" si="23"/>
        <v>○</v>
      </c>
      <c r="AI319" s="42">
        <f t="shared" si="17"/>
        <v>0</v>
      </c>
      <c r="AJ319" s="54"/>
    </row>
    <row r="320" spans="1:36" ht="27.75" customHeight="1">
      <c r="A320" s="37">
        <v>316</v>
      </c>
      <c r="B320" s="46" t="s">
        <v>560</v>
      </c>
      <c r="C320" s="46" t="s">
        <v>898</v>
      </c>
      <c r="D320" s="52"/>
      <c r="E320" s="55"/>
      <c r="F320" s="55"/>
      <c r="G320" s="55"/>
      <c r="H320" s="55"/>
      <c r="I320" s="55"/>
      <c r="J320" s="55"/>
      <c r="K320" s="55"/>
      <c r="L320" s="55"/>
      <c r="M320" s="55"/>
      <c r="N320" s="55"/>
      <c r="O320" s="55"/>
      <c r="P320" s="55"/>
      <c r="Q320" s="55"/>
      <c r="R320" s="55"/>
      <c r="S320" s="53"/>
      <c r="T320" s="53"/>
      <c r="U320" s="53"/>
      <c r="V320" s="53"/>
      <c r="W320" s="53"/>
      <c r="X320" s="53"/>
      <c r="Y320" s="53"/>
      <c r="Z320" s="53"/>
      <c r="AA320" s="53"/>
      <c r="AB320" s="53"/>
      <c r="AC320" s="53"/>
      <c r="AD320" s="53"/>
      <c r="AE320" s="53"/>
      <c r="AF320" s="53"/>
      <c r="AG320" s="37" t="str">
        <f t="shared" si="22"/>
        <v>○</v>
      </c>
      <c r="AH320" s="37" t="str">
        <f t="shared" si="23"/>
        <v>○</v>
      </c>
      <c r="AI320" s="42">
        <f t="shared" si="17"/>
        <v>0</v>
      </c>
      <c r="AJ320" s="54"/>
    </row>
    <row r="321" spans="1:36" ht="27.75" customHeight="1">
      <c r="A321" s="37">
        <v>317</v>
      </c>
      <c r="B321" s="46" t="s">
        <v>561</v>
      </c>
      <c r="C321" s="46" t="s">
        <v>899</v>
      </c>
      <c r="D321" s="52"/>
      <c r="E321" s="55"/>
      <c r="F321" s="55"/>
      <c r="G321" s="55"/>
      <c r="H321" s="55"/>
      <c r="I321" s="55"/>
      <c r="J321" s="55"/>
      <c r="K321" s="55"/>
      <c r="L321" s="55"/>
      <c r="M321" s="55"/>
      <c r="N321" s="55"/>
      <c r="O321" s="55"/>
      <c r="P321" s="55"/>
      <c r="Q321" s="55"/>
      <c r="R321" s="55"/>
      <c r="S321" s="53"/>
      <c r="T321" s="53"/>
      <c r="U321" s="53"/>
      <c r="V321" s="53"/>
      <c r="W321" s="53"/>
      <c r="X321" s="53"/>
      <c r="Y321" s="53"/>
      <c r="Z321" s="53"/>
      <c r="AA321" s="53"/>
      <c r="AB321" s="53"/>
      <c r="AC321" s="53"/>
      <c r="AD321" s="53"/>
      <c r="AE321" s="53"/>
      <c r="AF321" s="53"/>
      <c r="AG321" s="37" t="str">
        <f t="shared" si="22"/>
        <v>○</v>
      </c>
      <c r="AH321" s="37" t="str">
        <f t="shared" si="23"/>
        <v>○</v>
      </c>
      <c r="AI321" s="42">
        <f t="shared" si="17"/>
        <v>0</v>
      </c>
      <c r="AJ321" s="54"/>
    </row>
    <row r="322" spans="1:36" ht="27.75" customHeight="1">
      <c r="A322" s="37">
        <v>318</v>
      </c>
      <c r="B322" s="46" t="s">
        <v>562</v>
      </c>
      <c r="C322" s="46" t="s">
        <v>900</v>
      </c>
      <c r="D322" s="52"/>
      <c r="E322" s="55"/>
      <c r="F322" s="55"/>
      <c r="G322" s="55"/>
      <c r="H322" s="55"/>
      <c r="I322" s="55"/>
      <c r="J322" s="55"/>
      <c r="K322" s="55"/>
      <c r="L322" s="55"/>
      <c r="M322" s="55"/>
      <c r="N322" s="55"/>
      <c r="O322" s="55"/>
      <c r="P322" s="55"/>
      <c r="Q322" s="55"/>
      <c r="R322" s="55"/>
      <c r="S322" s="53"/>
      <c r="T322" s="53"/>
      <c r="U322" s="53"/>
      <c r="V322" s="53"/>
      <c r="W322" s="53"/>
      <c r="X322" s="53"/>
      <c r="Y322" s="53"/>
      <c r="Z322" s="53"/>
      <c r="AA322" s="53"/>
      <c r="AB322" s="53"/>
      <c r="AC322" s="53"/>
      <c r="AD322" s="53"/>
      <c r="AE322" s="53"/>
      <c r="AF322" s="53"/>
      <c r="AG322" s="37" t="str">
        <f t="shared" si="22"/>
        <v>○</v>
      </c>
      <c r="AH322" s="37" t="str">
        <f t="shared" si="23"/>
        <v>○</v>
      </c>
      <c r="AI322" s="42">
        <f t="shared" si="17"/>
        <v>0</v>
      </c>
      <c r="AJ322" s="54"/>
    </row>
    <row r="323" spans="1:36" ht="27.75" customHeight="1">
      <c r="A323" s="37">
        <v>319</v>
      </c>
      <c r="B323" s="46" t="s">
        <v>563</v>
      </c>
      <c r="C323" s="46" t="s">
        <v>901</v>
      </c>
      <c r="D323" s="52"/>
      <c r="E323" s="55"/>
      <c r="F323" s="55"/>
      <c r="G323" s="55"/>
      <c r="H323" s="55"/>
      <c r="I323" s="55"/>
      <c r="J323" s="55"/>
      <c r="K323" s="55"/>
      <c r="L323" s="55"/>
      <c r="M323" s="55"/>
      <c r="N323" s="55"/>
      <c r="O323" s="55"/>
      <c r="P323" s="55"/>
      <c r="Q323" s="55"/>
      <c r="R323" s="55"/>
      <c r="S323" s="53"/>
      <c r="T323" s="53"/>
      <c r="U323" s="53"/>
      <c r="V323" s="53"/>
      <c r="W323" s="53"/>
      <c r="X323" s="53"/>
      <c r="Y323" s="53"/>
      <c r="Z323" s="53"/>
      <c r="AA323" s="53"/>
      <c r="AB323" s="53"/>
      <c r="AC323" s="53"/>
      <c r="AD323" s="53"/>
      <c r="AE323" s="53"/>
      <c r="AF323" s="53"/>
      <c r="AG323" s="37" t="str">
        <f t="shared" si="22"/>
        <v>○</v>
      </c>
      <c r="AH323" s="37" t="str">
        <f t="shared" si="23"/>
        <v>○</v>
      </c>
      <c r="AI323" s="42">
        <f t="shared" si="17"/>
        <v>0</v>
      </c>
      <c r="AJ323" s="54"/>
    </row>
    <row r="324" spans="1:36" ht="27.75" customHeight="1">
      <c r="A324" s="37">
        <v>320</v>
      </c>
      <c r="B324" s="46" t="s">
        <v>564</v>
      </c>
      <c r="C324" s="46" t="s">
        <v>902</v>
      </c>
      <c r="D324" s="52"/>
      <c r="E324" s="55"/>
      <c r="F324" s="55"/>
      <c r="G324" s="55"/>
      <c r="H324" s="55"/>
      <c r="I324" s="55"/>
      <c r="J324" s="55"/>
      <c r="K324" s="55"/>
      <c r="L324" s="55"/>
      <c r="M324" s="55"/>
      <c r="N324" s="55"/>
      <c r="O324" s="55"/>
      <c r="P324" s="55"/>
      <c r="Q324" s="55"/>
      <c r="R324" s="55"/>
      <c r="S324" s="53"/>
      <c r="T324" s="53"/>
      <c r="U324" s="53"/>
      <c r="V324" s="53"/>
      <c r="W324" s="53"/>
      <c r="X324" s="53"/>
      <c r="Y324" s="53"/>
      <c r="Z324" s="53"/>
      <c r="AA324" s="53"/>
      <c r="AB324" s="53"/>
      <c r="AC324" s="53"/>
      <c r="AD324" s="53"/>
      <c r="AE324" s="53"/>
      <c r="AF324" s="53"/>
      <c r="AG324" s="37" t="str">
        <f t="shared" si="22"/>
        <v>○</v>
      </c>
      <c r="AH324" s="37" t="str">
        <f t="shared" si="23"/>
        <v>○</v>
      </c>
      <c r="AI324" s="42">
        <f t="shared" si="17"/>
        <v>0</v>
      </c>
      <c r="AJ324" s="54"/>
    </row>
    <row r="325" spans="1:36" ht="27.75" customHeight="1">
      <c r="A325" s="37">
        <v>321</v>
      </c>
      <c r="B325" s="46" t="s">
        <v>565</v>
      </c>
      <c r="C325" s="46" t="s">
        <v>903</v>
      </c>
      <c r="D325" s="52"/>
      <c r="E325" s="55"/>
      <c r="F325" s="55"/>
      <c r="G325" s="55"/>
      <c r="H325" s="55"/>
      <c r="I325" s="55"/>
      <c r="J325" s="55"/>
      <c r="K325" s="55"/>
      <c r="L325" s="55"/>
      <c r="M325" s="55"/>
      <c r="N325" s="55"/>
      <c r="O325" s="55"/>
      <c r="P325" s="55"/>
      <c r="Q325" s="55"/>
      <c r="R325" s="55"/>
      <c r="S325" s="53"/>
      <c r="T325" s="53"/>
      <c r="U325" s="53"/>
      <c r="V325" s="53"/>
      <c r="W325" s="53"/>
      <c r="X325" s="53"/>
      <c r="Y325" s="53"/>
      <c r="Z325" s="53"/>
      <c r="AA325" s="53"/>
      <c r="AB325" s="53"/>
      <c r="AC325" s="53"/>
      <c r="AD325" s="53"/>
      <c r="AE325" s="53"/>
      <c r="AF325" s="53"/>
      <c r="AG325" s="37" t="str">
        <f t="shared" si="22"/>
        <v>○</v>
      </c>
      <c r="AH325" s="37" t="str">
        <f t="shared" si="23"/>
        <v>○</v>
      </c>
      <c r="AI325" s="42">
        <f t="shared" si="17"/>
        <v>0</v>
      </c>
      <c r="AJ325" s="54"/>
    </row>
    <row r="326" spans="1:36" ht="27.75" customHeight="1">
      <c r="A326" s="37">
        <v>322</v>
      </c>
      <c r="B326" s="46" t="s">
        <v>566</v>
      </c>
      <c r="C326" s="46" t="s">
        <v>904</v>
      </c>
      <c r="D326" s="52"/>
      <c r="E326" s="55"/>
      <c r="F326" s="55"/>
      <c r="G326" s="55"/>
      <c r="H326" s="55"/>
      <c r="I326" s="55"/>
      <c r="J326" s="55"/>
      <c r="K326" s="55"/>
      <c r="L326" s="55"/>
      <c r="M326" s="55"/>
      <c r="N326" s="55"/>
      <c r="O326" s="55"/>
      <c r="P326" s="55"/>
      <c r="Q326" s="55"/>
      <c r="R326" s="55"/>
      <c r="S326" s="53"/>
      <c r="T326" s="53"/>
      <c r="U326" s="53"/>
      <c r="V326" s="53"/>
      <c r="W326" s="53"/>
      <c r="X326" s="53"/>
      <c r="Y326" s="53"/>
      <c r="Z326" s="53"/>
      <c r="AA326" s="53"/>
      <c r="AB326" s="53"/>
      <c r="AC326" s="53"/>
      <c r="AD326" s="53"/>
      <c r="AE326" s="53"/>
      <c r="AF326" s="53"/>
      <c r="AG326" s="37" t="str">
        <f t="shared" si="22"/>
        <v>○</v>
      </c>
      <c r="AH326" s="37" t="str">
        <f t="shared" si="23"/>
        <v>○</v>
      </c>
      <c r="AI326" s="42">
        <f t="shared" si="17"/>
        <v>0</v>
      </c>
      <c r="AJ326" s="54"/>
    </row>
    <row r="327" spans="1:36" ht="27.75" customHeight="1">
      <c r="A327" s="37">
        <v>323</v>
      </c>
      <c r="B327" s="46" t="s">
        <v>567</v>
      </c>
      <c r="C327" s="46" t="s">
        <v>905</v>
      </c>
      <c r="D327" s="52"/>
      <c r="E327" s="55"/>
      <c r="F327" s="55"/>
      <c r="G327" s="55"/>
      <c r="H327" s="55"/>
      <c r="I327" s="55"/>
      <c r="J327" s="55"/>
      <c r="K327" s="55"/>
      <c r="L327" s="55"/>
      <c r="M327" s="55"/>
      <c r="N327" s="55"/>
      <c r="O327" s="55"/>
      <c r="P327" s="55"/>
      <c r="Q327" s="55"/>
      <c r="R327" s="55"/>
      <c r="S327" s="53"/>
      <c r="T327" s="53"/>
      <c r="U327" s="53"/>
      <c r="V327" s="53"/>
      <c r="W327" s="53"/>
      <c r="X327" s="53"/>
      <c r="Y327" s="53"/>
      <c r="Z327" s="53"/>
      <c r="AA327" s="53"/>
      <c r="AB327" s="53"/>
      <c r="AC327" s="53"/>
      <c r="AD327" s="53"/>
      <c r="AE327" s="53"/>
      <c r="AF327" s="53"/>
      <c r="AG327" s="37" t="str">
        <f t="shared" si="22"/>
        <v>○</v>
      </c>
      <c r="AH327" s="37" t="str">
        <f t="shared" si="23"/>
        <v>○</v>
      </c>
      <c r="AI327" s="42">
        <f t="shared" si="17"/>
        <v>0</v>
      </c>
      <c r="AJ327" s="54"/>
    </row>
    <row r="328" spans="1:36" ht="27.75" customHeight="1">
      <c r="A328" s="37">
        <v>324</v>
      </c>
      <c r="B328" s="46" t="s">
        <v>568</v>
      </c>
      <c r="C328" s="46" t="s">
        <v>906</v>
      </c>
      <c r="D328" s="52"/>
      <c r="E328" s="55"/>
      <c r="F328" s="55"/>
      <c r="G328" s="55"/>
      <c r="H328" s="55"/>
      <c r="I328" s="55"/>
      <c r="J328" s="55"/>
      <c r="K328" s="55"/>
      <c r="L328" s="55"/>
      <c r="M328" s="55"/>
      <c r="N328" s="55"/>
      <c r="O328" s="55"/>
      <c r="P328" s="55"/>
      <c r="Q328" s="55"/>
      <c r="R328" s="55"/>
      <c r="S328" s="53"/>
      <c r="T328" s="53"/>
      <c r="U328" s="53"/>
      <c r="V328" s="53"/>
      <c r="W328" s="53"/>
      <c r="X328" s="53"/>
      <c r="Y328" s="53"/>
      <c r="Z328" s="53"/>
      <c r="AA328" s="53"/>
      <c r="AB328" s="53"/>
      <c r="AC328" s="53"/>
      <c r="AD328" s="53"/>
      <c r="AE328" s="53"/>
      <c r="AF328" s="53"/>
      <c r="AG328" s="37" t="str">
        <f t="shared" si="22"/>
        <v>○</v>
      </c>
      <c r="AH328" s="37" t="str">
        <f t="shared" si="23"/>
        <v>○</v>
      </c>
      <c r="AI328" s="42">
        <f t="shared" si="17"/>
        <v>0</v>
      </c>
      <c r="AJ328" s="54"/>
    </row>
    <row r="329" spans="1:36" ht="27.75" customHeight="1">
      <c r="A329" s="37">
        <v>325</v>
      </c>
      <c r="B329" s="46" t="s">
        <v>569</v>
      </c>
      <c r="C329" s="46" t="s">
        <v>907</v>
      </c>
      <c r="D329" s="52"/>
      <c r="E329" s="55"/>
      <c r="F329" s="55"/>
      <c r="G329" s="55"/>
      <c r="H329" s="55"/>
      <c r="I329" s="55"/>
      <c r="J329" s="55"/>
      <c r="K329" s="55"/>
      <c r="L329" s="55"/>
      <c r="M329" s="55"/>
      <c r="N329" s="55"/>
      <c r="O329" s="55"/>
      <c r="P329" s="55"/>
      <c r="Q329" s="55"/>
      <c r="R329" s="55"/>
      <c r="S329" s="53"/>
      <c r="T329" s="53"/>
      <c r="U329" s="53"/>
      <c r="V329" s="53"/>
      <c r="W329" s="53"/>
      <c r="X329" s="53"/>
      <c r="Y329" s="53"/>
      <c r="Z329" s="53"/>
      <c r="AA329" s="53"/>
      <c r="AB329" s="53"/>
      <c r="AC329" s="53"/>
      <c r="AD329" s="53"/>
      <c r="AE329" s="53"/>
      <c r="AF329" s="53"/>
      <c r="AG329" s="37" t="str">
        <f t="shared" si="22"/>
        <v>○</v>
      </c>
      <c r="AH329" s="37" t="str">
        <f t="shared" si="23"/>
        <v>○</v>
      </c>
      <c r="AI329" s="42">
        <f t="shared" si="17"/>
        <v>0</v>
      </c>
      <c r="AJ329" s="54"/>
    </row>
    <row r="330" spans="1:36" ht="27.75" customHeight="1">
      <c r="A330" s="37">
        <v>326</v>
      </c>
      <c r="B330" s="46" t="s">
        <v>570</v>
      </c>
      <c r="C330" s="46" t="s">
        <v>908</v>
      </c>
      <c r="D330" s="52"/>
      <c r="E330" s="55"/>
      <c r="F330" s="55"/>
      <c r="G330" s="55"/>
      <c r="H330" s="55"/>
      <c r="I330" s="55"/>
      <c r="J330" s="55"/>
      <c r="K330" s="55"/>
      <c r="L330" s="55"/>
      <c r="M330" s="55"/>
      <c r="N330" s="55"/>
      <c r="O330" s="55"/>
      <c r="P330" s="55"/>
      <c r="Q330" s="55"/>
      <c r="R330" s="55"/>
      <c r="S330" s="53"/>
      <c r="T330" s="53"/>
      <c r="U330" s="53"/>
      <c r="V330" s="53"/>
      <c r="W330" s="53"/>
      <c r="X330" s="53"/>
      <c r="Y330" s="53"/>
      <c r="Z330" s="53"/>
      <c r="AA330" s="53"/>
      <c r="AB330" s="53"/>
      <c r="AC330" s="53"/>
      <c r="AD330" s="53"/>
      <c r="AE330" s="53"/>
      <c r="AF330" s="53"/>
      <c r="AG330" s="37" t="str">
        <f t="shared" si="22"/>
        <v>○</v>
      </c>
      <c r="AH330" s="37" t="str">
        <f t="shared" si="23"/>
        <v>○</v>
      </c>
      <c r="AI330" s="42">
        <f t="shared" si="17"/>
        <v>0</v>
      </c>
      <c r="AJ330" s="54"/>
    </row>
    <row r="331" spans="1:36" ht="27.75" customHeight="1">
      <c r="A331" s="37">
        <v>327</v>
      </c>
      <c r="B331" s="46" t="s">
        <v>571</v>
      </c>
      <c r="C331" s="46" t="s">
        <v>909</v>
      </c>
      <c r="D331" s="52"/>
      <c r="E331" s="55"/>
      <c r="F331" s="55"/>
      <c r="G331" s="55"/>
      <c r="H331" s="55"/>
      <c r="I331" s="55"/>
      <c r="J331" s="55"/>
      <c r="K331" s="55"/>
      <c r="L331" s="55"/>
      <c r="M331" s="55"/>
      <c r="N331" s="55"/>
      <c r="O331" s="55"/>
      <c r="P331" s="55"/>
      <c r="Q331" s="55"/>
      <c r="R331" s="55"/>
      <c r="S331" s="53"/>
      <c r="T331" s="53"/>
      <c r="U331" s="53"/>
      <c r="V331" s="53"/>
      <c r="W331" s="53"/>
      <c r="X331" s="53"/>
      <c r="Y331" s="53"/>
      <c r="Z331" s="53"/>
      <c r="AA331" s="53"/>
      <c r="AB331" s="53"/>
      <c r="AC331" s="53"/>
      <c r="AD331" s="53"/>
      <c r="AE331" s="53"/>
      <c r="AF331" s="53"/>
      <c r="AG331" s="37" t="str">
        <f t="shared" si="22"/>
        <v>○</v>
      </c>
      <c r="AH331" s="37" t="str">
        <f t="shared" si="23"/>
        <v>○</v>
      </c>
      <c r="AI331" s="42">
        <f t="shared" si="17"/>
        <v>0</v>
      </c>
      <c r="AJ331" s="54"/>
    </row>
    <row r="332" spans="1:36" ht="27.75" customHeight="1">
      <c r="A332" s="37">
        <v>328</v>
      </c>
      <c r="B332" s="46" t="s">
        <v>572</v>
      </c>
      <c r="C332" s="46" t="s">
        <v>910</v>
      </c>
      <c r="D332" s="52"/>
      <c r="E332" s="55"/>
      <c r="F332" s="55"/>
      <c r="G332" s="55"/>
      <c r="H332" s="55"/>
      <c r="I332" s="55"/>
      <c r="J332" s="55"/>
      <c r="K332" s="55"/>
      <c r="L332" s="55"/>
      <c r="M332" s="55"/>
      <c r="N332" s="55"/>
      <c r="O332" s="55"/>
      <c r="P332" s="55"/>
      <c r="Q332" s="55"/>
      <c r="R332" s="55"/>
      <c r="S332" s="53"/>
      <c r="T332" s="53"/>
      <c r="U332" s="53"/>
      <c r="V332" s="53"/>
      <c r="W332" s="53"/>
      <c r="X332" s="53"/>
      <c r="Y332" s="53"/>
      <c r="Z332" s="53"/>
      <c r="AA332" s="53"/>
      <c r="AB332" s="53"/>
      <c r="AC332" s="53"/>
      <c r="AD332" s="53"/>
      <c r="AE332" s="53"/>
      <c r="AF332" s="53"/>
      <c r="AG332" s="37" t="str">
        <f t="shared" si="22"/>
        <v>○</v>
      </c>
      <c r="AH332" s="37" t="str">
        <f t="shared" si="23"/>
        <v>○</v>
      </c>
      <c r="AI332" s="42">
        <f t="shared" si="17"/>
        <v>0</v>
      </c>
      <c r="AJ332" s="54"/>
    </row>
    <row r="333" spans="1:36" ht="27.75" customHeight="1">
      <c r="A333" s="37">
        <v>329</v>
      </c>
      <c r="B333" s="46" t="s">
        <v>573</v>
      </c>
      <c r="C333" s="46" t="s">
        <v>911</v>
      </c>
      <c r="D333" s="16"/>
      <c r="E333" s="55"/>
      <c r="F333" s="55"/>
      <c r="G333" s="55"/>
      <c r="H333" s="55"/>
      <c r="I333" s="55"/>
      <c r="J333" s="55"/>
      <c r="K333" s="55"/>
      <c r="L333" s="55"/>
      <c r="M333" s="55"/>
      <c r="N333" s="55"/>
      <c r="O333" s="55"/>
      <c r="P333" s="55"/>
      <c r="Q333" s="55"/>
      <c r="R333" s="55"/>
      <c r="S333" s="38"/>
      <c r="T333" s="38"/>
      <c r="U333" s="38"/>
      <c r="V333" s="38"/>
      <c r="W333" s="38"/>
      <c r="X333" s="38"/>
      <c r="Y333" s="38"/>
      <c r="Z333" s="38"/>
      <c r="AA333" s="38"/>
      <c r="AB333" s="38"/>
      <c r="AC333" s="38"/>
      <c r="AD333" s="38"/>
      <c r="AE333" s="38"/>
      <c r="AF333" s="38"/>
      <c r="AG333" s="37" t="str">
        <f t="shared" si="22"/>
        <v>○</v>
      </c>
      <c r="AH333" s="37" t="str">
        <f t="shared" si="23"/>
        <v>○</v>
      </c>
      <c r="AI333" s="42">
        <f t="shared" si="17"/>
        <v>0</v>
      </c>
      <c r="AJ333" s="11"/>
    </row>
    <row r="334" spans="1:36" ht="27.75" customHeight="1">
      <c r="A334" s="37">
        <v>330</v>
      </c>
      <c r="B334" s="46" t="s">
        <v>574</v>
      </c>
      <c r="C334" s="46" t="s">
        <v>912</v>
      </c>
      <c r="D334" s="16"/>
      <c r="E334" s="55"/>
      <c r="F334" s="55"/>
      <c r="G334" s="55"/>
      <c r="H334" s="55"/>
      <c r="I334" s="55"/>
      <c r="J334" s="55"/>
      <c r="K334" s="55"/>
      <c r="L334" s="55"/>
      <c r="M334" s="55"/>
      <c r="N334" s="55"/>
      <c r="O334" s="55"/>
      <c r="P334" s="55"/>
      <c r="Q334" s="55"/>
      <c r="R334" s="55"/>
      <c r="S334" s="38"/>
      <c r="T334" s="38"/>
      <c r="U334" s="38"/>
      <c r="V334" s="38"/>
      <c r="W334" s="38"/>
      <c r="X334" s="38"/>
      <c r="Y334" s="38"/>
      <c r="Z334" s="38"/>
      <c r="AA334" s="38"/>
      <c r="AB334" s="38"/>
      <c r="AC334" s="38"/>
      <c r="AD334" s="38"/>
      <c r="AE334" s="38"/>
      <c r="AF334" s="38"/>
      <c r="AG334" s="37" t="str">
        <f t="shared" si="22"/>
        <v>○</v>
      </c>
      <c r="AH334" s="37" t="str">
        <f t="shared" si="23"/>
        <v>○</v>
      </c>
      <c r="AI334" s="42">
        <f t="shared" si="17"/>
        <v>0</v>
      </c>
      <c r="AJ334" s="11"/>
    </row>
    <row r="335" spans="1:36" ht="27.75" customHeight="1">
      <c r="A335" s="37">
        <v>331</v>
      </c>
      <c r="B335" s="46" t="s">
        <v>575</v>
      </c>
      <c r="C335" s="46" t="s">
        <v>913</v>
      </c>
      <c r="D335" s="16"/>
      <c r="E335" s="55"/>
      <c r="F335" s="55"/>
      <c r="G335" s="55"/>
      <c r="H335" s="55"/>
      <c r="I335" s="55"/>
      <c r="J335" s="55"/>
      <c r="K335" s="55"/>
      <c r="L335" s="55"/>
      <c r="M335" s="55"/>
      <c r="N335" s="55"/>
      <c r="O335" s="55"/>
      <c r="P335" s="55"/>
      <c r="Q335" s="55"/>
      <c r="R335" s="55"/>
      <c r="S335" s="38"/>
      <c r="T335" s="38"/>
      <c r="U335" s="38"/>
      <c r="V335" s="38"/>
      <c r="W335" s="38"/>
      <c r="X335" s="38"/>
      <c r="Y335" s="38"/>
      <c r="Z335" s="38"/>
      <c r="AA335" s="38"/>
      <c r="AB335" s="38"/>
      <c r="AC335" s="38"/>
      <c r="AD335" s="38"/>
      <c r="AE335" s="38"/>
      <c r="AF335" s="38"/>
      <c r="AG335" s="37" t="str">
        <f t="shared" si="22"/>
        <v>○</v>
      </c>
      <c r="AH335" s="37" t="str">
        <f t="shared" si="23"/>
        <v>○</v>
      </c>
      <c r="AI335" s="42">
        <f t="shared" si="17"/>
        <v>0</v>
      </c>
      <c r="AJ335" s="11"/>
    </row>
    <row r="336" spans="1:36" ht="27.75" customHeight="1">
      <c r="A336" s="37">
        <v>332</v>
      </c>
      <c r="B336" s="46" t="s">
        <v>576</v>
      </c>
      <c r="C336" s="46" t="s">
        <v>914</v>
      </c>
      <c r="D336" s="16"/>
      <c r="E336" s="55"/>
      <c r="F336" s="55"/>
      <c r="G336" s="55"/>
      <c r="H336" s="55"/>
      <c r="I336" s="55"/>
      <c r="J336" s="55"/>
      <c r="K336" s="55"/>
      <c r="L336" s="55"/>
      <c r="M336" s="55"/>
      <c r="N336" s="55"/>
      <c r="O336" s="55"/>
      <c r="P336" s="55"/>
      <c r="Q336" s="55"/>
      <c r="R336" s="55"/>
      <c r="S336" s="38"/>
      <c r="T336" s="38"/>
      <c r="U336" s="38"/>
      <c r="V336" s="38"/>
      <c r="W336" s="38"/>
      <c r="X336" s="38"/>
      <c r="Y336" s="38"/>
      <c r="Z336" s="38"/>
      <c r="AA336" s="38"/>
      <c r="AB336" s="38"/>
      <c r="AC336" s="38"/>
      <c r="AD336" s="38"/>
      <c r="AE336" s="38"/>
      <c r="AF336" s="38"/>
      <c r="AG336" s="37" t="str">
        <f t="shared" si="22"/>
        <v>○</v>
      </c>
      <c r="AH336" s="37" t="str">
        <f t="shared" si="23"/>
        <v>○</v>
      </c>
      <c r="AI336" s="42">
        <f t="shared" si="17"/>
        <v>0</v>
      </c>
      <c r="AJ336" s="11"/>
    </row>
    <row r="337" spans="1:36" ht="27.75" customHeight="1">
      <c r="A337" s="37">
        <v>333</v>
      </c>
      <c r="B337" s="46" t="s">
        <v>577</v>
      </c>
      <c r="C337" s="46" t="s">
        <v>915</v>
      </c>
      <c r="D337" s="16"/>
      <c r="E337" s="55"/>
      <c r="F337" s="55"/>
      <c r="G337" s="55"/>
      <c r="H337" s="55"/>
      <c r="I337" s="55"/>
      <c r="J337" s="55"/>
      <c r="K337" s="55"/>
      <c r="L337" s="55"/>
      <c r="M337" s="55"/>
      <c r="N337" s="55"/>
      <c r="O337" s="55"/>
      <c r="P337" s="55"/>
      <c r="Q337" s="55"/>
      <c r="R337" s="55"/>
      <c r="S337" s="38"/>
      <c r="T337" s="38"/>
      <c r="U337" s="38"/>
      <c r="V337" s="38"/>
      <c r="W337" s="38"/>
      <c r="X337" s="38"/>
      <c r="Y337" s="38"/>
      <c r="Z337" s="38"/>
      <c r="AA337" s="38"/>
      <c r="AB337" s="38"/>
      <c r="AC337" s="38"/>
      <c r="AD337" s="38"/>
      <c r="AE337" s="38"/>
      <c r="AF337" s="38"/>
      <c r="AG337" s="37" t="str">
        <f t="shared" si="22"/>
        <v>○</v>
      </c>
      <c r="AH337" s="37" t="str">
        <f t="shared" si="23"/>
        <v>○</v>
      </c>
      <c r="AI337" s="42">
        <f t="shared" si="17"/>
        <v>0</v>
      </c>
      <c r="AJ337" s="11"/>
    </row>
    <row r="338" spans="1:36" ht="27.75" customHeight="1">
      <c r="A338" s="37">
        <v>334</v>
      </c>
      <c r="B338" s="46" t="s">
        <v>578</v>
      </c>
      <c r="C338" s="46" t="s">
        <v>916</v>
      </c>
      <c r="D338" s="16"/>
      <c r="E338" s="55"/>
      <c r="F338" s="55"/>
      <c r="G338" s="55"/>
      <c r="H338" s="55"/>
      <c r="I338" s="55"/>
      <c r="J338" s="55"/>
      <c r="K338" s="55"/>
      <c r="L338" s="55"/>
      <c r="M338" s="55"/>
      <c r="N338" s="55"/>
      <c r="O338" s="55"/>
      <c r="P338" s="55"/>
      <c r="Q338" s="55"/>
      <c r="R338" s="55"/>
      <c r="S338" s="38"/>
      <c r="T338" s="38"/>
      <c r="U338" s="38"/>
      <c r="V338" s="38"/>
      <c r="W338" s="38"/>
      <c r="X338" s="38"/>
      <c r="Y338" s="38"/>
      <c r="Z338" s="38"/>
      <c r="AA338" s="38"/>
      <c r="AB338" s="38"/>
      <c r="AC338" s="38"/>
      <c r="AD338" s="38"/>
      <c r="AE338" s="38"/>
      <c r="AF338" s="38"/>
      <c r="AG338" s="37" t="str">
        <f t="shared" si="22"/>
        <v>○</v>
      </c>
      <c r="AH338" s="37" t="str">
        <f t="shared" si="23"/>
        <v>○</v>
      </c>
      <c r="AI338" s="42">
        <f t="shared" si="17"/>
        <v>0</v>
      </c>
      <c r="AJ338" s="11"/>
    </row>
    <row r="339" spans="1:36" ht="27.75" customHeight="1">
      <c r="A339" s="37">
        <v>335</v>
      </c>
      <c r="B339" s="46" t="s">
        <v>579</v>
      </c>
      <c r="C339" s="46" t="s">
        <v>917</v>
      </c>
      <c r="D339" s="16"/>
      <c r="E339" s="55"/>
      <c r="F339" s="55"/>
      <c r="G339" s="55"/>
      <c r="H339" s="55"/>
      <c r="I339" s="55"/>
      <c r="J339" s="55"/>
      <c r="K339" s="55"/>
      <c r="L339" s="55"/>
      <c r="M339" s="55"/>
      <c r="N339" s="55"/>
      <c r="O339" s="55"/>
      <c r="P339" s="55"/>
      <c r="Q339" s="55"/>
      <c r="R339" s="55"/>
      <c r="S339" s="38"/>
      <c r="T339" s="38"/>
      <c r="U339" s="38"/>
      <c r="V339" s="38"/>
      <c r="W339" s="38"/>
      <c r="X339" s="38"/>
      <c r="Y339" s="38"/>
      <c r="Z339" s="38"/>
      <c r="AA339" s="38"/>
      <c r="AB339" s="38"/>
      <c r="AC339" s="38"/>
      <c r="AD339" s="38"/>
      <c r="AE339" s="38"/>
      <c r="AF339" s="38"/>
      <c r="AG339" s="37" t="str">
        <f t="shared" si="22"/>
        <v>○</v>
      </c>
      <c r="AH339" s="37" t="str">
        <f t="shared" si="23"/>
        <v>○</v>
      </c>
      <c r="AI339" s="42">
        <f t="shared" si="17"/>
        <v>0</v>
      </c>
      <c r="AJ339" s="11"/>
    </row>
    <row r="340" spans="1:36" ht="27.75" customHeight="1">
      <c r="A340" s="37">
        <v>336</v>
      </c>
      <c r="B340" s="46" t="s">
        <v>580</v>
      </c>
      <c r="C340" s="46" t="s">
        <v>918</v>
      </c>
      <c r="D340" s="16"/>
      <c r="E340" s="55"/>
      <c r="F340" s="55"/>
      <c r="G340" s="55"/>
      <c r="H340" s="55"/>
      <c r="I340" s="55"/>
      <c r="J340" s="55"/>
      <c r="K340" s="55"/>
      <c r="L340" s="55"/>
      <c r="M340" s="55"/>
      <c r="N340" s="55"/>
      <c r="O340" s="55"/>
      <c r="P340" s="55"/>
      <c r="Q340" s="55"/>
      <c r="R340" s="55"/>
      <c r="S340" s="38"/>
      <c r="T340" s="38"/>
      <c r="U340" s="38"/>
      <c r="V340" s="38"/>
      <c r="W340" s="38"/>
      <c r="X340" s="38"/>
      <c r="Y340" s="38"/>
      <c r="Z340" s="38"/>
      <c r="AA340" s="38"/>
      <c r="AB340" s="38"/>
      <c r="AC340" s="38"/>
      <c r="AD340" s="38"/>
      <c r="AE340" s="38"/>
      <c r="AF340" s="38"/>
      <c r="AG340" s="37" t="str">
        <f t="shared" si="22"/>
        <v>○</v>
      </c>
      <c r="AH340" s="37" t="str">
        <f t="shared" si="23"/>
        <v>○</v>
      </c>
      <c r="AI340" s="42">
        <f t="shared" si="17"/>
        <v>0</v>
      </c>
      <c r="AJ340" s="11"/>
    </row>
    <row r="341" spans="1:36" ht="27.75" customHeight="1">
      <c r="A341" s="37">
        <v>337</v>
      </c>
      <c r="B341" s="46" t="s">
        <v>581</v>
      </c>
      <c r="C341" s="46" t="s">
        <v>919</v>
      </c>
      <c r="D341" s="16"/>
      <c r="E341" s="55"/>
      <c r="F341" s="55"/>
      <c r="G341" s="55"/>
      <c r="H341" s="55"/>
      <c r="I341" s="55"/>
      <c r="J341" s="55"/>
      <c r="K341" s="55"/>
      <c r="L341" s="55"/>
      <c r="M341" s="55"/>
      <c r="N341" s="55"/>
      <c r="O341" s="55"/>
      <c r="P341" s="55"/>
      <c r="Q341" s="55"/>
      <c r="R341" s="55"/>
      <c r="S341" s="38"/>
      <c r="T341" s="38"/>
      <c r="U341" s="38"/>
      <c r="V341" s="38"/>
      <c r="W341" s="38"/>
      <c r="X341" s="38"/>
      <c r="Y341" s="38"/>
      <c r="Z341" s="38"/>
      <c r="AA341" s="38"/>
      <c r="AB341" s="38"/>
      <c r="AC341" s="38"/>
      <c r="AD341" s="38"/>
      <c r="AE341" s="38"/>
      <c r="AF341" s="38"/>
      <c r="AG341" s="37" t="str">
        <f t="shared" si="22"/>
        <v>○</v>
      </c>
      <c r="AH341" s="37" t="str">
        <f t="shared" si="23"/>
        <v>○</v>
      </c>
      <c r="AI341" s="42">
        <f t="shared" ref="AI341:AI351" si="24">IF(AND(SUM(E341:R341)=0,SUM(S341:AF341)=0),0,(SUM(E341:R341)+SUM(S341:AF341))/2)</f>
        <v>0</v>
      </c>
      <c r="AJ341" s="11"/>
    </row>
    <row r="342" spans="1:36" ht="27.75" customHeight="1">
      <c r="A342" s="37">
        <v>338</v>
      </c>
      <c r="B342" s="46" t="s">
        <v>516</v>
      </c>
      <c r="C342" s="46" t="s">
        <v>854</v>
      </c>
      <c r="D342" s="16"/>
      <c r="E342" s="55"/>
      <c r="F342" s="55"/>
      <c r="G342" s="55"/>
      <c r="H342" s="55"/>
      <c r="I342" s="55"/>
      <c r="J342" s="55"/>
      <c r="K342" s="55"/>
      <c r="L342" s="55"/>
      <c r="M342" s="55"/>
      <c r="N342" s="55"/>
      <c r="O342" s="55"/>
      <c r="P342" s="55"/>
      <c r="Q342" s="55"/>
      <c r="R342" s="55"/>
      <c r="S342" s="38"/>
      <c r="T342" s="38"/>
      <c r="U342" s="38"/>
      <c r="V342" s="38"/>
      <c r="W342" s="38"/>
      <c r="X342" s="38"/>
      <c r="Y342" s="38"/>
      <c r="Z342" s="38"/>
      <c r="AA342" s="38"/>
      <c r="AB342" s="38"/>
      <c r="AC342" s="38"/>
      <c r="AD342" s="38"/>
      <c r="AE342" s="38"/>
      <c r="AF342" s="38"/>
      <c r="AG342" s="37" t="str">
        <f t="shared" si="22"/>
        <v>○</v>
      </c>
      <c r="AH342" s="37" t="str">
        <f t="shared" si="23"/>
        <v>○</v>
      </c>
      <c r="AI342" s="42">
        <f t="shared" si="24"/>
        <v>0</v>
      </c>
      <c r="AJ342" s="11"/>
    </row>
    <row r="343" spans="1:36" ht="27.75" customHeight="1">
      <c r="A343" s="37">
        <v>339</v>
      </c>
      <c r="B343" s="46" t="s">
        <v>582</v>
      </c>
      <c r="C343" s="48" t="s">
        <v>920</v>
      </c>
      <c r="D343" s="16"/>
      <c r="E343" s="55"/>
      <c r="F343" s="55"/>
      <c r="G343" s="55"/>
      <c r="H343" s="55"/>
      <c r="I343" s="55"/>
      <c r="J343" s="55"/>
      <c r="K343" s="55"/>
      <c r="L343" s="55"/>
      <c r="M343" s="55"/>
      <c r="N343" s="55"/>
      <c r="O343" s="55"/>
      <c r="P343" s="55"/>
      <c r="Q343" s="55"/>
      <c r="R343" s="55"/>
      <c r="S343" s="38"/>
      <c r="T343" s="38"/>
      <c r="U343" s="38"/>
      <c r="V343" s="38"/>
      <c r="W343" s="38"/>
      <c r="X343" s="38"/>
      <c r="Y343" s="38"/>
      <c r="Z343" s="38"/>
      <c r="AA343" s="38"/>
      <c r="AB343" s="38"/>
      <c r="AC343" s="38"/>
      <c r="AD343" s="38"/>
      <c r="AE343" s="38"/>
      <c r="AF343" s="38"/>
      <c r="AG343" s="37" t="str">
        <f t="shared" ref="AG343:AG351" si="25">IF(AND(B343="",E343="",S343=""),"",IF(SUMPRODUCT(((E343:R343&gt;=1)&lt;&gt;(S343:AF343&gt;=1))*1)=0,"○","✗"))</f>
        <v>○</v>
      </c>
      <c r="AH343" s="37" t="str">
        <f t="shared" ref="AH343:AH351" si="26">IF(AG343="","",IF(AG343="✗","✗",IF(SUMPRODUCT((E343:R343&lt;&gt;S343:AF343)*1)=0,"○","✗")))</f>
        <v>○</v>
      </c>
      <c r="AI343" s="42">
        <f t="shared" si="24"/>
        <v>0</v>
      </c>
      <c r="AJ343" s="11"/>
    </row>
    <row r="344" spans="1:36" ht="27.75" customHeight="1">
      <c r="A344" s="37">
        <v>340</v>
      </c>
      <c r="B344" s="46" t="s">
        <v>583</v>
      </c>
      <c r="C344" s="46" t="s">
        <v>921</v>
      </c>
      <c r="D344" s="16"/>
      <c r="E344" s="55"/>
      <c r="F344" s="55"/>
      <c r="G344" s="55"/>
      <c r="H344" s="55"/>
      <c r="I344" s="55"/>
      <c r="J344" s="55"/>
      <c r="K344" s="55"/>
      <c r="L344" s="55"/>
      <c r="M344" s="55"/>
      <c r="N344" s="55"/>
      <c r="O344" s="55"/>
      <c r="P344" s="55"/>
      <c r="Q344" s="55"/>
      <c r="R344" s="55"/>
      <c r="S344" s="38"/>
      <c r="T344" s="38"/>
      <c r="U344" s="38"/>
      <c r="V344" s="38"/>
      <c r="W344" s="38"/>
      <c r="X344" s="38"/>
      <c r="Y344" s="38"/>
      <c r="Z344" s="38"/>
      <c r="AA344" s="38"/>
      <c r="AB344" s="38"/>
      <c r="AC344" s="38"/>
      <c r="AD344" s="38"/>
      <c r="AE344" s="38"/>
      <c r="AF344" s="38"/>
      <c r="AG344" s="37" t="str">
        <f t="shared" si="25"/>
        <v>○</v>
      </c>
      <c r="AH344" s="37" t="str">
        <f t="shared" si="26"/>
        <v>○</v>
      </c>
      <c r="AI344" s="42">
        <f t="shared" si="24"/>
        <v>0</v>
      </c>
      <c r="AJ344" s="11"/>
    </row>
    <row r="345" spans="1:36" ht="27.75" customHeight="1">
      <c r="A345" s="37">
        <v>341</v>
      </c>
      <c r="B345" s="46" t="s">
        <v>584</v>
      </c>
      <c r="C345" s="46" t="s">
        <v>922</v>
      </c>
      <c r="D345" s="52"/>
      <c r="E345" s="55"/>
      <c r="F345" s="55"/>
      <c r="G345" s="55"/>
      <c r="H345" s="55"/>
      <c r="I345" s="55"/>
      <c r="J345" s="55"/>
      <c r="K345" s="55"/>
      <c r="L345" s="55"/>
      <c r="M345" s="55"/>
      <c r="N345" s="55"/>
      <c r="O345" s="55"/>
      <c r="P345" s="55"/>
      <c r="Q345" s="55"/>
      <c r="R345" s="55"/>
      <c r="S345" s="53"/>
      <c r="T345" s="53"/>
      <c r="U345" s="53"/>
      <c r="V345" s="53"/>
      <c r="W345" s="53"/>
      <c r="X345" s="53"/>
      <c r="Y345" s="53"/>
      <c r="Z345" s="53"/>
      <c r="AA345" s="53"/>
      <c r="AB345" s="53"/>
      <c r="AC345" s="53"/>
      <c r="AD345" s="53"/>
      <c r="AE345" s="53"/>
      <c r="AF345" s="53"/>
      <c r="AG345" s="37" t="str">
        <f t="shared" ref="AG345:AG348" si="27">IF(AND(B345="",E345="",S345=""),"",IF(SUMPRODUCT(((E345:R345&gt;=1)&lt;&gt;(S345:AF345&gt;=1))*1)=0,"○","✗"))</f>
        <v>○</v>
      </c>
      <c r="AH345" s="37" t="str">
        <f t="shared" ref="AH345:AH348" si="28">IF(AG345="","",IF(AG345="✗","✗",IF(SUMPRODUCT((E345:R345&lt;&gt;S345:AF345)*1)=0,"○","✗")))</f>
        <v>○</v>
      </c>
      <c r="AI345" s="42">
        <f t="shared" si="24"/>
        <v>0</v>
      </c>
      <c r="AJ345" s="54"/>
    </row>
    <row r="346" spans="1:36" ht="27.75" customHeight="1">
      <c r="A346" s="37">
        <v>342</v>
      </c>
      <c r="B346" s="46" t="s">
        <v>585</v>
      </c>
      <c r="C346" s="46" t="s">
        <v>923</v>
      </c>
      <c r="D346" s="52"/>
      <c r="E346" s="55"/>
      <c r="F346" s="55"/>
      <c r="G346" s="55"/>
      <c r="H346" s="55"/>
      <c r="I346" s="55"/>
      <c r="J346" s="55"/>
      <c r="K346" s="55"/>
      <c r="L346" s="55"/>
      <c r="M346" s="55"/>
      <c r="N346" s="55"/>
      <c r="O346" s="55"/>
      <c r="P346" s="55"/>
      <c r="Q346" s="55"/>
      <c r="R346" s="55"/>
      <c r="S346" s="53"/>
      <c r="T346" s="53"/>
      <c r="U346" s="53"/>
      <c r="V346" s="53"/>
      <c r="W346" s="53"/>
      <c r="X346" s="53"/>
      <c r="Y346" s="53"/>
      <c r="Z346" s="53"/>
      <c r="AA346" s="53"/>
      <c r="AB346" s="53"/>
      <c r="AC346" s="53"/>
      <c r="AD346" s="53"/>
      <c r="AE346" s="53"/>
      <c r="AF346" s="53"/>
      <c r="AG346" s="37" t="str">
        <f t="shared" si="27"/>
        <v>○</v>
      </c>
      <c r="AH346" s="37" t="str">
        <f t="shared" si="28"/>
        <v>○</v>
      </c>
      <c r="AI346" s="42">
        <f t="shared" si="24"/>
        <v>0</v>
      </c>
      <c r="AJ346" s="54"/>
    </row>
    <row r="347" spans="1:36" ht="27.75" customHeight="1">
      <c r="A347" s="37">
        <v>343</v>
      </c>
      <c r="B347" s="46" t="s">
        <v>586</v>
      </c>
      <c r="C347" s="46" t="s">
        <v>924</v>
      </c>
      <c r="D347" s="52"/>
      <c r="E347" s="55"/>
      <c r="F347" s="55"/>
      <c r="G347" s="55"/>
      <c r="H347" s="55"/>
      <c r="I347" s="55"/>
      <c r="J347" s="55"/>
      <c r="K347" s="55"/>
      <c r="L347" s="55"/>
      <c r="M347" s="55"/>
      <c r="N347" s="55"/>
      <c r="O347" s="55"/>
      <c r="P347" s="55"/>
      <c r="Q347" s="55"/>
      <c r="R347" s="55"/>
      <c r="S347" s="53"/>
      <c r="T347" s="53"/>
      <c r="U347" s="53"/>
      <c r="V347" s="53"/>
      <c r="W347" s="53"/>
      <c r="X347" s="53"/>
      <c r="Y347" s="53"/>
      <c r="Z347" s="53"/>
      <c r="AA347" s="53"/>
      <c r="AB347" s="53"/>
      <c r="AC347" s="53"/>
      <c r="AD347" s="53"/>
      <c r="AE347" s="53"/>
      <c r="AF347" s="53"/>
      <c r="AG347" s="37" t="str">
        <f t="shared" si="27"/>
        <v>○</v>
      </c>
      <c r="AH347" s="37" t="str">
        <f t="shared" si="28"/>
        <v>○</v>
      </c>
      <c r="AI347" s="42">
        <f t="shared" si="24"/>
        <v>0</v>
      </c>
      <c r="AJ347" s="54"/>
    </row>
    <row r="348" spans="1:36" ht="27.75" customHeight="1">
      <c r="A348" s="37">
        <v>344</v>
      </c>
      <c r="B348" s="46" t="s">
        <v>587</v>
      </c>
      <c r="C348" s="46" t="s">
        <v>925</v>
      </c>
      <c r="D348" s="52"/>
      <c r="E348" s="55"/>
      <c r="F348" s="55"/>
      <c r="G348" s="55"/>
      <c r="H348" s="55"/>
      <c r="I348" s="55"/>
      <c r="J348" s="55"/>
      <c r="K348" s="55"/>
      <c r="L348" s="55"/>
      <c r="M348" s="55"/>
      <c r="N348" s="55"/>
      <c r="O348" s="55"/>
      <c r="P348" s="55"/>
      <c r="Q348" s="55"/>
      <c r="R348" s="55"/>
      <c r="S348" s="53"/>
      <c r="T348" s="53"/>
      <c r="U348" s="53"/>
      <c r="V348" s="53"/>
      <c r="W348" s="53"/>
      <c r="X348" s="53"/>
      <c r="Y348" s="53"/>
      <c r="Z348" s="53"/>
      <c r="AA348" s="53"/>
      <c r="AB348" s="53"/>
      <c r="AC348" s="53"/>
      <c r="AD348" s="53"/>
      <c r="AE348" s="53"/>
      <c r="AF348" s="53"/>
      <c r="AG348" s="37" t="str">
        <f t="shared" si="27"/>
        <v>○</v>
      </c>
      <c r="AH348" s="37" t="str">
        <f t="shared" si="28"/>
        <v>○</v>
      </c>
      <c r="AI348" s="42">
        <f t="shared" si="24"/>
        <v>0</v>
      </c>
      <c r="AJ348" s="54"/>
    </row>
    <row r="349" spans="1:36" ht="27.75" customHeight="1">
      <c r="A349" s="37">
        <v>345</v>
      </c>
      <c r="B349" s="46" t="s">
        <v>588</v>
      </c>
      <c r="C349" s="46" t="s">
        <v>926</v>
      </c>
      <c r="D349" s="16"/>
      <c r="E349" s="55"/>
      <c r="F349" s="55"/>
      <c r="G349" s="55"/>
      <c r="H349" s="55"/>
      <c r="I349" s="55"/>
      <c r="J349" s="55"/>
      <c r="K349" s="55"/>
      <c r="L349" s="55"/>
      <c r="M349" s="55"/>
      <c r="N349" s="55"/>
      <c r="O349" s="55"/>
      <c r="P349" s="55"/>
      <c r="Q349" s="55"/>
      <c r="R349" s="55"/>
      <c r="S349" s="38"/>
      <c r="T349" s="38"/>
      <c r="U349" s="38"/>
      <c r="V349" s="38"/>
      <c r="W349" s="38"/>
      <c r="X349" s="38"/>
      <c r="Y349" s="38"/>
      <c r="Z349" s="38"/>
      <c r="AA349" s="38"/>
      <c r="AB349" s="38"/>
      <c r="AC349" s="38"/>
      <c r="AD349" s="38"/>
      <c r="AE349" s="38"/>
      <c r="AF349" s="38"/>
      <c r="AG349" s="37" t="str">
        <f t="shared" si="25"/>
        <v>○</v>
      </c>
      <c r="AH349" s="37" t="str">
        <f t="shared" si="26"/>
        <v>○</v>
      </c>
      <c r="AI349" s="42">
        <f t="shared" si="24"/>
        <v>0</v>
      </c>
      <c r="AJ349" s="11"/>
    </row>
    <row r="350" spans="1:36" ht="27.75" customHeight="1">
      <c r="A350" s="37">
        <v>346</v>
      </c>
      <c r="B350" s="46" t="s">
        <v>589</v>
      </c>
      <c r="C350" s="46" t="s">
        <v>927</v>
      </c>
      <c r="D350" s="16"/>
      <c r="E350" s="55"/>
      <c r="F350" s="55"/>
      <c r="G350" s="55"/>
      <c r="H350" s="55"/>
      <c r="I350" s="55"/>
      <c r="J350" s="55"/>
      <c r="K350" s="55"/>
      <c r="L350" s="55"/>
      <c r="M350" s="55"/>
      <c r="N350" s="55"/>
      <c r="O350" s="55"/>
      <c r="P350" s="55"/>
      <c r="Q350" s="55"/>
      <c r="R350" s="55"/>
      <c r="S350" s="38"/>
      <c r="T350" s="38"/>
      <c r="U350" s="38"/>
      <c r="V350" s="38"/>
      <c r="W350" s="38"/>
      <c r="X350" s="38"/>
      <c r="Y350" s="38"/>
      <c r="Z350" s="38"/>
      <c r="AA350" s="38"/>
      <c r="AB350" s="38"/>
      <c r="AC350" s="38"/>
      <c r="AD350" s="38"/>
      <c r="AE350" s="38"/>
      <c r="AF350" s="38"/>
      <c r="AG350" s="37" t="str">
        <f t="shared" si="25"/>
        <v>○</v>
      </c>
      <c r="AH350" s="37" t="str">
        <f t="shared" si="26"/>
        <v>○</v>
      </c>
      <c r="AI350" s="42">
        <f t="shared" si="24"/>
        <v>0</v>
      </c>
      <c r="AJ350" s="11"/>
    </row>
    <row r="351" spans="1:36" ht="27.75" customHeight="1">
      <c r="A351" s="37">
        <v>347</v>
      </c>
      <c r="B351" s="46" t="s">
        <v>338</v>
      </c>
      <c r="C351" s="45"/>
      <c r="D351" s="16"/>
      <c r="E351" s="55"/>
      <c r="F351" s="55"/>
      <c r="G351" s="55"/>
      <c r="H351" s="55"/>
      <c r="I351" s="55"/>
      <c r="J351" s="55"/>
      <c r="K351" s="55"/>
      <c r="L351" s="55"/>
      <c r="M351" s="55"/>
      <c r="N351" s="55"/>
      <c r="O351" s="55"/>
      <c r="P351" s="55"/>
      <c r="Q351" s="55"/>
      <c r="R351" s="55"/>
      <c r="S351" s="38"/>
      <c r="T351" s="38"/>
      <c r="U351" s="38"/>
      <c r="V351" s="38"/>
      <c r="W351" s="38"/>
      <c r="X351" s="38"/>
      <c r="Y351" s="38"/>
      <c r="Z351" s="38"/>
      <c r="AA351" s="38"/>
      <c r="AB351" s="38"/>
      <c r="AC351" s="38"/>
      <c r="AD351" s="38"/>
      <c r="AE351" s="38"/>
      <c r="AF351" s="38"/>
      <c r="AG351" s="37" t="str">
        <f t="shared" si="25"/>
        <v>○</v>
      </c>
      <c r="AH351" s="37" t="str">
        <f t="shared" si="26"/>
        <v>○</v>
      </c>
      <c r="AI351" s="42">
        <f t="shared" si="24"/>
        <v>0</v>
      </c>
      <c r="AJ351" s="11"/>
    </row>
    <row r="353" spans="1:36" ht="15" customHeight="1">
      <c r="A353" s="65" t="s">
        <v>243</v>
      </c>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row>
    <row r="354" spans="1:36" ht="43.5" customHeight="1">
      <c r="A354" s="10" t="s">
        <v>231</v>
      </c>
      <c r="B354" s="24" t="s">
        <v>244</v>
      </c>
      <c r="C354" s="24">
        <f>COUNTIF(AG5:AG351,"○")+COUNTIF(AG5:AG351,"✗")</f>
        <v>347</v>
      </c>
      <c r="D354" s="39" t="s">
        <v>233</v>
      </c>
      <c r="E354" s="24"/>
      <c r="F354" s="24"/>
      <c r="G354" s="24"/>
      <c r="H354" s="24"/>
      <c r="I354" s="24"/>
      <c r="J354" s="24"/>
      <c r="K354" s="24"/>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c r="AI354" s="24"/>
      <c r="AJ354" s="24"/>
    </row>
    <row r="355" spans="1:36" ht="54.75" customHeight="1">
      <c r="A355" s="10" t="s">
        <v>234</v>
      </c>
      <c r="B355" s="24" t="s">
        <v>235</v>
      </c>
      <c r="C355" s="25">
        <f>IFERROR(COUNTIF(AG5:AG351,"○")/(COUNTIF(AG5:AG351,"○")+COUNTIF(AG5:AG351,"✗"))*100,0)</f>
        <v>100</v>
      </c>
      <c r="D355" s="24" t="str">
        <f>IF(C355="","",IF(C355&gt;=70,"✅ 1차 게이트 통과",IF(C355&gt;=50,"⚠ 데이터 신뢰도 부족","❌ 데이터 무효")))</f>
        <v>✅ 1차 게이트 통과</v>
      </c>
      <c r="E355" s="24"/>
      <c r="F355" s="24"/>
      <c r="G355" s="24"/>
      <c r="H355" s="24"/>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J355" s="24"/>
    </row>
    <row r="356" spans="1:36" ht="40.5" customHeight="1">
      <c r="A356" s="10" t="s">
        <v>236</v>
      </c>
      <c r="B356" s="24" t="s">
        <v>237</v>
      </c>
      <c r="C356" s="25">
        <f>IFERROR(COUNTIF(AH5:AH351,"○")/(COUNTIF(AH5:AH351,"○")+COUNTIF(AH5:AH351,"✗"))*100,0)</f>
        <v>100</v>
      </c>
      <c r="D356" s="24" t="str">
        <f>IF(C356="","",IF(C356&gt;=60,"✅ 충분","⚠ 강도 합의 부족"))</f>
        <v>✅ 충분</v>
      </c>
      <c r="E356" s="24"/>
      <c r="F356" s="24"/>
      <c r="G356" s="24"/>
      <c r="H356" s="24"/>
      <c r="I356" s="24"/>
      <c r="J356" s="24"/>
      <c r="K356" s="2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J356" s="24"/>
    </row>
    <row r="357" spans="1:36" ht="43.5" customHeight="1">
      <c r="A357" s="10" t="s">
        <v>245</v>
      </c>
      <c r="B357" s="39" t="s">
        <v>233</v>
      </c>
      <c r="C357" s="24">
        <f>COUNTIF(AG5:AG351,"✗")</f>
        <v>0</v>
      </c>
      <c r="D357" s="39" t="s">
        <v>246</v>
      </c>
      <c r="E357" s="24"/>
      <c r="F357" s="24"/>
      <c r="G357" s="24"/>
      <c r="H357" s="24"/>
      <c r="I357" s="24"/>
      <c r="J357" s="24"/>
      <c r="K357" s="2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J357" s="24"/>
    </row>
  </sheetData>
  <mergeCells count="11">
    <mergeCell ref="S3:AF3"/>
    <mergeCell ref="E3:R3"/>
    <mergeCell ref="A353:AJ353"/>
    <mergeCell ref="C3:C4"/>
    <mergeCell ref="A3:A4"/>
    <mergeCell ref="AG3:AG4"/>
    <mergeCell ref="B3:B4"/>
    <mergeCell ref="AJ3:AJ4"/>
    <mergeCell ref="AI3:AI4"/>
    <mergeCell ref="AH3:AH4"/>
    <mergeCell ref="D3:D4"/>
  </mergeCells>
  <phoneticPr fontId="21" type="noConversion"/>
  <conditionalFormatting sqref="E5:AF351">
    <cfRule type="cellIs" dxfId="4" priority="1" operator="equal">
      <formula>3</formula>
    </cfRule>
    <cfRule type="cellIs" dxfId="3" priority="2" operator="equal">
      <formula>2</formula>
    </cfRule>
    <cfRule type="cellIs" dxfId="2" priority="3" operator="equal">
      <formula>1</formula>
    </cfRule>
  </conditionalFormatting>
  <conditionalFormatting sqref="AG5:AH351">
    <cfRule type="cellIs" dxfId="1" priority="11" operator="equal">
      <formula>"○"</formula>
    </cfRule>
    <cfRule type="cellIs" dxfId="0" priority="12" operator="equal">
      <formula>"✗"</formula>
    </cfRule>
  </conditionalFormatting>
  <dataValidations count="1">
    <dataValidation type="list" allowBlank="1" sqref="E5:AF351" xr:uid="{00000000-0002-0000-0800-000000000000}">
      <formula1>"0,1,2,3"</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① 안내</vt:lpstr>
      <vt:lpstr>② 카테고리 정의</vt:lpstr>
      <vt:lpstr>③ 평가 입력</vt:lpstr>
      <vt:lpstr>④ 정성 평가</vt:lpstr>
      <vt:lpstr>⑤ 결과 대시보드</vt:lpstr>
      <vt:lpstr>⑥ 버전 비교</vt:lpstr>
      <vt:lpstr>⑦ 기타 사례 누적</vt:lpstr>
      <vt:lpstr>⑧ 평가자 일치율</vt:lpstr>
      <vt:lpstr>⑨ 본 평가 비교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김드보라</cp:lastModifiedBy>
  <cp:revision>0</cp:revision>
  <dcterms:created xsi:type="dcterms:W3CDTF">2026-05-28T09:45:42Z</dcterms:created>
  <dcterms:modified xsi:type="dcterms:W3CDTF">2026-06-18T09:42:18Z</dcterms:modified>
  <dc:language>en-US</dc:language>
</cp:coreProperties>
</file>