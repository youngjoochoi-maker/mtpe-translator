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-063/Downloads/"/>
    </mc:Choice>
  </mc:AlternateContent>
  <xr:revisionPtr revIDLastSave="0" documentId="13_ncr:1_{1B4C775E-69FD-BE40-A004-89DE8FCFCCE1}" xr6:coauthVersionLast="47" xr6:coauthVersionMax="47" xr10:uidLastSave="{00000000-0000-0000-0000-000000000000}"/>
  <bookViews>
    <workbookView xWindow="0" yWindow="660" windowWidth="28020" windowHeight="20500" tabRatio="500" activeTab="2" xr2:uid="{00000000-000D-0000-FFFF-FFFF00000000}"/>
  </bookViews>
  <sheets>
    <sheet name="① 안내" sheetId="1" r:id="rId1"/>
    <sheet name="② 카테고리 정의" sheetId="2" r:id="rId2"/>
    <sheet name="③ 평가 입력" sheetId="3" r:id="rId3"/>
    <sheet name="④ 정성 평가" sheetId="4" r:id="rId4"/>
    <sheet name="⑤ 결과 대시보드" sheetId="5" r:id="rId5"/>
    <sheet name="⑥ 버전 비교" sheetId="6" r:id="rId6"/>
    <sheet name="⑦ 기타 사례 누적" sheetId="7" r:id="rId7"/>
    <sheet name="⑧ 평가자 일치율" sheetId="8" r:id="rId8"/>
    <sheet name="⑨ 본 평가 비교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6" i="8" l="1"/>
  <c r="K66" i="8" s="1"/>
  <c r="J65" i="8"/>
  <c r="K65" i="8" s="1"/>
  <c r="J64" i="8"/>
  <c r="K64" i="8" s="1"/>
  <c r="J63" i="8"/>
  <c r="K63" i="8" s="1"/>
  <c r="J62" i="8"/>
  <c r="K62" i="8" s="1"/>
  <c r="J61" i="8"/>
  <c r="K61" i="8" s="1"/>
  <c r="J60" i="8"/>
  <c r="K60" i="8" s="1"/>
  <c r="J59" i="8"/>
  <c r="K59" i="8" s="1"/>
  <c r="J58" i="8"/>
  <c r="K58" i="8" s="1"/>
  <c r="J57" i="8"/>
  <c r="K57" i="8" s="1"/>
  <c r="J56" i="8"/>
  <c r="K56" i="8" s="1"/>
  <c r="J55" i="8"/>
  <c r="K55" i="8" s="1"/>
  <c r="J54" i="8"/>
  <c r="K54" i="8" s="1"/>
  <c r="J53" i="8"/>
  <c r="K53" i="8" s="1"/>
  <c r="J52" i="8"/>
  <c r="K52" i="8" s="1"/>
  <c r="J51" i="8"/>
  <c r="K51" i="8" s="1"/>
  <c r="J50" i="8"/>
  <c r="K50" i="8" s="1"/>
  <c r="J49" i="8"/>
  <c r="K49" i="8" s="1"/>
  <c r="J48" i="8"/>
  <c r="K48" i="8" s="1"/>
  <c r="J47" i="8"/>
  <c r="K47" i="8" s="1"/>
  <c r="J46" i="8"/>
  <c r="K46" i="8" s="1"/>
  <c r="S201" i="3" l="1"/>
  <c r="W201" i="3" s="1"/>
  <c r="T201" i="3"/>
  <c r="U201" i="3"/>
  <c r="V201" i="3"/>
  <c r="X201" i="3"/>
  <c r="S202" i="3"/>
  <c r="T202" i="3"/>
  <c r="U202" i="3"/>
  <c r="V202" i="3"/>
  <c r="X202" i="3"/>
  <c r="S203" i="3"/>
  <c r="T203" i="3"/>
  <c r="U203" i="3"/>
  <c r="V203" i="3"/>
  <c r="X203" i="3"/>
  <c r="D237" i="9"/>
  <c r="C237" i="9"/>
  <c r="F237" i="9" s="1"/>
  <c r="D236" i="9"/>
  <c r="C236" i="9"/>
  <c r="F236" i="9" s="1"/>
  <c r="D235" i="9"/>
  <c r="C235" i="9"/>
  <c r="F235" i="9" s="1"/>
  <c r="D234" i="9"/>
  <c r="C234" i="9"/>
  <c r="F234" i="9" s="1"/>
  <c r="D233" i="9"/>
  <c r="C233" i="9"/>
  <c r="F233" i="9" s="1"/>
  <c r="D232" i="9"/>
  <c r="C232" i="9"/>
  <c r="F232" i="9" s="1"/>
  <c r="D231" i="9"/>
  <c r="C231" i="9"/>
  <c r="F231" i="9" s="1"/>
  <c r="D230" i="9"/>
  <c r="C230" i="9"/>
  <c r="F230" i="9" s="1"/>
  <c r="D229" i="9"/>
  <c r="C229" i="9"/>
  <c r="F229" i="9" s="1"/>
  <c r="D228" i="9"/>
  <c r="C228" i="9"/>
  <c r="F228" i="9" s="1"/>
  <c r="D227" i="9"/>
  <c r="C227" i="9"/>
  <c r="F227" i="9" s="1"/>
  <c r="D226" i="9"/>
  <c r="C226" i="9"/>
  <c r="F226" i="9" s="1"/>
  <c r="D225" i="9"/>
  <c r="C225" i="9"/>
  <c r="F225" i="9" s="1"/>
  <c r="AG213" i="9"/>
  <c r="AE213" i="9"/>
  <c r="AG212" i="9"/>
  <c r="AE212" i="9"/>
  <c r="AG211" i="9"/>
  <c r="AE211" i="9"/>
  <c r="AF211" i="9" s="1"/>
  <c r="AG210" i="9"/>
  <c r="AE210" i="9"/>
  <c r="AF210" i="9" s="1"/>
  <c r="AG209" i="9"/>
  <c r="AE209" i="9"/>
  <c r="AF209" i="9" s="1"/>
  <c r="AG208" i="9"/>
  <c r="AE208" i="9"/>
  <c r="AF208" i="9" s="1"/>
  <c r="AG207" i="9"/>
  <c r="AE207" i="9"/>
  <c r="AF207" i="9" s="1"/>
  <c r="AG206" i="9"/>
  <c r="AE206" i="9"/>
  <c r="AG205" i="9"/>
  <c r="AE205" i="9"/>
  <c r="AG204" i="9"/>
  <c r="AE204" i="9"/>
  <c r="AG203" i="9"/>
  <c r="AE203" i="9"/>
  <c r="AG202" i="9"/>
  <c r="AE202" i="9"/>
  <c r="AF202" i="9" s="1"/>
  <c r="AG201" i="9"/>
  <c r="AE201" i="9"/>
  <c r="AF201" i="9" s="1"/>
  <c r="AG200" i="9"/>
  <c r="AE200" i="9"/>
  <c r="AF200" i="9" s="1"/>
  <c r="AG199" i="9"/>
  <c r="AE199" i="9"/>
  <c r="AF199" i="9" s="1"/>
  <c r="AG198" i="9"/>
  <c r="AE198" i="9"/>
  <c r="AG197" i="9"/>
  <c r="AE197" i="9"/>
  <c r="AG196" i="9"/>
  <c r="AE196" i="9"/>
  <c r="AG195" i="9"/>
  <c r="AE195" i="9"/>
  <c r="AG194" i="9"/>
  <c r="AE194" i="9"/>
  <c r="AF194" i="9" s="1"/>
  <c r="AG193" i="9"/>
  <c r="AE193" i="9"/>
  <c r="AF193" i="9" s="1"/>
  <c r="AG192" i="9"/>
  <c r="AE192" i="9"/>
  <c r="AF192" i="9" s="1"/>
  <c r="AG191" i="9"/>
  <c r="AE191" i="9"/>
  <c r="AF191" i="9" s="1"/>
  <c r="AG190" i="9"/>
  <c r="AE190" i="9"/>
  <c r="AG189" i="9"/>
  <c r="AE189" i="9"/>
  <c r="AG188" i="9"/>
  <c r="AE188" i="9"/>
  <c r="AG187" i="9"/>
  <c r="AE187" i="9"/>
  <c r="AG186" i="9"/>
  <c r="AE186" i="9"/>
  <c r="AF186" i="9" s="1"/>
  <c r="AG185" i="9"/>
  <c r="AE185" i="9"/>
  <c r="AF185" i="9" s="1"/>
  <c r="AG184" i="9"/>
  <c r="AE184" i="9"/>
  <c r="AF184" i="9" s="1"/>
  <c r="AG183" i="9"/>
  <c r="AE183" i="9"/>
  <c r="AF183" i="9" s="1"/>
  <c r="AG182" i="9"/>
  <c r="AE182" i="9"/>
  <c r="AG181" i="9"/>
  <c r="AE181" i="9"/>
  <c r="AG180" i="9"/>
  <c r="AE180" i="9"/>
  <c r="AG179" i="9"/>
  <c r="AE179" i="9"/>
  <c r="AG178" i="9"/>
  <c r="AE178" i="9"/>
  <c r="AF178" i="9" s="1"/>
  <c r="AG177" i="9"/>
  <c r="AE177" i="9"/>
  <c r="AF177" i="9" s="1"/>
  <c r="AG176" i="9"/>
  <c r="AE176" i="9"/>
  <c r="AF176" i="9" s="1"/>
  <c r="AG175" i="9"/>
  <c r="AE175" i="9"/>
  <c r="AF175" i="9" s="1"/>
  <c r="AG174" i="9"/>
  <c r="AE174" i="9"/>
  <c r="AG173" i="9"/>
  <c r="AE173" i="9"/>
  <c r="AG172" i="9"/>
  <c r="AE172" i="9"/>
  <c r="AG171" i="9"/>
  <c r="AE171" i="9"/>
  <c r="AG170" i="9"/>
  <c r="AE170" i="9"/>
  <c r="AF170" i="9" s="1"/>
  <c r="AG169" i="9"/>
  <c r="AE169" i="9"/>
  <c r="AF169" i="9" s="1"/>
  <c r="AG168" i="9"/>
  <c r="AE168" i="9"/>
  <c r="AF168" i="9" s="1"/>
  <c r="AG167" i="9"/>
  <c r="AE167" i="9"/>
  <c r="AF167" i="9" s="1"/>
  <c r="AG166" i="9"/>
  <c r="AE166" i="9"/>
  <c r="AG165" i="9"/>
  <c r="AE165" i="9"/>
  <c r="AG164" i="9"/>
  <c r="AE164" i="9"/>
  <c r="AG163" i="9"/>
  <c r="AE163" i="9"/>
  <c r="AG162" i="9"/>
  <c r="AE162" i="9"/>
  <c r="AF162" i="9" s="1"/>
  <c r="AG161" i="9"/>
  <c r="AE161" i="9"/>
  <c r="AF161" i="9" s="1"/>
  <c r="AG160" i="9"/>
  <c r="AE160" i="9"/>
  <c r="AF160" i="9" s="1"/>
  <c r="AG159" i="9"/>
  <c r="AE159" i="9"/>
  <c r="AF159" i="9" s="1"/>
  <c r="AG158" i="9"/>
  <c r="AE158" i="9"/>
  <c r="AG157" i="9"/>
  <c r="AE157" i="9"/>
  <c r="AG156" i="9"/>
  <c r="AE156" i="9"/>
  <c r="AG155" i="9"/>
  <c r="AE155" i="9"/>
  <c r="AG154" i="9"/>
  <c r="AE154" i="9"/>
  <c r="AF154" i="9" s="1"/>
  <c r="AG153" i="9"/>
  <c r="AE153" i="9"/>
  <c r="AF153" i="9" s="1"/>
  <c r="AG152" i="9"/>
  <c r="AE152" i="9"/>
  <c r="AF152" i="9" s="1"/>
  <c r="AG151" i="9"/>
  <c r="AE151" i="9"/>
  <c r="AF151" i="9" s="1"/>
  <c r="AG150" i="9"/>
  <c r="AE150" i="9"/>
  <c r="AG149" i="9"/>
  <c r="AE149" i="9"/>
  <c r="AG148" i="9"/>
  <c r="AE148" i="9"/>
  <c r="AG147" i="9"/>
  <c r="AE147" i="9"/>
  <c r="AG146" i="9"/>
  <c r="AE146" i="9"/>
  <c r="AF146" i="9" s="1"/>
  <c r="AG145" i="9"/>
  <c r="AE145" i="9"/>
  <c r="AF145" i="9" s="1"/>
  <c r="AG144" i="9"/>
  <c r="AE144" i="9"/>
  <c r="AF144" i="9" s="1"/>
  <c r="AG143" i="9"/>
  <c r="AE143" i="9"/>
  <c r="AF143" i="9" s="1"/>
  <c r="AG142" i="9"/>
  <c r="AE142" i="9"/>
  <c r="AG141" i="9"/>
  <c r="AE141" i="9"/>
  <c r="AG140" i="9"/>
  <c r="AE140" i="9"/>
  <c r="AG139" i="9"/>
  <c r="AE139" i="9"/>
  <c r="AG138" i="9"/>
  <c r="AE138" i="9"/>
  <c r="AF138" i="9" s="1"/>
  <c r="AG137" i="9"/>
  <c r="AE137" i="9"/>
  <c r="AF137" i="9" s="1"/>
  <c r="AG136" i="9"/>
  <c r="AE136" i="9"/>
  <c r="AF136" i="9" s="1"/>
  <c r="AG135" i="9"/>
  <c r="AE135" i="9"/>
  <c r="AF135" i="9" s="1"/>
  <c r="AG134" i="9"/>
  <c r="AE134" i="9"/>
  <c r="AG133" i="9"/>
  <c r="AE133" i="9"/>
  <c r="AG132" i="9"/>
  <c r="AE132" i="9"/>
  <c r="AG131" i="9"/>
  <c r="AE131" i="9"/>
  <c r="AG130" i="9"/>
  <c r="AE130" i="9"/>
  <c r="AF130" i="9" s="1"/>
  <c r="AG129" i="9"/>
  <c r="AE129" i="9"/>
  <c r="AF129" i="9" s="1"/>
  <c r="AG128" i="9"/>
  <c r="AE128" i="9"/>
  <c r="AF128" i="9" s="1"/>
  <c r="AG127" i="9"/>
  <c r="AE127" i="9"/>
  <c r="AF127" i="9" s="1"/>
  <c r="AG126" i="9"/>
  <c r="AE126" i="9"/>
  <c r="AG125" i="9"/>
  <c r="AE125" i="9"/>
  <c r="AG124" i="9"/>
  <c r="AE124" i="9"/>
  <c r="AG123" i="9"/>
  <c r="AE123" i="9"/>
  <c r="AG122" i="9"/>
  <c r="AE122" i="9"/>
  <c r="AF122" i="9" s="1"/>
  <c r="AG121" i="9"/>
  <c r="AE121" i="9"/>
  <c r="AF121" i="9" s="1"/>
  <c r="AG120" i="9"/>
  <c r="AE120" i="9"/>
  <c r="AF120" i="9" s="1"/>
  <c r="AG119" i="9"/>
  <c r="AE119" i="9"/>
  <c r="AF119" i="9" s="1"/>
  <c r="AG118" i="9"/>
  <c r="AE118" i="9"/>
  <c r="AG117" i="9"/>
  <c r="AE117" i="9"/>
  <c r="AG116" i="9"/>
  <c r="AE116" i="9"/>
  <c r="AG115" i="9"/>
  <c r="AE115" i="9"/>
  <c r="AG114" i="9"/>
  <c r="AE114" i="9"/>
  <c r="AF114" i="9" s="1"/>
  <c r="AG113" i="9"/>
  <c r="AE113" i="9"/>
  <c r="AF113" i="9" s="1"/>
  <c r="AG112" i="9"/>
  <c r="AE112" i="9"/>
  <c r="AF112" i="9" s="1"/>
  <c r="AG111" i="9"/>
  <c r="AE111" i="9"/>
  <c r="AF111" i="9" s="1"/>
  <c r="AG110" i="9"/>
  <c r="AE110" i="9"/>
  <c r="AG109" i="9"/>
  <c r="AE109" i="9"/>
  <c r="AG108" i="9"/>
  <c r="AE108" i="9"/>
  <c r="AG107" i="9"/>
  <c r="AE107" i="9"/>
  <c r="AG106" i="9"/>
  <c r="AE106" i="9"/>
  <c r="AF106" i="9" s="1"/>
  <c r="AG105" i="9"/>
  <c r="AE105" i="9"/>
  <c r="AF105" i="9" s="1"/>
  <c r="AG104" i="9"/>
  <c r="AE104" i="9"/>
  <c r="AF104" i="9" s="1"/>
  <c r="AG103" i="9"/>
  <c r="AE103" i="9"/>
  <c r="AF103" i="9" s="1"/>
  <c r="AG102" i="9"/>
  <c r="AE102" i="9"/>
  <c r="AG101" i="9"/>
  <c r="AE101" i="9"/>
  <c r="AG100" i="9"/>
  <c r="AE100" i="9"/>
  <c r="AG99" i="9"/>
  <c r="AE99" i="9"/>
  <c r="AG98" i="9"/>
  <c r="AE98" i="9"/>
  <c r="AF98" i="9" s="1"/>
  <c r="AG97" i="9"/>
  <c r="AE97" i="9"/>
  <c r="AF97" i="9" s="1"/>
  <c r="AG96" i="9"/>
  <c r="AE96" i="9"/>
  <c r="AF96" i="9" s="1"/>
  <c r="AG95" i="9"/>
  <c r="AE95" i="9"/>
  <c r="AF95" i="9" s="1"/>
  <c r="AG94" i="9"/>
  <c r="AE94" i="9"/>
  <c r="AG93" i="9"/>
  <c r="AE93" i="9"/>
  <c r="AG92" i="9"/>
  <c r="AE92" i="9"/>
  <c r="AG91" i="9"/>
  <c r="AE91" i="9"/>
  <c r="AG90" i="9"/>
  <c r="AE90" i="9"/>
  <c r="AF90" i="9" s="1"/>
  <c r="AG89" i="9"/>
  <c r="AE89" i="9"/>
  <c r="AF89" i="9" s="1"/>
  <c r="AG88" i="9"/>
  <c r="AE88" i="9"/>
  <c r="AF88" i="9" s="1"/>
  <c r="AG87" i="9"/>
  <c r="AE87" i="9"/>
  <c r="AF87" i="9" s="1"/>
  <c r="AG86" i="9"/>
  <c r="AE86" i="9"/>
  <c r="AG85" i="9"/>
  <c r="AE85" i="9"/>
  <c r="AG84" i="9"/>
  <c r="AE84" i="9"/>
  <c r="AG83" i="9"/>
  <c r="AE83" i="9"/>
  <c r="AG82" i="9"/>
  <c r="AE82" i="9"/>
  <c r="AF82" i="9" s="1"/>
  <c r="AG81" i="9"/>
  <c r="AE81" i="9"/>
  <c r="AF81" i="9" s="1"/>
  <c r="AG80" i="9"/>
  <c r="AE80" i="9"/>
  <c r="AF80" i="9" s="1"/>
  <c r="AG79" i="9"/>
  <c r="AE79" i="9"/>
  <c r="AF79" i="9" s="1"/>
  <c r="AG78" i="9"/>
  <c r="AE78" i="9"/>
  <c r="AG77" i="9"/>
  <c r="AE77" i="9"/>
  <c r="AG76" i="9"/>
  <c r="AE76" i="9"/>
  <c r="AG75" i="9"/>
  <c r="AE75" i="9"/>
  <c r="AG74" i="9"/>
  <c r="AE74" i="9"/>
  <c r="AF74" i="9" s="1"/>
  <c r="AG73" i="9"/>
  <c r="AE73" i="9"/>
  <c r="AF73" i="9" s="1"/>
  <c r="AG72" i="9"/>
  <c r="AE72" i="9"/>
  <c r="AF72" i="9" s="1"/>
  <c r="AG71" i="9"/>
  <c r="AE71" i="9"/>
  <c r="AF71" i="9" s="1"/>
  <c r="AG70" i="9"/>
  <c r="AE70" i="9"/>
  <c r="AG69" i="9"/>
  <c r="AE69" i="9"/>
  <c r="AG68" i="9"/>
  <c r="AE68" i="9"/>
  <c r="AG67" i="9"/>
  <c r="AE67" i="9"/>
  <c r="AG66" i="9"/>
  <c r="AE66" i="9"/>
  <c r="AF66" i="9" s="1"/>
  <c r="AG65" i="9"/>
  <c r="AE65" i="9"/>
  <c r="AF65" i="9" s="1"/>
  <c r="AG64" i="9"/>
  <c r="AE64" i="9"/>
  <c r="AF64" i="9" s="1"/>
  <c r="AG63" i="9"/>
  <c r="AE63" i="9"/>
  <c r="AF63" i="9" s="1"/>
  <c r="AG62" i="9"/>
  <c r="AE62" i="9"/>
  <c r="AG61" i="9"/>
  <c r="AE61" i="9"/>
  <c r="AG60" i="9"/>
  <c r="AE60" i="9"/>
  <c r="AG59" i="9"/>
  <c r="AE59" i="9"/>
  <c r="AG58" i="9"/>
  <c r="AE58" i="9"/>
  <c r="AF58" i="9" s="1"/>
  <c r="AG57" i="9"/>
  <c r="AE57" i="9"/>
  <c r="AF57" i="9" s="1"/>
  <c r="AG56" i="9"/>
  <c r="AE56" i="9"/>
  <c r="AF56" i="9" s="1"/>
  <c r="AG55" i="9"/>
  <c r="AE55" i="9"/>
  <c r="AF55" i="9" s="1"/>
  <c r="AG54" i="9"/>
  <c r="AE54" i="9"/>
  <c r="AG53" i="9"/>
  <c r="AE53" i="9"/>
  <c r="AG52" i="9"/>
  <c r="AE52" i="9"/>
  <c r="AG51" i="9"/>
  <c r="AE51" i="9"/>
  <c r="AG50" i="9"/>
  <c r="AE50" i="9"/>
  <c r="AF50" i="9" s="1"/>
  <c r="AG49" i="9"/>
  <c r="AE49" i="9"/>
  <c r="AF49" i="9" s="1"/>
  <c r="AG48" i="9"/>
  <c r="AE48" i="9"/>
  <c r="AF48" i="9" s="1"/>
  <c r="AG47" i="9"/>
  <c r="AE47" i="9"/>
  <c r="AF47" i="9" s="1"/>
  <c r="AG46" i="9"/>
  <c r="AE46" i="9"/>
  <c r="AG45" i="9"/>
  <c r="AE45" i="9"/>
  <c r="AG44" i="9"/>
  <c r="AE44" i="9"/>
  <c r="AG43" i="9"/>
  <c r="AE43" i="9"/>
  <c r="AG42" i="9"/>
  <c r="AE42" i="9"/>
  <c r="AF42" i="9" s="1"/>
  <c r="AG41" i="9"/>
  <c r="AE41" i="9"/>
  <c r="AF41" i="9" s="1"/>
  <c r="AG40" i="9"/>
  <c r="AE40" i="9"/>
  <c r="AF40" i="9" s="1"/>
  <c r="AG39" i="9"/>
  <c r="AE39" i="9"/>
  <c r="AF39" i="9" s="1"/>
  <c r="AG38" i="9"/>
  <c r="AE38" i="9"/>
  <c r="AG37" i="9"/>
  <c r="AE37" i="9"/>
  <c r="AG36" i="9"/>
  <c r="AE36" i="9"/>
  <c r="AG35" i="9"/>
  <c r="AE35" i="9"/>
  <c r="AG34" i="9"/>
  <c r="AE34" i="9"/>
  <c r="AF34" i="9" s="1"/>
  <c r="AG33" i="9"/>
  <c r="AE33" i="9"/>
  <c r="AF33" i="9" s="1"/>
  <c r="AG32" i="9"/>
  <c r="AE32" i="9"/>
  <c r="AF32" i="9" s="1"/>
  <c r="AG31" i="9"/>
  <c r="AE31" i="9"/>
  <c r="AF31" i="9" s="1"/>
  <c r="AG30" i="9"/>
  <c r="AE30" i="9"/>
  <c r="AG29" i="9"/>
  <c r="AE29" i="9"/>
  <c r="AG28" i="9"/>
  <c r="AE28" i="9"/>
  <c r="AG27" i="9"/>
  <c r="AE27" i="9"/>
  <c r="AG26" i="9"/>
  <c r="AE26" i="9"/>
  <c r="AF26" i="9" s="1"/>
  <c r="AG25" i="9"/>
  <c r="AE25" i="9"/>
  <c r="AF25" i="9" s="1"/>
  <c r="AG24" i="9"/>
  <c r="AE24" i="9"/>
  <c r="AF24" i="9" s="1"/>
  <c r="AG23" i="9"/>
  <c r="AE23" i="9"/>
  <c r="AF23" i="9" s="1"/>
  <c r="AG22" i="9"/>
  <c r="AE22" i="9"/>
  <c r="AG21" i="9"/>
  <c r="AE21" i="9"/>
  <c r="AG20" i="9"/>
  <c r="AE20" i="9"/>
  <c r="AG19" i="9"/>
  <c r="AE19" i="9"/>
  <c r="AG18" i="9"/>
  <c r="AE18" i="9"/>
  <c r="AF18" i="9" s="1"/>
  <c r="AG17" i="9"/>
  <c r="AE17" i="9"/>
  <c r="AF17" i="9" s="1"/>
  <c r="AG16" i="9"/>
  <c r="AE16" i="9"/>
  <c r="AF16" i="9" s="1"/>
  <c r="AG15" i="9"/>
  <c r="AE15" i="9"/>
  <c r="AF15" i="9" s="1"/>
  <c r="AG14" i="9"/>
  <c r="AE14" i="9"/>
  <c r="E89" i="8"/>
  <c r="D89" i="8"/>
  <c r="C89" i="8"/>
  <c r="E88" i="8"/>
  <c r="D88" i="8"/>
  <c r="C88" i="8"/>
  <c r="E87" i="8"/>
  <c r="D87" i="8"/>
  <c r="C87" i="8"/>
  <c r="E86" i="8"/>
  <c r="D86" i="8"/>
  <c r="C86" i="8"/>
  <c r="E85" i="8"/>
  <c r="D85" i="8"/>
  <c r="C85" i="8"/>
  <c r="E84" i="8"/>
  <c r="D84" i="8"/>
  <c r="C84" i="8"/>
  <c r="E83" i="8"/>
  <c r="D83" i="8"/>
  <c r="C83" i="8"/>
  <c r="E82" i="8"/>
  <c r="D82" i="8"/>
  <c r="C82" i="8"/>
  <c r="E81" i="8"/>
  <c r="D81" i="8"/>
  <c r="C81" i="8"/>
  <c r="E80" i="8"/>
  <c r="D80" i="8"/>
  <c r="C80" i="8"/>
  <c r="E79" i="8"/>
  <c r="D79" i="8"/>
  <c r="C79" i="8"/>
  <c r="E78" i="8"/>
  <c r="D78" i="8"/>
  <c r="C78" i="8"/>
  <c r="E77" i="8"/>
  <c r="D77" i="8"/>
  <c r="C77" i="8"/>
  <c r="E76" i="8"/>
  <c r="D76" i="8"/>
  <c r="C76" i="8"/>
  <c r="J45" i="8"/>
  <c r="K45" i="8" s="1"/>
  <c r="J44" i="8"/>
  <c r="K44" i="8" s="1"/>
  <c r="J43" i="8"/>
  <c r="K43" i="8" s="1"/>
  <c r="J42" i="8"/>
  <c r="K42" i="8" s="1"/>
  <c r="J41" i="8"/>
  <c r="K41" i="8" s="1"/>
  <c r="J40" i="8"/>
  <c r="K40" i="8" s="1"/>
  <c r="J39" i="8"/>
  <c r="K39" i="8" s="1"/>
  <c r="J38" i="8"/>
  <c r="K38" i="8" s="1"/>
  <c r="J37" i="8"/>
  <c r="K37" i="8" s="1"/>
  <c r="J36" i="8"/>
  <c r="K36" i="8" s="1"/>
  <c r="J35" i="8"/>
  <c r="K35" i="8" s="1"/>
  <c r="J34" i="8"/>
  <c r="K34" i="8" s="1"/>
  <c r="J33" i="8"/>
  <c r="K33" i="8" s="1"/>
  <c r="J32" i="8"/>
  <c r="K32" i="8" s="1"/>
  <c r="J31" i="8"/>
  <c r="K31" i="8" s="1"/>
  <c r="J30" i="8"/>
  <c r="K30" i="8" s="1"/>
  <c r="J29" i="8"/>
  <c r="K29" i="8" s="1"/>
  <c r="J28" i="8"/>
  <c r="K28" i="8" s="1"/>
  <c r="J27" i="8"/>
  <c r="K27" i="8" s="1"/>
  <c r="J26" i="8"/>
  <c r="K26" i="8" s="1"/>
  <c r="J25" i="8"/>
  <c r="K25" i="8" s="1"/>
  <c r="J24" i="8"/>
  <c r="K24" i="8" s="1"/>
  <c r="J23" i="8"/>
  <c r="K23" i="8" s="1"/>
  <c r="J22" i="8"/>
  <c r="K22" i="8" s="1"/>
  <c r="J21" i="8"/>
  <c r="K21" i="8" s="1"/>
  <c r="J20" i="8"/>
  <c r="K20" i="8" s="1"/>
  <c r="J19" i="8"/>
  <c r="J18" i="8"/>
  <c r="K18" i="8" s="1"/>
  <c r="J17" i="8"/>
  <c r="K17" i="8" s="1"/>
  <c r="E25" i="6"/>
  <c r="E24" i="6"/>
  <c r="E23" i="6"/>
  <c r="G23" i="6" s="1"/>
  <c r="E22" i="6"/>
  <c r="G22" i="6" s="1"/>
  <c r="E21" i="6"/>
  <c r="F21" i="6" s="1"/>
  <c r="E20" i="6"/>
  <c r="G20" i="6" s="1"/>
  <c r="E19" i="6"/>
  <c r="G19" i="6" s="1"/>
  <c r="E18" i="6"/>
  <c r="E17" i="6"/>
  <c r="E16" i="6"/>
  <c r="E15" i="6"/>
  <c r="G15" i="6" s="1"/>
  <c r="E14" i="6"/>
  <c r="G14" i="6" s="1"/>
  <c r="E13" i="6"/>
  <c r="F13" i="6" s="1"/>
  <c r="H9" i="6"/>
  <c r="D9" i="6"/>
  <c r="H8" i="6"/>
  <c r="D8" i="6"/>
  <c r="E8" i="6" s="1"/>
  <c r="H7" i="6"/>
  <c r="D7" i="6"/>
  <c r="H6" i="6"/>
  <c r="D6" i="6"/>
  <c r="E6" i="6" s="1"/>
  <c r="H5" i="6"/>
  <c r="D5" i="6"/>
  <c r="C28" i="5"/>
  <c r="D28" i="5" s="1"/>
  <c r="C27" i="5"/>
  <c r="D27" i="5" s="1"/>
  <c r="C26" i="5"/>
  <c r="D26" i="5" s="1"/>
  <c r="C25" i="5"/>
  <c r="D25" i="5" s="1"/>
  <c r="C24" i="5"/>
  <c r="D24" i="5" s="1"/>
  <c r="C23" i="5"/>
  <c r="D23" i="5" s="1"/>
  <c r="C22" i="5"/>
  <c r="D22" i="5" s="1"/>
  <c r="C21" i="5"/>
  <c r="D21" i="5" s="1"/>
  <c r="C20" i="5"/>
  <c r="D20" i="5" s="1"/>
  <c r="C19" i="5"/>
  <c r="D19" i="5" s="1"/>
  <c r="C18" i="5"/>
  <c r="D18" i="5" s="1"/>
  <c r="C17" i="5"/>
  <c r="D17" i="5" s="1"/>
  <c r="C16" i="5"/>
  <c r="D16" i="5" s="1"/>
  <c r="I34" i="4"/>
  <c r="H34" i="4"/>
  <c r="G34" i="4"/>
  <c r="F34" i="4"/>
  <c r="E34" i="4"/>
  <c r="D34" i="4"/>
  <c r="C34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34" i="4" s="1"/>
  <c r="B31" i="5" s="1"/>
  <c r="X200" i="3"/>
  <c r="V200" i="3"/>
  <c r="U200" i="3"/>
  <c r="T200" i="3"/>
  <c r="S200" i="3"/>
  <c r="W200" i="3" s="1"/>
  <c r="X199" i="3"/>
  <c r="V199" i="3"/>
  <c r="U199" i="3"/>
  <c r="T199" i="3"/>
  <c r="S199" i="3"/>
  <c r="W199" i="3" s="1"/>
  <c r="X198" i="3"/>
  <c r="V198" i="3"/>
  <c r="U198" i="3"/>
  <c r="T198" i="3"/>
  <c r="S198" i="3"/>
  <c r="W198" i="3" s="1"/>
  <c r="X197" i="3"/>
  <c r="V197" i="3"/>
  <c r="U197" i="3"/>
  <c r="T197" i="3"/>
  <c r="S197" i="3"/>
  <c r="W197" i="3" s="1"/>
  <c r="X196" i="3"/>
  <c r="V196" i="3"/>
  <c r="U196" i="3"/>
  <c r="T196" i="3"/>
  <c r="S196" i="3"/>
  <c r="X195" i="3"/>
  <c r="V195" i="3"/>
  <c r="U195" i="3"/>
  <c r="T195" i="3"/>
  <c r="S195" i="3"/>
  <c r="W195" i="3" s="1"/>
  <c r="X194" i="3"/>
  <c r="V194" i="3"/>
  <c r="U194" i="3"/>
  <c r="T194" i="3"/>
  <c r="S194" i="3"/>
  <c r="X193" i="3"/>
  <c r="V193" i="3"/>
  <c r="U193" i="3"/>
  <c r="T193" i="3"/>
  <c r="S193" i="3"/>
  <c r="W193" i="3" s="1"/>
  <c r="X192" i="3"/>
  <c r="V192" i="3"/>
  <c r="U192" i="3"/>
  <c r="T192" i="3"/>
  <c r="S192" i="3"/>
  <c r="W192" i="3" s="1"/>
  <c r="X191" i="3"/>
  <c r="V191" i="3"/>
  <c r="U191" i="3"/>
  <c r="T191" i="3"/>
  <c r="S191" i="3"/>
  <c r="W191" i="3" s="1"/>
  <c r="X190" i="3"/>
  <c r="V190" i="3"/>
  <c r="U190" i="3"/>
  <c r="T190" i="3"/>
  <c r="S190" i="3"/>
  <c r="W190" i="3" s="1"/>
  <c r="X189" i="3"/>
  <c r="V189" i="3"/>
  <c r="U189" i="3"/>
  <c r="T189" i="3"/>
  <c r="S189" i="3"/>
  <c r="W189" i="3" s="1"/>
  <c r="X188" i="3"/>
  <c r="V188" i="3"/>
  <c r="U188" i="3"/>
  <c r="T188" i="3"/>
  <c r="S188" i="3"/>
  <c r="W188" i="3" s="1"/>
  <c r="X187" i="3"/>
  <c r="V187" i="3"/>
  <c r="U187" i="3"/>
  <c r="T187" i="3"/>
  <c r="S187" i="3"/>
  <c r="W187" i="3" s="1"/>
  <c r="X186" i="3"/>
  <c r="V186" i="3"/>
  <c r="U186" i="3"/>
  <c r="T186" i="3"/>
  <c r="S186" i="3"/>
  <c r="W186" i="3" s="1"/>
  <c r="X185" i="3"/>
  <c r="V185" i="3"/>
  <c r="U185" i="3"/>
  <c r="T185" i="3"/>
  <c r="S185" i="3"/>
  <c r="W185" i="3" s="1"/>
  <c r="X184" i="3"/>
  <c r="V184" i="3"/>
  <c r="U184" i="3"/>
  <c r="T184" i="3"/>
  <c r="S184" i="3"/>
  <c r="W184" i="3" s="1"/>
  <c r="X183" i="3"/>
  <c r="V183" i="3"/>
  <c r="U183" i="3"/>
  <c r="T183" i="3"/>
  <c r="S183" i="3"/>
  <c r="W183" i="3" s="1"/>
  <c r="X182" i="3"/>
  <c r="V182" i="3"/>
  <c r="U182" i="3"/>
  <c r="T182" i="3"/>
  <c r="S182" i="3"/>
  <c r="W182" i="3" s="1"/>
  <c r="X181" i="3"/>
  <c r="V181" i="3"/>
  <c r="U181" i="3"/>
  <c r="T181" i="3"/>
  <c r="S181" i="3"/>
  <c r="W181" i="3" s="1"/>
  <c r="X180" i="3"/>
  <c r="V180" i="3"/>
  <c r="U180" i="3"/>
  <c r="T180" i="3"/>
  <c r="S180" i="3"/>
  <c r="X179" i="3"/>
  <c r="V179" i="3"/>
  <c r="U179" i="3"/>
  <c r="T179" i="3"/>
  <c r="S179" i="3"/>
  <c r="W179" i="3" s="1"/>
  <c r="X178" i="3"/>
  <c r="V178" i="3"/>
  <c r="U178" i="3"/>
  <c r="T178" i="3"/>
  <c r="S178" i="3"/>
  <c r="W178" i="3" s="1"/>
  <c r="X177" i="3"/>
  <c r="V177" i="3"/>
  <c r="U177" i="3"/>
  <c r="T177" i="3"/>
  <c r="S177" i="3"/>
  <c r="W177" i="3" s="1"/>
  <c r="X176" i="3"/>
  <c r="V176" i="3"/>
  <c r="U176" i="3"/>
  <c r="T176" i="3"/>
  <c r="S176" i="3"/>
  <c r="W176" i="3" s="1"/>
  <c r="X175" i="3"/>
  <c r="V175" i="3"/>
  <c r="U175" i="3"/>
  <c r="T175" i="3"/>
  <c r="S175" i="3"/>
  <c r="W175" i="3" s="1"/>
  <c r="X174" i="3"/>
  <c r="V174" i="3"/>
  <c r="U174" i="3"/>
  <c r="T174" i="3"/>
  <c r="S174" i="3"/>
  <c r="W174" i="3" s="1"/>
  <c r="X173" i="3"/>
  <c r="V173" i="3"/>
  <c r="U173" i="3"/>
  <c r="T173" i="3"/>
  <c r="S173" i="3"/>
  <c r="W173" i="3" s="1"/>
  <c r="X172" i="3"/>
  <c r="V172" i="3"/>
  <c r="U172" i="3"/>
  <c r="T172" i="3"/>
  <c r="S172" i="3"/>
  <c r="W172" i="3" s="1"/>
  <c r="X171" i="3"/>
  <c r="V171" i="3"/>
  <c r="U171" i="3"/>
  <c r="T171" i="3"/>
  <c r="S171" i="3"/>
  <c r="W171" i="3" s="1"/>
  <c r="X170" i="3"/>
  <c r="V170" i="3"/>
  <c r="U170" i="3"/>
  <c r="T170" i="3"/>
  <c r="S170" i="3"/>
  <c r="W170" i="3" s="1"/>
  <c r="X169" i="3"/>
  <c r="V169" i="3"/>
  <c r="U169" i="3"/>
  <c r="T169" i="3"/>
  <c r="S169" i="3"/>
  <c r="W169" i="3" s="1"/>
  <c r="X168" i="3"/>
  <c r="V168" i="3"/>
  <c r="U168" i="3"/>
  <c r="T168" i="3"/>
  <c r="S168" i="3"/>
  <c r="W168" i="3" s="1"/>
  <c r="X167" i="3"/>
  <c r="V167" i="3"/>
  <c r="U167" i="3"/>
  <c r="T167" i="3"/>
  <c r="S167" i="3"/>
  <c r="W167" i="3" s="1"/>
  <c r="X166" i="3"/>
  <c r="V166" i="3"/>
  <c r="U166" i="3"/>
  <c r="T166" i="3"/>
  <c r="S166" i="3"/>
  <c r="W166" i="3" s="1"/>
  <c r="X165" i="3"/>
  <c r="V165" i="3"/>
  <c r="U165" i="3"/>
  <c r="T165" i="3"/>
  <c r="S165" i="3"/>
  <c r="W165" i="3" s="1"/>
  <c r="X164" i="3"/>
  <c r="V164" i="3"/>
  <c r="U164" i="3"/>
  <c r="T164" i="3"/>
  <c r="S164" i="3"/>
  <c r="X163" i="3"/>
  <c r="V163" i="3"/>
  <c r="U163" i="3"/>
  <c r="T163" i="3"/>
  <c r="S163" i="3"/>
  <c r="W163" i="3" s="1"/>
  <c r="X162" i="3"/>
  <c r="V162" i="3"/>
  <c r="U162" i="3"/>
  <c r="T162" i="3"/>
  <c r="S162" i="3"/>
  <c r="X161" i="3"/>
  <c r="V161" i="3"/>
  <c r="U161" i="3"/>
  <c r="T161" i="3"/>
  <c r="S161" i="3"/>
  <c r="W161" i="3" s="1"/>
  <c r="X160" i="3"/>
  <c r="V160" i="3"/>
  <c r="U160" i="3"/>
  <c r="T160" i="3"/>
  <c r="S160" i="3"/>
  <c r="W160" i="3" s="1"/>
  <c r="X159" i="3"/>
  <c r="V159" i="3"/>
  <c r="U159" i="3"/>
  <c r="T159" i="3"/>
  <c r="S159" i="3"/>
  <c r="W159" i="3" s="1"/>
  <c r="X158" i="3"/>
  <c r="V158" i="3"/>
  <c r="U158" i="3"/>
  <c r="T158" i="3"/>
  <c r="S158" i="3"/>
  <c r="W158" i="3" s="1"/>
  <c r="X157" i="3"/>
  <c r="V157" i="3"/>
  <c r="U157" i="3"/>
  <c r="T157" i="3"/>
  <c r="S157" i="3"/>
  <c r="W157" i="3" s="1"/>
  <c r="X156" i="3"/>
  <c r="V156" i="3"/>
  <c r="U156" i="3"/>
  <c r="T156" i="3"/>
  <c r="S156" i="3"/>
  <c r="X155" i="3"/>
  <c r="V155" i="3"/>
  <c r="U155" i="3"/>
  <c r="T155" i="3"/>
  <c r="S155" i="3"/>
  <c r="W155" i="3" s="1"/>
  <c r="X154" i="3"/>
  <c r="V154" i="3"/>
  <c r="U154" i="3"/>
  <c r="T154" i="3"/>
  <c r="S154" i="3"/>
  <c r="X153" i="3"/>
  <c r="V153" i="3"/>
  <c r="U153" i="3"/>
  <c r="T153" i="3"/>
  <c r="S153" i="3"/>
  <c r="W153" i="3" s="1"/>
  <c r="X152" i="3"/>
  <c r="V152" i="3"/>
  <c r="U152" i="3"/>
  <c r="T152" i="3"/>
  <c r="S152" i="3"/>
  <c r="W152" i="3" s="1"/>
  <c r="X151" i="3"/>
  <c r="V151" i="3"/>
  <c r="U151" i="3"/>
  <c r="T151" i="3"/>
  <c r="S151" i="3"/>
  <c r="W151" i="3" s="1"/>
  <c r="X150" i="3"/>
  <c r="V150" i="3"/>
  <c r="U150" i="3"/>
  <c r="T150" i="3"/>
  <c r="S150" i="3"/>
  <c r="W150" i="3" s="1"/>
  <c r="X149" i="3"/>
  <c r="V149" i="3"/>
  <c r="U149" i="3"/>
  <c r="T149" i="3"/>
  <c r="S149" i="3"/>
  <c r="W149" i="3" s="1"/>
  <c r="X148" i="3"/>
  <c r="V148" i="3"/>
  <c r="U148" i="3"/>
  <c r="T148" i="3"/>
  <c r="S148" i="3"/>
  <c r="X147" i="3"/>
  <c r="V147" i="3"/>
  <c r="U147" i="3"/>
  <c r="T147" i="3"/>
  <c r="S147" i="3"/>
  <c r="W147" i="3" s="1"/>
  <c r="X146" i="3"/>
  <c r="V146" i="3"/>
  <c r="U146" i="3"/>
  <c r="T146" i="3"/>
  <c r="S146" i="3"/>
  <c r="X145" i="3"/>
  <c r="V145" i="3"/>
  <c r="U145" i="3"/>
  <c r="T145" i="3"/>
  <c r="S145" i="3"/>
  <c r="W145" i="3" s="1"/>
  <c r="X144" i="3"/>
  <c r="V144" i="3"/>
  <c r="U144" i="3"/>
  <c r="T144" i="3"/>
  <c r="S144" i="3"/>
  <c r="W144" i="3" s="1"/>
  <c r="X143" i="3"/>
  <c r="V143" i="3"/>
  <c r="U143" i="3"/>
  <c r="T143" i="3"/>
  <c r="S143" i="3"/>
  <c r="W143" i="3" s="1"/>
  <c r="X142" i="3"/>
  <c r="V142" i="3"/>
  <c r="U142" i="3"/>
  <c r="T142" i="3"/>
  <c r="S142" i="3"/>
  <c r="W142" i="3" s="1"/>
  <c r="X141" i="3"/>
  <c r="V141" i="3"/>
  <c r="U141" i="3"/>
  <c r="T141" i="3"/>
  <c r="S141" i="3"/>
  <c r="W141" i="3" s="1"/>
  <c r="X140" i="3"/>
  <c r="V140" i="3"/>
  <c r="U140" i="3"/>
  <c r="T140" i="3"/>
  <c r="S140" i="3"/>
  <c r="X139" i="3"/>
  <c r="V139" i="3"/>
  <c r="U139" i="3"/>
  <c r="T139" i="3"/>
  <c r="S139" i="3"/>
  <c r="W139" i="3" s="1"/>
  <c r="X138" i="3"/>
  <c r="V138" i="3"/>
  <c r="U138" i="3"/>
  <c r="T138" i="3"/>
  <c r="S138" i="3"/>
  <c r="X137" i="3"/>
  <c r="V137" i="3"/>
  <c r="U137" i="3"/>
  <c r="T137" i="3"/>
  <c r="S137" i="3"/>
  <c r="W137" i="3" s="1"/>
  <c r="X136" i="3"/>
  <c r="V136" i="3"/>
  <c r="U136" i="3"/>
  <c r="T136" i="3"/>
  <c r="S136" i="3"/>
  <c r="W136" i="3" s="1"/>
  <c r="X135" i="3"/>
  <c r="V135" i="3"/>
  <c r="U135" i="3"/>
  <c r="T135" i="3"/>
  <c r="S135" i="3"/>
  <c r="W135" i="3" s="1"/>
  <c r="X134" i="3"/>
  <c r="V134" i="3"/>
  <c r="U134" i="3"/>
  <c r="T134" i="3"/>
  <c r="S134" i="3"/>
  <c r="W134" i="3" s="1"/>
  <c r="X133" i="3"/>
  <c r="V133" i="3"/>
  <c r="U133" i="3"/>
  <c r="T133" i="3"/>
  <c r="S133" i="3"/>
  <c r="W133" i="3" s="1"/>
  <c r="X132" i="3"/>
  <c r="V132" i="3"/>
  <c r="U132" i="3"/>
  <c r="T132" i="3"/>
  <c r="S132" i="3"/>
  <c r="X131" i="3"/>
  <c r="V131" i="3"/>
  <c r="U131" i="3"/>
  <c r="T131" i="3"/>
  <c r="S131" i="3"/>
  <c r="W131" i="3" s="1"/>
  <c r="X130" i="3"/>
  <c r="V130" i="3"/>
  <c r="U130" i="3"/>
  <c r="T130" i="3"/>
  <c r="S130" i="3"/>
  <c r="X129" i="3"/>
  <c r="V129" i="3"/>
  <c r="U129" i="3"/>
  <c r="T129" i="3"/>
  <c r="S129" i="3"/>
  <c r="W129" i="3" s="1"/>
  <c r="X128" i="3"/>
  <c r="V128" i="3"/>
  <c r="U128" i="3"/>
  <c r="T128" i="3"/>
  <c r="S128" i="3"/>
  <c r="W128" i="3" s="1"/>
  <c r="X127" i="3"/>
  <c r="V127" i="3"/>
  <c r="U127" i="3"/>
  <c r="T127" i="3"/>
  <c r="S127" i="3"/>
  <c r="W127" i="3" s="1"/>
  <c r="X126" i="3"/>
  <c r="V126" i="3"/>
  <c r="U126" i="3"/>
  <c r="T126" i="3"/>
  <c r="S126" i="3"/>
  <c r="W126" i="3" s="1"/>
  <c r="X125" i="3"/>
  <c r="V125" i="3"/>
  <c r="U125" i="3"/>
  <c r="T125" i="3"/>
  <c r="S125" i="3"/>
  <c r="W125" i="3" s="1"/>
  <c r="X124" i="3"/>
  <c r="V124" i="3"/>
  <c r="U124" i="3"/>
  <c r="T124" i="3"/>
  <c r="S124" i="3"/>
  <c r="X123" i="3"/>
  <c r="V123" i="3"/>
  <c r="U123" i="3"/>
  <c r="T123" i="3"/>
  <c r="S123" i="3"/>
  <c r="W123" i="3" s="1"/>
  <c r="X122" i="3"/>
  <c r="V122" i="3"/>
  <c r="U122" i="3"/>
  <c r="T122" i="3"/>
  <c r="S122" i="3"/>
  <c r="X121" i="3"/>
  <c r="V121" i="3"/>
  <c r="U121" i="3"/>
  <c r="T121" i="3"/>
  <c r="S121" i="3"/>
  <c r="W121" i="3" s="1"/>
  <c r="X120" i="3"/>
  <c r="V120" i="3"/>
  <c r="U120" i="3"/>
  <c r="T120" i="3"/>
  <c r="S120" i="3"/>
  <c r="W120" i="3" s="1"/>
  <c r="X119" i="3"/>
  <c r="V119" i="3"/>
  <c r="U119" i="3"/>
  <c r="T119" i="3"/>
  <c r="S119" i="3"/>
  <c r="W119" i="3" s="1"/>
  <c r="X118" i="3"/>
  <c r="V118" i="3"/>
  <c r="U118" i="3"/>
  <c r="T118" i="3"/>
  <c r="S118" i="3"/>
  <c r="W118" i="3" s="1"/>
  <c r="X117" i="3"/>
  <c r="V117" i="3"/>
  <c r="U117" i="3"/>
  <c r="T117" i="3"/>
  <c r="S117" i="3"/>
  <c r="W117" i="3" s="1"/>
  <c r="X116" i="3"/>
  <c r="V116" i="3"/>
  <c r="U116" i="3"/>
  <c r="T116" i="3"/>
  <c r="S116" i="3"/>
  <c r="X115" i="3"/>
  <c r="V115" i="3"/>
  <c r="U115" i="3"/>
  <c r="T115" i="3"/>
  <c r="S115" i="3"/>
  <c r="W115" i="3" s="1"/>
  <c r="X114" i="3"/>
  <c r="V114" i="3"/>
  <c r="U114" i="3"/>
  <c r="T114" i="3"/>
  <c r="S114" i="3"/>
  <c r="W114" i="3" s="1"/>
  <c r="X113" i="3"/>
  <c r="V113" i="3"/>
  <c r="U113" i="3"/>
  <c r="T113" i="3"/>
  <c r="S113" i="3"/>
  <c r="W113" i="3" s="1"/>
  <c r="X112" i="3"/>
  <c r="V112" i="3"/>
  <c r="U112" i="3"/>
  <c r="T112" i="3"/>
  <c r="S112" i="3"/>
  <c r="W112" i="3" s="1"/>
  <c r="X111" i="3"/>
  <c r="V111" i="3"/>
  <c r="U111" i="3"/>
  <c r="T111" i="3"/>
  <c r="S111" i="3"/>
  <c r="W111" i="3" s="1"/>
  <c r="X110" i="3"/>
  <c r="V110" i="3"/>
  <c r="U110" i="3"/>
  <c r="T110" i="3"/>
  <c r="S110" i="3"/>
  <c r="W110" i="3" s="1"/>
  <c r="X109" i="3"/>
  <c r="V109" i="3"/>
  <c r="U109" i="3"/>
  <c r="T109" i="3"/>
  <c r="S109" i="3"/>
  <c r="W109" i="3" s="1"/>
  <c r="X108" i="3"/>
  <c r="V108" i="3"/>
  <c r="U108" i="3"/>
  <c r="T108" i="3"/>
  <c r="S108" i="3"/>
  <c r="X107" i="3"/>
  <c r="V107" i="3"/>
  <c r="U107" i="3"/>
  <c r="T107" i="3"/>
  <c r="S107" i="3"/>
  <c r="W107" i="3" s="1"/>
  <c r="X106" i="3"/>
  <c r="V106" i="3"/>
  <c r="U106" i="3"/>
  <c r="T106" i="3"/>
  <c r="S106" i="3"/>
  <c r="W106" i="3" s="1"/>
  <c r="X105" i="3"/>
  <c r="V105" i="3"/>
  <c r="U105" i="3"/>
  <c r="T105" i="3"/>
  <c r="S105" i="3"/>
  <c r="W105" i="3" s="1"/>
  <c r="X104" i="3"/>
  <c r="V104" i="3"/>
  <c r="U104" i="3"/>
  <c r="T104" i="3"/>
  <c r="S104" i="3"/>
  <c r="W104" i="3" s="1"/>
  <c r="X103" i="3"/>
  <c r="V103" i="3"/>
  <c r="U103" i="3"/>
  <c r="T103" i="3"/>
  <c r="S103" i="3"/>
  <c r="W103" i="3" s="1"/>
  <c r="X102" i="3"/>
  <c r="V102" i="3"/>
  <c r="U102" i="3"/>
  <c r="T102" i="3"/>
  <c r="S102" i="3"/>
  <c r="W102" i="3" s="1"/>
  <c r="X101" i="3"/>
  <c r="V101" i="3"/>
  <c r="U101" i="3"/>
  <c r="T101" i="3"/>
  <c r="S101" i="3"/>
  <c r="W101" i="3" s="1"/>
  <c r="X100" i="3"/>
  <c r="V100" i="3"/>
  <c r="U100" i="3"/>
  <c r="T100" i="3"/>
  <c r="S100" i="3"/>
  <c r="X99" i="3"/>
  <c r="V99" i="3"/>
  <c r="U99" i="3"/>
  <c r="T99" i="3"/>
  <c r="S99" i="3"/>
  <c r="W99" i="3" s="1"/>
  <c r="X98" i="3"/>
  <c r="V98" i="3"/>
  <c r="U98" i="3"/>
  <c r="T98" i="3"/>
  <c r="S98" i="3"/>
  <c r="W98" i="3" s="1"/>
  <c r="X97" i="3"/>
  <c r="V97" i="3"/>
  <c r="U97" i="3"/>
  <c r="T97" i="3"/>
  <c r="S97" i="3"/>
  <c r="W97" i="3" s="1"/>
  <c r="X96" i="3"/>
  <c r="V96" i="3"/>
  <c r="U96" i="3"/>
  <c r="T96" i="3"/>
  <c r="S96" i="3"/>
  <c r="W96" i="3" s="1"/>
  <c r="X95" i="3"/>
  <c r="V95" i="3"/>
  <c r="U95" i="3"/>
  <c r="T95" i="3"/>
  <c r="S95" i="3"/>
  <c r="W95" i="3" s="1"/>
  <c r="X94" i="3"/>
  <c r="V94" i="3"/>
  <c r="U94" i="3"/>
  <c r="T94" i="3"/>
  <c r="S94" i="3"/>
  <c r="W94" i="3" s="1"/>
  <c r="X93" i="3"/>
  <c r="V93" i="3"/>
  <c r="U93" i="3"/>
  <c r="T93" i="3"/>
  <c r="S93" i="3"/>
  <c r="W93" i="3" s="1"/>
  <c r="X92" i="3"/>
  <c r="V92" i="3"/>
  <c r="U92" i="3"/>
  <c r="T92" i="3"/>
  <c r="S92" i="3"/>
  <c r="W92" i="3" s="1"/>
  <c r="X91" i="3"/>
  <c r="V91" i="3"/>
  <c r="U91" i="3"/>
  <c r="T91" i="3"/>
  <c r="S91" i="3"/>
  <c r="W91" i="3" s="1"/>
  <c r="X90" i="3"/>
  <c r="V90" i="3"/>
  <c r="U90" i="3"/>
  <c r="T90" i="3"/>
  <c r="S90" i="3"/>
  <c r="W90" i="3" s="1"/>
  <c r="X89" i="3"/>
  <c r="V89" i="3"/>
  <c r="U89" i="3"/>
  <c r="T89" i="3"/>
  <c r="S89" i="3"/>
  <c r="W89" i="3" s="1"/>
  <c r="X88" i="3"/>
  <c r="V88" i="3"/>
  <c r="U88" i="3"/>
  <c r="T88" i="3"/>
  <c r="S88" i="3"/>
  <c r="W88" i="3" s="1"/>
  <c r="X87" i="3"/>
  <c r="V87" i="3"/>
  <c r="U87" i="3"/>
  <c r="T87" i="3"/>
  <c r="S87" i="3"/>
  <c r="W87" i="3" s="1"/>
  <c r="X86" i="3"/>
  <c r="V86" i="3"/>
  <c r="U86" i="3"/>
  <c r="T86" i="3"/>
  <c r="S86" i="3"/>
  <c r="W86" i="3" s="1"/>
  <c r="X85" i="3"/>
  <c r="V85" i="3"/>
  <c r="U85" i="3"/>
  <c r="T85" i="3"/>
  <c r="S85" i="3"/>
  <c r="W85" i="3" s="1"/>
  <c r="X84" i="3"/>
  <c r="V84" i="3"/>
  <c r="U84" i="3"/>
  <c r="T84" i="3"/>
  <c r="S84" i="3"/>
  <c r="W84" i="3" s="1"/>
  <c r="X83" i="3"/>
  <c r="V83" i="3"/>
  <c r="U83" i="3"/>
  <c r="T83" i="3"/>
  <c r="S83" i="3"/>
  <c r="W83" i="3" s="1"/>
  <c r="X82" i="3"/>
  <c r="V82" i="3"/>
  <c r="U82" i="3"/>
  <c r="T82" i="3"/>
  <c r="S82" i="3"/>
  <c r="W82" i="3" s="1"/>
  <c r="X81" i="3"/>
  <c r="V81" i="3"/>
  <c r="U81" i="3"/>
  <c r="T81" i="3"/>
  <c r="S81" i="3"/>
  <c r="W81" i="3" s="1"/>
  <c r="X80" i="3"/>
  <c r="V80" i="3"/>
  <c r="U80" i="3"/>
  <c r="T80" i="3"/>
  <c r="S80" i="3"/>
  <c r="W80" i="3" s="1"/>
  <c r="X79" i="3"/>
  <c r="V79" i="3"/>
  <c r="U79" i="3"/>
  <c r="T79" i="3"/>
  <c r="S79" i="3"/>
  <c r="W79" i="3" s="1"/>
  <c r="X78" i="3"/>
  <c r="V78" i="3"/>
  <c r="U78" i="3"/>
  <c r="T78" i="3"/>
  <c r="S78" i="3"/>
  <c r="W78" i="3" s="1"/>
  <c r="X77" i="3"/>
  <c r="V77" i="3"/>
  <c r="U77" i="3"/>
  <c r="T77" i="3"/>
  <c r="S77" i="3"/>
  <c r="W77" i="3" s="1"/>
  <c r="X76" i="3"/>
  <c r="V76" i="3"/>
  <c r="U76" i="3"/>
  <c r="T76" i="3"/>
  <c r="S76" i="3"/>
  <c r="W76" i="3" s="1"/>
  <c r="X75" i="3"/>
  <c r="V75" i="3"/>
  <c r="U75" i="3"/>
  <c r="T75" i="3"/>
  <c r="S75" i="3"/>
  <c r="W75" i="3" s="1"/>
  <c r="X74" i="3"/>
  <c r="V74" i="3"/>
  <c r="U74" i="3"/>
  <c r="T74" i="3"/>
  <c r="S74" i="3"/>
  <c r="W74" i="3" s="1"/>
  <c r="X73" i="3"/>
  <c r="V73" i="3"/>
  <c r="U73" i="3"/>
  <c r="T73" i="3"/>
  <c r="S73" i="3"/>
  <c r="W73" i="3" s="1"/>
  <c r="X72" i="3"/>
  <c r="V72" i="3"/>
  <c r="U72" i="3"/>
  <c r="T72" i="3"/>
  <c r="S72" i="3"/>
  <c r="W72" i="3" s="1"/>
  <c r="X71" i="3"/>
  <c r="V71" i="3"/>
  <c r="U71" i="3"/>
  <c r="T71" i="3"/>
  <c r="S71" i="3"/>
  <c r="W71" i="3" s="1"/>
  <c r="X70" i="3"/>
  <c r="V70" i="3"/>
  <c r="U70" i="3"/>
  <c r="T70" i="3"/>
  <c r="S70" i="3"/>
  <c r="W70" i="3" s="1"/>
  <c r="X69" i="3"/>
  <c r="V69" i="3"/>
  <c r="U69" i="3"/>
  <c r="T69" i="3"/>
  <c r="S69" i="3"/>
  <c r="W69" i="3" s="1"/>
  <c r="X68" i="3"/>
  <c r="V68" i="3"/>
  <c r="U68" i="3"/>
  <c r="T68" i="3"/>
  <c r="S68" i="3"/>
  <c r="X67" i="3"/>
  <c r="V67" i="3"/>
  <c r="U67" i="3"/>
  <c r="T67" i="3"/>
  <c r="S67" i="3"/>
  <c r="W67" i="3" s="1"/>
  <c r="X66" i="3"/>
  <c r="V66" i="3"/>
  <c r="U66" i="3"/>
  <c r="T66" i="3"/>
  <c r="S66" i="3"/>
  <c r="W66" i="3" s="1"/>
  <c r="X65" i="3"/>
  <c r="V65" i="3"/>
  <c r="U65" i="3"/>
  <c r="T65" i="3"/>
  <c r="S65" i="3"/>
  <c r="W65" i="3" s="1"/>
  <c r="X64" i="3"/>
  <c r="V64" i="3"/>
  <c r="U64" i="3"/>
  <c r="T64" i="3"/>
  <c r="S64" i="3"/>
  <c r="W64" i="3" s="1"/>
  <c r="X63" i="3"/>
  <c r="V63" i="3"/>
  <c r="U63" i="3"/>
  <c r="T63" i="3"/>
  <c r="S63" i="3"/>
  <c r="W63" i="3" s="1"/>
  <c r="X62" i="3"/>
  <c r="V62" i="3"/>
  <c r="U62" i="3"/>
  <c r="T62" i="3"/>
  <c r="S62" i="3"/>
  <c r="W62" i="3" s="1"/>
  <c r="X61" i="3"/>
  <c r="V61" i="3"/>
  <c r="U61" i="3"/>
  <c r="T61" i="3"/>
  <c r="S61" i="3"/>
  <c r="W61" i="3" s="1"/>
  <c r="X60" i="3"/>
  <c r="V60" i="3"/>
  <c r="U60" i="3"/>
  <c r="T60" i="3"/>
  <c r="S60" i="3"/>
  <c r="W60" i="3" s="1"/>
  <c r="X59" i="3"/>
  <c r="V59" i="3"/>
  <c r="U59" i="3"/>
  <c r="T59" i="3"/>
  <c r="S59" i="3"/>
  <c r="W59" i="3" s="1"/>
  <c r="X58" i="3"/>
  <c r="V58" i="3"/>
  <c r="U58" i="3"/>
  <c r="T58" i="3"/>
  <c r="S58" i="3"/>
  <c r="W58" i="3" s="1"/>
  <c r="X57" i="3"/>
  <c r="V57" i="3"/>
  <c r="U57" i="3"/>
  <c r="T57" i="3"/>
  <c r="S57" i="3"/>
  <c r="W57" i="3" s="1"/>
  <c r="X56" i="3"/>
  <c r="V56" i="3"/>
  <c r="U56" i="3"/>
  <c r="T56" i="3"/>
  <c r="S56" i="3"/>
  <c r="W56" i="3" s="1"/>
  <c r="X55" i="3"/>
  <c r="V55" i="3"/>
  <c r="U55" i="3"/>
  <c r="T55" i="3"/>
  <c r="S55" i="3"/>
  <c r="W55" i="3" s="1"/>
  <c r="X54" i="3"/>
  <c r="V54" i="3"/>
  <c r="U54" i="3"/>
  <c r="T54" i="3"/>
  <c r="S54" i="3"/>
  <c r="W54" i="3" s="1"/>
  <c r="X53" i="3"/>
  <c r="V53" i="3"/>
  <c r="U53" i="3"/>
  <c r="T53" i="3"/>
  <c r="S53" i="3"/>
  <c r="W53" i="3" s="1"/>
  <c r="X52" i="3"/>
  <c r="V52" i="3"/>
  <c r="U52" i="3"/>
  <c r="T52" i="3"/>
  <c r="S52" i="3"/>
  <c r="X51" i="3"/>
  <c r="V51" i="3"/>
  <c r="U51" i="3"/>
  <c r="T51" i="3"/>
  <c r="S51" i="3"/>
  <c r="W51" i="3" s="1"/>
  <c r="X50" i="3"/>
  <c r="V50" i="3"/>
  <c r="U50" i="3"/>
  <c r="T50" i="3"/>
  <c r="S50" i="3"/>
  <c r="W50" i="3" s="1"/>
  <c r="X49" i="3"/>
  <c r="V49" i="3"/>
  <c r="U49" i="3"/>
  <c r="T49" i="3"/>
  <c r="S49" i="3"/>
  <c r="W49" i="3" s="1"/>
  <c r="X48" i="3"/>
  <c r="V48" i="3"/>
  <c r="U48" i="3"/>
  <c r="T48" i="3"/>
  <c r="S48" i="3"/>
  <c r="W48" i="3" s="1"/>
  <c r="X47" i="3"/>
  <c r="V47" i="3"/>
  <c r="U47" i="3"/>
  <c r="T47" i="3"/>
  <c r="S47" i="3"/>
  <c r="W47" i="3" s="1"/>
  <c r="X46" i="3"/>
  <c r="V46" i="3"/>
  <c r="U46" i="3"/>
  <c r="T46" i="3"/>
  <c r="S46" i="3"/>
  <c r="W46" i="3" s="1"/>
  <c r="X45" i="3"/>
  <c r="V45" i="3"/>
  <c r="U45" i="3"/>
  <c r="T45" i="3"/>
  <c r="S45" i="3"/>
  <c r="W45" i="3" s="1"/>
  <c r="X44" i="3"/>
  <c r="V44" i="3"/>
  <c r="U44" i="3"/>
  <c r="T44" i="3"/>
  <c r="S44" i="3"/>
  <c r="X43" i="3"/>
  <c r="V43" i="3"/>
  <c r="U43" i="3"/>
  <c r="T43" i="3"/>
  <c r="S43" i="3"/>
  <c r="W43" i="3" s="1"/>
  <c r="X42" i="3"/>
  <c r="V42" i="3"/>
  <c r="U42" i="3"/>
  <c r="T42" i="3"/>
  <c r="S42" i="3"/>
  <c r="W42" i="3" s="1"/>
  <c r="X41" i="3"/>
  <c r="V41" i="3"/>
  <c r="U41" i="3"/>
  <c r="T41" i="3"/>
  <c r="S41" i="3"/>
  <c r="W41" i="3" s="1"/>
  <c r="X40" i="3"/>
  <c r="V40" i="3"/>
  <c r="U40" i="3"/>
  <c r="T40" i="3"/>
  <c r="S40" i="3"/>
  <c r="W40" i="3" s="1"/>
  <c r="X39" i="3"/>
  <c r="V39" i="3"/>
  <c r="U39" i="3"/>
  <c r="T39" i="3"/>
  <c r="S39" i="3"/>
  <c r="W39" i="3" s="1"/>
  <c r="X38" i="3"/>
  <c r="V38" i="3"/>
  <c r="U38" i="3"/>
  <c r="T38" i="3"/>
  <c r="S38" i="3"/>
  <c r="W38" i="3" s="1"/>
  <c r="X37" i="3"/>
  <c r="V37" i="3"/>
  <c r="U37" i="3"/>
  <c r="T37" i="3"/>
  <c r="S37" i="3"/>
  <c r="W37" i="3" s="1"/>
  <c r="X36" i="3"/>
  <c r="V36" i="3"/>
  <c r="U36" i="3"/>
  <c r="T36" i="3"/>
  <c r="S36" i="3"/>
  <c r="X35" i="3"/>
  <c r="V35" i="3"/>
  <c r="U35" i="3"/>
  <c r="T35" i="3"/>
  <c r="S35" i="3"/>
  <c r="W35" i="3" s="1"/>
  <c r="X34" i="3"/>
  <c r="V34" i="3"/>
  <c r="U34" i="3"/>
  <c r="T34" i="3"/>
  <c r="S34" i="3"/>
  <c r="W34" i="3" s="1"/>
  <c r="X33" i="3"/>
  <c r="V33" i="3"/>
  <c r="U33" i="3"/>
  <c r="T33" i="3"/>
  <c r="S33" i="3"/>
  <c r="W33" i="3" s="1"/>
  <c r="X32" i="3"/>
  <c r="V32" i="3"/>
  <c r="U32" i="3"/>
  <c r="T32" i="3"/>
  <c r="S32" i="3"/>
  <c r="W32" i="3" s="1"/>
  <c r="X31" i="3"/>
  <c r="V31" i="3"/>
  <c r="U31" i="3"/>
  <c r="T31" i="3"/>
  <c r="S31" i="3"/>
  <c r="W31" i="3" s="1"/>
  <c r="X30" i="3"/>
  <c r="V30" i="3"/>
  <c r="U30" i="3"/>
  <c r="T30" i="3"/>
  <c r="S30" i="3"/>
  <c r="W30" i="3" s="1"/>
  <c r="X29" i="3"/>
  <c r="V29" i="3"/>
  <c r="U29" i="3"/>
  <c r="T29" i="3"/>
  <c r="S29" i="3"/>
  <c r="W29" i="3" s="1"/>
  <c r="X28" i="3"/>
  <c r="V28" i="3"/>
  <c r="U28" i="3"/>
  <c r="T28" i="3"/>
  <c r="S28" i="3"/>
  <c r="W28" i="3" s="1"/>
  <c r="X27" i="3"/>
  <c r="V27" i="3"/>
  <c r="U27" i="3"/>
  <c r="T27" i="3"/>
  <c r="S27" i="3"/>
  <c r="W27" i="3" s="1"/>
  <c r="X26" i="3"/>
  <c r="V26" i="3"/>
  <c r="U26" i="3"/>
  <c r="T26" i="3"/>
  <c r="S26" i="3"/>
  <c r="W26" i="3" s="1"/>
  <c r="X25" i="3"/>
  <c r="V25" i="3"/>
  <c r="U25" i="3"/>
  <c r="T25" i="3"/>
  <c r="S25" i="3"/>
  <c r="W25" i="3" s="1"/>
  <c r="X24" i="3"/>
  <c r="V24" i="3"/>
  <c r="U24" i="3"/>
  <c r="T24" i="3"/>
  <c r="S24" i="3"/>
  <c r="W24" i="3" s="1"/>
  <c r="X23" i="3"/>
  <c r="V23" i="3"/>
  <c r="U23" i="3"/>
  <c r="T23" i="3"/>
  <c r="S23" i="3"/>
  <c r="W23" i="3" s="1"/>
  <c r="X22" i="3"/>
  <c r="V22" i="3"/>
  <c r="U22" i="3"/>
  <c r="T22" i="3"/>
  <c r="S22" i="3"/>
  <c r="W22" i="3" s="1"/>
  <c r="X21" i="3"/>
  <c r="V21" i="3"/>
  <c r="U21" i="3"/>
  <c r="T21" i="3"/>
  <c r="S21" i="3"/>
  <c r="W21" i="3" s="1"/>
  <c r="X20" i="3"/>
  <c r="V20" i="3"/>
  <c r="U20" i="3"/>
  <c r="T20" i="3"/>
  <c r="S20" i="3"/>
  <c r="W20" i="3" s="1"/>
  <c r="X19" i="3"/>
  <c r="V19" i="3"/>
  <c r="U19" i="3"/>
  <c r="T19" i="3"/>
  <c r="S19" i="3"/>
  <c r="W19" i="3" s="1"/>
  <c r="X18" i="3"/>
  <c r="V18" i="3"/>
  <c r="U18" i="3"/>
  <c r="T18" i="3"/>
  <c r="S18" i="3"/>
  <c r="W18" i="3" s="1"/>
  <c r="X17" i="3"/>
  <c r="V17" i="3"/>
  <c r="U17" i="3"/>
  <c r="T17" i="3"/>
  <c r="S17" i="3"/>
  <c r="W17" i="3" s="1"/>
  <c r="X16" i="3"/>
  <c r="V16" i="3"/>
  <c r="U16" i="3"/>
  <c r="T16" i="3"/>
  <c r="S16" i="3"/>
  <c r="W16" i="3" s="1"/>
  <c r="X15" i="3"/>
  <c r="V15" i="3"/>
  <c r="U15" i="3"/>
  <c r="T15" i="3"/>
  <c r="S15" i="3"/>
  <c r="W15" i="3" s="1"/>
  <c r="X14" i="3"/>
  <c r="V14" i="3"/>
  <c r="U14" i="3"/>
  <c r="T14" i="3"/>
  <c r="S14" i="3"/>
  <c r="W14" i="3" s="1"/>
  <c r="X13" i="3"/>
  <c r="V13" i="3"/>
  <c r="U13" i="3"/>
  <c r="T13" i="3"/>
  <c r="S13" i="3"/>
  <c r="W13" i="3" s="1"/>
  <c r="X12" i="3"/>
  <c r="V12" i="3"/>
  <c r="U12" i="3"/>
  <c r="T12" i="3"/>
  <c r="S12" i="3"/>
  <c r="W12" i="3" s="1"/>
  <c r="X11" i="3"/>
  <c r="V11" i="3"/>
  <c r="U11" i="3"/>
  <c r="T11" i="3"/>
  <c r="S11" i="3"/>
  <c r="W11" i="3" s="1"/>
  <c r="X10" i="3"/>
  <c r="V10" i="3"/>
  <c r="U10" i="3"/>
  <c r="T10" i="3"/>
  <c r="S10" i="3"/>
  <c r="W10" i="3" s="1"/>
  <c r="X9" i="3"/>
  <c r="V9" i="3"/>
  <c r="U9" i="3"/>
  <c r="T9" i="3"/>
  <c r="S9" i="3"/>
  <c r="W9" i="3" s="1"/>
  <c r="X8" i="3"/>
  <c r="V8" i="3"/>
  <c r="U8" i="3"/>
  <c r="T8" i="3"/>
  <c r="S8" i="3"/>
  <c r="W8" i="3" s="1"/>
  <c r="X7" i="3"/>
  <c r="V7" i="3"/>
  <c r="U7" i="3"/>
  <c r="T7" i="3"/>
  <c r="S7" i="3"/>
  <c r="W7" i="3" s="1"/>
  <c r="X6" i="3"/>
  <c r="V6" i="3"/>
  <c r="U6" i="3"/>
  <c r="T6" i="3"/>
  <c r="S6" i="3"/>
  <c r="W6" i="3" s="1"/>
  <c r="X5" i="3"/>
  <c r="V5" i="3"/>
  <c r="U5" i="3"/>
  <c r="T5" i="3"/>
  <c r="S5" i="3"/>
  <c r="W5" i="3" s="1"/>
  <c r="X4" i="3"/>
  <c r="V4" i="3"/>
  <c r="U4" i="3"/>
  <c r="T4" i="3"/>
  <c r="S4" i="3"/>
  <c r="W4" i="3" s="1"/>
  <c r="X3" i="3"/>
  <c r="V3" i="3"/>
  <c r="U3" i="3"/>
  <c r="T3" i="3"/>
  <c r="S3" i="3"/>
  <c r="W3" i="3" s="1"/>
  <c r="AF213" i="9" l="1"/>
  <c r="AF212" i="9"/>
  <c r="AF206" i="9"/>
  <c r="AF205" i="9"/>
  <c r="AF204" i="9"/>
  <c r="AF203" i="9"/>
  <c r="AF198" i="9"/>
  <c r="AF197" i="9"/>
  <c r="AF196" i="9"/>
  <c r="AF195" i="9"/>
  <c r="AF190" i="9"/>
  <c r="AF189" i="9"/>
  <c r="AF188" i="9"/>
  <c r="AF187" i="9"/>
  <c r="AF182" i="9"/>
  <c r="AF181" i="9"/>
  <c r="AF180" i="9"/>
  <c r="AF179" i="9"/>
  <c r="AF174" i="9"/>
  <c r="AF173" i="9"/>
  <c r="AF172" i="9"/>
  <c r="AF171" i="9"/>
  <c r="AF166" i="9"/>
  <c r="AF165" i="9"/>
  <c r="AF164" i="9"/>
  <c r="AF163" i="9"/>
  <c r="AF158" i="9"/>
  <c r="AF157" i="9"/>
  <c r="AF156" i="9"/>
  <c r="AF155" i="9"/>
  <c r="AF150" i="9"/>
  <c r="AF149" i="9"/>
  <c r="AF148" i="9"/>
  <c r="AF147" i="9"/>
  <c r="AF142" i="9"/>
  <c r="AF141" i="9"/>
  <c r="AF140" i="9"/>
  <c r="AF139" i="9"/>
  <c r="AF134" i="9"/>
  <c r="AF133" i="9"/>
  <c r="AF132" i="9"/>
  <c r="AF131" i="9"/>
  <c r="AF126" i="9"/>
  <c r="AF125" i="9"/>
  <c r="AF124" i="9"/>
  <c r="AF123" i="9"/>
  <c r="AF118" i="9"/>
  <c r="AF117" i="9"/>
  <c r="AF116" i="9"/>
  <c r="AF115" i="9"/>
  <c r="AF110" i="9"/>
  <c r="AF109" i="9"/>
  <c r="AF108" i="9"/>
  <c r="AF107" i="9"/>
  <c r="AF102" i="9"/>
  <c r="AF101" i="9"/>
  <c r="AF100" i="9"/>
  <c r="AF99" i="9"/>
  <c r="AF94" i="9"/>
  <c r="AF93" i="9"/>
  <c r="AF92" i="9"/>
  <c r="AF91" i="9"/>
  <c r="AF86" i="9"/>
  <c r="AF85" i="9"/>
  <c r="AF84" i="9"/>
  <c r="AF83" i="9"/>
  <c r="AF78" i="9"/>
  <c r="AF77" i="9"/>
  <c r="AF76" i="9"/>
  <c r="AF75" i="9"/>
  <c r="AF70" i="9"/>
  <c r="AF69" i="9"/>
  <c r="AF68" i="9"/>
  <c r="AF67" i="9"/>
  <c r="AF62" i="9"/>
  <c r="AF61" i="9"/>
  <c r="AF60" i="9"/>
  <c r="AF59" i="9"/>
  <c r="AF54" i="9"/>
  <c r="AF53" i="9"/>
  <c r="AF52" i="9"/>
  <c r="AF51" i="9"/>
  <c r="AF46" i="9"/>
  <c r="AF45" i="9"/>
  <c r="AF44" i="9"/>
  <c r="AF43" i="9"/>
  <c r="AF38" i="9"/>
  <c r="AF37" i="9"/>
  <c r="AF36" i="9"/>
  <c r="AF35" i="9"/>
  <c r="AF30" i="9"/>
  <c r="AF29" i="9"/>
  <c r="AF28" i="9"/>
  <c r="AF27" i="9"/>
  <c r="AF22" i="9"/>
  <c r="AF21" i="9"/>
  <c r="AF20" i="9"/>
  <c r="AF19" i="9"/>
  <c r="AF14" i="9"/>
  <c r="C218" i="9"/>
  <c r="D218" i="9" s="1"/>
  <c r="G25" i="6"/>
  <c r="F25" i="6"/>
  <c r="G24" i="6"/>
  <c r="F24" i="6"/>
  <c r="G21" i="6"/>
  <c r="F19" i="6"/>
  <c r="G18" i="6"/>
  <c r="F18" i="6"/>
  <c r="G17" i="6"/>
  <c r="F17" i="6"/>
  <c r="G16" i="6"/>
  <c r="F16" i="6"/>
  <c r="G13" i="6"/>
  <c r="F9" i="6"/>
  <c r="E9" i="6"/>
  <c r="F8" i="6"/>
  <c r="F7" i="6"/>
  <c r="E7" i="6"/>
  <c r="F6" i="6"/>
  <c r="F5" i="6"/>
  <c r="E5" i="6"/>
  <c r="W36" i="3"/>
  <c r="W44" i="3"/>
  <c r="W52" i="3"/>
  <c r="W68" i="3"/>
  <c r="W100" i="3"/>
  <c r="W108" i="3"/>
  <c r="W116" i="3"/>
  <c r="W122" i="3"/>
  <c r="W124" i="3"/>
  <c r="W130" i="3"/>
  <c r="W132" i="3"/>
  <c r="W138" i="3"/>
  <c r="W140" i="3"/>
  <c r="W146" i="3"/>
  <c r="W148" i="3"/>
  <c r="W154" i="3"/>
  <c r="W156" i="3"/>
  <c r="W162" i="3"/>
  <c r="W164" i="3"/>
  <c r="W180" i="3"/>
  <c r="W194" i="3"/>
  <c r="W196" i="3"/>
  <c r="W202" i="3"/>
  <c r="W203" i="3"/>
  <c r="C70" i="8"/>
  <c r="C9" i="5"/>
  <c r="D9" i="5" s="1"/>
  <c r="C11" i="5"/>
  <c r="D11" i="5" s="1"/>
  <c r="C10" i="5"/>
  <c r="D10" i="5" s="1"/>
  <c r="C12" i="5"/>
  <c r="D12" i="5" s="1"/>
  <c r="C219" i="9"/>
  <c r="D219" i="9" s="1"/>
  <c r="F14" i="6"/>
  <c r="F22" i="6"/>
  <c r="K19" i="8"/>
  <c r="C72" i="8" s="1"/>
  <c r="D72" i="8" s="1"/>
  <c r="C71" i="8"/>
  <c r="D71" i="8" s="1"/>
  <c r="C8" i="5"/>
  <c r="F20" i="6"/>
  <c r="E226" i="9"/>
  <c r="E228" i="9"/>
  <c r="E230" i="9"/>
  <c r="E232" i="9"/>
  <c r="E234" i="9"/>
  <c r="E236" i="9"/>
  <c r="F15" i="6"/>
  <c r="F23" i="6"/>
  <c r="C220" i="9"/>
  <c r="C217" i="9"/>
  <c r="E225" i="9"/>
  <c r="E227" i="9"/>
  <c r="E229" i="9"/>
  <c r="E231" i="9"/>
  <c r="E233" i="9"/>
  <c r="E235" i="9"/>
  <c r="E237" i="9"/>
  <c r="D31" i="5" l="1"/>
  <c r="D8" i="5"/>
  <c r="B34" i="5" s="1"/>
</calcChain>
</file>

<file path=xl/sharedStrings.xml><?xml version="1.0" encoding="utf-8"?>
<sst xmlns="http://schemas.openxmlformats.org/spreadsheetml/2006/main" count="556" uniqueCount="420">
  <si>
    <t>한→일 소설 MT 평가표 v2</t>
  </si>
  <si>
    <r>
      <rPr>
        <i/>
        <sz val="9"/>
        <color rgb="FF666666"/>
        <rFont val="Arial"/>
        <family val="2"/>
      </rPr>
      <t xml:space="preserve">v1 </t>
    </r>
    <r>
      <rPr>
        <i/>
        <sz val="9"/>
        <color rgb="FF666666"/>
        <rFont val="Noto Sans CJK SC"/>
        <family val="2"/>
      </rPr>
      <t>이후 프롬프트 개발</t>
    </r>
    <r>
      <rPr>
        <i/>
        <sz val="9"/>
        <color rgb="FF666666"/>
        <rFont val="Arial"/>
        <family val="2"/>
      </rPr>
      <t>·</t>
    </r>
    <r>
      <rPr>
        <i/>
        <sz val="9"/>
        <color rgb="FF666666"/>
        <rFont val="Noto Sans CJK SC"/>
        <family val="2"/>
      </rPr>
      <t xml:space="preserve">개선을 위한 버전별 변화 추적 </t>
    </r>
    <r>
      <rPr>
        <i/>
        <sz val="9"/>
        <color rgb="FF666666"/>
        <rFont val="Arial"/>
        <family val="2"/>
      </rPr>
      <t xml:space="preserve">+ </t>
    </r>
    <r>
      <rPr>
        <i/>
        <sz val="9"/>
        <color rgb="FF666666"/>
        <rFont val="Noto Sans CJK SC"/>
        <family val="2"/>
      </rPr>
      <t>개선 우선순위 도출용 평가표</t>
    </r>
  </si>
  <si>
    <t>시트 구성</t>
  </si>
  <si>
    <t>① 안내</t>
  </si>
  <si>
    <t>본 시트. 평가 기준·운영 방식 요약</t>
  </si>
  <si>
    <t>② 카테고리 정의</t>
  </si>
  <si>
    <r>
      <rPr>
        <sz val="10"/>
        <color rgb="FF000000"/>
        <rFont val="Arial"/>
        <family val="2"/>
      </rPr>
      <t>13</t>
    </r>
    <r>
      <rPr>
        <sz val="10"/>
        <color rgb="FF000000"/>
        <rFont val="Noto Sans CJK SC"/>
        <family val="2"/>
      </rPr>
      <t>개 카테고리의 정의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예시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강도 점수 기준</t>
    </r>
  </si>
  <si>
    <t>③ 평가 입력</t>
  </si>
  <si>
    <t>문장 단위 평가 입력 시트(메인 작업 시트)</t>
  </si>
  <si>
    <t>④ 정성 평가</t>
  </si>
  <si>
    <t>장면 단위 정성 7항목 평가</t>
  </si>
  <si>
    <t>⑤ 결과 대시보드</t>
  </si>
  <si>
    <t>정량 지표·카테고리별 발생률·통과 여부 자동 산출</t>
  </si>
  <si>
    <t>⑥ 버전 비교</t>
  </si>
  <si>
    <r>
      <rPr>
        <sz val="10"/>
        <color rgb="FF000000"/>
        <rFont val="Arial"/>
        <family val="2"/>
      </rPr>
      <t>v1</t>
    </r>
    <r>
      <rPr>
        <sz val="10"/>
        <color rgb="FF000000"/>
        <rFont val="Noto Sans CJK SC"/>
        <family val="2"/>
      </rPr>
      <t xml:space="preserve">과 </t>
    </r>
    <r>
      <rPr>
        <sz val="10"/>
        <color rgb="FF000000"/>
        <rFont val="Arial"/>
        <family val="2"/>
      </rPr>
      <t>v1.x</t>
    </r>
    <r>
      <rPr>
        <sz val="10"/>
        <color rgb="FF000000"/>
        <rFont val="Noto Sans CJK SC"/>
        <family val="2"/>
      </rPr>
      <t>의 변화량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나빠진 항목 비교</t>
    </r>
  </si>
  <si>
    <t>⑦ 기타 사례 누적</t>
  </si>
  <si>
    <r>
      <rPr>
        <sz val="10"/>
        <color rgb="FF000000"/>
        <rFont val="Arial"/>
        <family val="2"/>
      </rPr>
      <t>"</t>
    </r>
    <r>
      <rPr>
        <sz val="10"/>
        <color rgb="FF000000"/>
        <rFont val="Noto Sans CJK SC"/>
        <family val="2"/>
      </rPr>
      <t>기타</t>
    </r>
    <r>
      <rPr>
        <sz val="10"/>
        <color rgb="FF000000"/>
        <rFont val="Arial"/>
        <family val="2"/>
      </rPr>
      <t xml:space="preserve">" </t>
    </r>
    <r>
      <rPr>
        <sz val="10"/>
        <color rgb="FF000000"/>
        <rFont val="Noto Sans CJK SC"/>
        <family val="2"/>
      </rPr>
      <t>분류 사례 모아 신규 카테고리화 검토</t>
    </r>
  </si>
  <si>
    <t>⑧ 평가자 일치율</t>
  </si>
  <si>
    <t>본 평가 전 평가자 2~3명의 분류 일치율 측정 및 본 평가 진입 가능 여부 자동 판정</t>
  </si>
  <si>
    <t>⑨ 본 평가 비교</t>
  </si>
  <si>
    <r>
      <rPr>
        <sz val="10"/>
        <color rgb="FF000000"/>
        <rFont val="Noto Sans CJK SC"/>
        <family val="2"/>
      </rPr>
      <t xml:space="preserve">두 평가자 결과를 붙여넣어 본 평가 중 일치율 측정 </t>
    </r>
    <r>
      <rPr>
        <sz val="10"/>
        <color rgb="FF000000"/>
        <rFont val="Arial"/>
        <family val="2"/>
      </rPr>
      <t xml:space="preserve">+ </t>
    </r>
    <r>
      <rPr>
        <sz val="10"/>
        <color rgb="FF000000"/>
        <rFont val="Noto Sans CJK SC"/>
        <family val="2"/>
      </rPr>
      <t>합의 권장값 자동 산출</t>
    </r>
  </si>
  <si>
    <t>평가 단계</t>
  </si>
  <si>
    <r>
      <rPr>
        <b/>
        <sz val="10"/>
        <color rgb="FF000000"/>
        <rFont val="Arial"/>
        <family val="2"/>
      </rPr>
      <t xml:space="preserve">1. </t>
    </r>
    <r>
      <rPr>
        <b/>
        <sz val="10"/>
        <color rgb="FF000000"/>
        <rFont val="Noto Sans CJK SC"/>
        <family val="2"/>
      </rPr>
      <t>사전 준비</t>
    </r>
  </si>
  <si>
    <t>평가용 원문 셋 고정. 동일 셋을 v1·v1.x에 적용해야 비교 가능. 최소 3작품 × 100~200문장 권장.</t>
  </si>
  <si>
    <r>
      <rPr>
        <b/>
        <sz val="10"/>
        <color rgb="FF000000"/>
        <rFont val="Arial"/>
        <family val="2"/>
      </rPr>
      <t xml:space="preserve">2. </t>
    </r>
    <r>
      <rPr>
        <b/>
        <sz val="10"/>
        <color rgb="FF000000"/>
        <rFont val="Noto Sans CJK SC"/>
        <family val="2"/>
      </rPr>
      <t>평가자 기준 맞추기</t>
    </r>
  </si>
  <si>
    <t>평가자 2명 이상이 동일 30문장을 따로 평가한 뒤, 같은 카테고리로 분류한 비율을 확인합니다. 70% 이상 일치하면 본 평가 진입, 미만이면 카테고리 정의를 다시 합의합니다.</t>
  </si>
  <si>
    <r>
      <rPr>
        <b/>
        <sz val="10"/>
        <color rgb="FF000000"/>
        <rFont val="Arial"/>
        <family val="2"/>
      </rPr>
      <t xml:space="preserve">3. </t>
    </r>
    <r>
      <rPr>
        <b/>
        <sz val="10"/>
        <color rgb="FF000000"/>
        <rFont val="Noto Sans CJK SC"/>
        <family val="2"/>
      </rPr>
      <t>본 평가</t>
    </r>
  </si>
  <si>
    <t>③ 평가 입력 시트에 문장 단위 강도(0~3) 입력. 한 문장당 최대 1~2개 카테고리.</t>
  </si>
  <si>
    <r>
      <rPr>
        <b/>
        <sz val="10"/>
        <color rgb="FF000000"/>
        <rFont val="Arial"/>
        <family val="2"/>
      </rPr>
      <t xml:space="preserve">4. </t>
    </r>
    <r>
      <rPr>
        <b/>
        <sz val="10"/>
        <color rgb="FF000000"/>
        <rFont val="Noto Sans CJK SC"/>
        <family val="2"/>
      </rPr>
      <t>정성 평가</t>
    </r>
  </si>
  <si>
    <t>④ 정성 평가 시트에 장면 단위로 7항목 0~2점으로 입력.</t>
  </si>
  <si>
    <r>
      <rPr>
        <b/>
        <sz val="10"/>
        <color rgb="FF000000"/>
        <rFont val="Arial"/>
        <family val="2"/>
      </rPr>
      <t xml:space="preserve">5. </t>
    </r>
    <r>
      <rPr>
        <b/>
        <sz val="10"/>
        <color rgb="FF000000"/>
        <rFont val="Noto Sans CJK SC"/>
        <family val="2"/>
      </rPr>
      <t>집계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Noto Sans CJK SC"/>
        <family val="2"/>
      </rPr>
      <t>비교</t>
    </r>
  </si>
  <si>
    <t>⑤ 대시보드 자동 산출 → ⑥ 버전 비교에서 v1 대비 변화량·나빠진 항목 점검.</t>
  </si>
  <si>
    <r>
      <rPr>
        <b/>
        <sz val="10"/>
        <color rgb="FF000000"/>
        <rFont val="Arial"/>
        <family val="2"/>
      </rPr>
      <t xml:space="preserve">6. </t>
    </r>
    <r>
      <rPr>
        <b/>
        <sz val="10"/>
        <color rgb="FF000000"/>
        <rFont val="Noto Sans CJK SC"/>
        <family val="2"/>
      </rPr>
      <t>판정</t>
    </r>
  </si>
  <si>
    <t>통과 / 조건부 통과 / 실패 + 개선 우선순위 카테고리 도출.</t>
  </si>
  <si>
    <t>정량 기준 (v2 강화 기준)</t>
  </si>
  <si>
    <t>총 수정률</t>
  </si>
  <si>
    <r>
      <rPr>
        <sz val="10"/>
        <color rgb="FF000000"/>
        <rFont val="Arial"/>
        <family val="2"/>
      </rPr>
      <t xml:space="preserve">≤ 45% (v1: 50%) — </t>
    </r>
    <r>
      <rPr>
        <sz val="10"/>
        <color rgb="FF000000"/>
        <rFont val="Noto Sans CJK SC"/>
        <family val="2"/>
      </rPr>
      <t xml:space="preserve">카테고리 </t>
    </r>
    <r>
      <rPr>
        <sz val="10"/>
        <color rgb="FF000000"/>
        <rFont val="Arial"/>
        <family val="2"/>
      </rPr>
      <t xml:space="preserve">1~13 </t>
    </r>
    <r>
      <rPr>
        <sz val="10"/>
        <color rgb="FF000000"/>
        <rFont val="Noto Sans CJK SC"/>
        <family val="2"/>
      </rPr>
      <t xml:space="preserve">전체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강도 ≥</t>
    </r>
    <r>
      <rPr>
        <sz val="10"/>
        <color rgb="FF000000"/>
        <rFont val="Arial"/>
        <family val="2"/>
      </rPr>
      <t>1)</t>
    </r>
  </si>
  <si>
    <t>의미 오류 수정률</t>
  </si>
  <si>
    <r>
      <rPr>
        <sz val="10"/>
        <color rgb="FF000000"/>
        <rFont val="Arial"/>
        <family val="2"/>
      </rPr>
      <t xml:space="preserve">≤ 17% (v1: 20%) — </t>
    </r>
    <r>
      <rPr>
        <sz val="10"/>
        <color rgb="FF000000"/>
        <rFont val="Noto Sans CJK SC"/>
        <family val="2"/>
      </rPr>
      <t xml:space="preserve">카테고리 </t>
    </r>
    <r>
      <rPr>
        <sz val="10"/>
        <color rgb="FF000000"/>
        <rFont val="Arial"/>
        <family val="2"/>
      </rPr>
      <t>3·5·6·7·8·9·12</t>
    </r>
  </si>
  <si>
    <t>형식 오류 수정률</t>
  </si>
  <si>
    <r>
      <rPr>
        <sz val="10"/>
        <color rgb="FF000000"/>
        <rFont val="Arial"/>
        <family val="2"/>
      </rPr>
      <t xml:space="preserve">≤ 12% (v1: 15%) — </t>
    </r>
    <r>
      <rPr>
        <sz val="10"/>
        <color rgb="FF000000"/>
        <rFont val="Noto Sans CJK SC"/>
        <family val="2"/>
      </rPr>
      <t xml:space="preserve">카테고리 </t>
    </r>
    <r>
      <rPr>
        <sz val="10"/>
        <color rgb="FF000000"/>
        <rFont val="Arial"/>
        <family val="2"/>
      </rPr>
      <t>1·2·4·10</t>
    </r>
  </si>
  <si>
    <t>시제 오류 발생률</t>
  </si>
  <si>
    <r>
      <rPr>
        <sz val="10"/>
        <color rgb="FF000000"/>
        <rFont val="Arial"/>
        <family val="2"/>
      </rPr>
      <t xml:space="preserve">≤ 8% (v1: 10%) — </t>
    </r>
    <r>
      <rPr>
        <sz val="10"/>
        <color rgb="FF000000"/>
        <rFont val="Noto Sans CJK SC"/>
        <family val="2"/>
      </rPr>
      <t xml:space="preserve">카테고리 </t>
    </r>
    <r>
      <rPr>
        <sz val="10"/>
        <color rgb="FF000000"/>
        <rFont val="Arial"/>
        <family val="2"/>
      </rPr>
      <t>11</t>
    </r>
  </si>
  <si>
    <t>수정 없이 넘긴 문장 비율</t>
  </si>
  <si>
    <r>
      <rPr>
        <sz val="10"/>
        <color rgb="FF000000"/>
        <rFont val="Arial"/>
        <family val="2"/>
      </rPr>
      <t xml:space="preserve">≥ 35% (v1: 30%) — </t>
    </r>
    <r>
      <rPr>
        <sz val="10"/>
        <color rgb="FF000000"/>
        <rFont val="Noto Sans CJK SC"/>
        <family val="2"/>
      </rPr>
      <t xml:space="preserve">카테고리 </t>
    </r>
    <r>
      <rPr>
        <sz val="10"/>
        <color rgb="FF000000"/>
        <rFont val="Arial"/>
        <family val="2"/>
      </rPr>
      <t xml:space="preserve">1~13 </t>
    </r>
    <r>
      <rPr>
        <sz val="10"/>
        <color rgb="FF000000"/>
        <rFont val="Noto Sans CJK SC"/>
        <family val="2"/>
      </rPr>
      <t xml:space="preserve">모두 강도 </t>
    </r>
    <r>
      <rPr>
        <sz val="10"/>
        <color rgb="FF000000"/>
        <rFont val="Arial"/>
        <family val="2"/>
      </rPr>
      <t>0</t>
    </r>
    <r>
      <rPr>
        <sz val="10"/>
        <color rgb="FF000000"/>
        <rFont val="Noto Sans CJK SC"/>
        <family val="2"/>
      </rPr>
      <t>인 문장</t>
    </r>
  </si>
  <si>
    <t>기타 (13번)</t>
  </si>
  <si>
    <t>총 수정률에는 포함, 의미·형식·시제 어느 그룹에도 속하지 않음 (분류 후보 발굴용)</t>
  </si>
  <si>
    <t>나빠짐 표시 (신규)</t>
  </si>
  <si>
    <r>
      <rPr>
        <sz val="10"/>
        <color rgb="FF000000"/>
        <rFont val="Arial"/>
        <family val="2"/>
      </rPr>
      <t xml:space="preserve">v1 </t>
    </r>
    <r>
      <rPr>
        <sz val="10"/>
        <color rgb="FF000000"/>
        <rFont val="Noto Sans CJK SC"/>
        <family val="2"/>
      </rPr>
      <t xml:space="preserve">대비 어떤 카테고리든 발생률이 </t>
    </r>
    <r>
      <rPr>
        <sz val="10"/>
        <color rgb="FF000000"/>
        <rFont val="Arial"/>
        <family val="2"/>
      </rPr>
      <t xml:space="preserve">2%p </t>
    </r>
    <r>
      <rPr>
        <sz val="10"/>
        <color rgb="FF000000"/>
        <rFont val="Noto Sans CJK SC"/>
        <family val="2"/>
      </rPr>
      <t>이상 늘어나면 표시</t>
    </r>
  </si>
  <si>
    <t>샘플 안정성 (신규)</t>
  </si>
  <si>
    <t>정성 가산점 (장면 단위)</t>
  </si>
  <si>
    <t>대사 흐름 자연스러움</t>
  </si>
  <si>
    <r>
      <rPr>
        <sz val="10"/>
        <color rgb="FF000000"/>
        <rFont val="Arial"/>
        <family val="2"/>
      </rPr>
      <t>0~2</t>
    </r>
    <r>
      <rPr>
        <sz val="10"/>
        <color rgb="FF000000"/>
        <rFont val="Noto Sans CJK SC"/>
        <family val="2"/>
      </rPr>
      <t xml:space="preserve">점 → </t>
    </r>
    <r>
      <rPr>
        <sz val="10"/>
        <color rgb="FF000000"/>
        <rFont val="Arial"/>
        <family val="2"/>
      </rPr>
      <t xml:space="preserve">% </t>
    </r>
    <r>
      <rPr>
        <sz val="10"/>
        <color rgb="FF000000"/>
        <rFont val="Noto Sans CJK SC"/>
        <family val="2"/>
      </rPr>
      <t xml:space="preserve">점수로 변환 시 </t>
    </r>
    <r>
      <rPr>
        <sz val="10"/>
        <color rgb="FF000000"/>
        <rFont val="Arial"/>
        <family val="2"/>
      </rPr>
      <t xml:space="preserve">+3% </t>
    </r>
    <r>
      <rPr>
        <sz val="10"/>
        <color rgb="FF000000"/>
        <rFont val="Noto Sans CJK SC"/>
        <family val="2"/>
      </rPr>
      <t>가능</t>
    </r>
  </si>
  <si>
    <t>속마음·이탤릭 구분</t>
  </si>
  <si>
    <r>
      <rPr>
        <sz val="10"/>
        <color rgb="FF000000"/>
        <rFont val="Arial"/>
        <family val="2"/>
      </rPr>
      <t>0~2</t>
    </r>
    <r>
      <rPr>
        <sz val="10"/>
        <color rgb="FF000000"/>
        <rFont val="Noto Sans CJK SC"/>
        <family val="2"/>
      </rPr>
      <t xml:space="preserve">점 → </t>
    </r>
    <r>
      <rPr>
        <sz val="10"/>
        <color rgb="FF000000"/>
        <rFont val="Arial"/>
        <family val="2"/>
      </rPr>
      <t xml:space="preserve">% </t>
    </r>
    <r>
      <rPr>
        <sz val="10"/>
        <color rgb="FF000000"/>
        <rFont val="Noto Sans CJK SC"/>
        <family val="2"/>
      </rPr>
      <t xml:space="preserve">점수로 변환 시 </t>
    </r>
    <r>
      <rPr>
        <sz val="10"/>
        <color rgb="FF000000"/>
        <rFont val="Arial"/>
        <family val="2"/>
      </rPr>
      <t xml:space="preserve">+2% </t>
    </r>
    <r>
      <rPr>
        <sz val="10"/>
        <color rgb="FF000000"/>
        <rFont val="Noto Sans CJK SC"/>
        <family val="2"/>
      </rPr>
      <t>가능</t>
    </r>
  </si>
  <si>
    <t>설정집 반영 정확도</t>
  </si>
  <si>
    <t>직역 탈피·의역 품질</t>
  </si>
  <si>
    <t>문장 구성 능력</t>
  </si>
  <si>
    <t>검수자 만족도</t>
  </si>
  <si>
    <r>
      <rPr>
        <sz val="10"/>
        <color rgb="FF000000"/>
        <rFont val="Arial"/>
        <family val="2"/>
      </rPr>
      <t>0~5</t>
    </r>
    <r>
      <rPr>
        <sz val="10"/>
        <color rgb="FF000000"/>
        <rFont val="Noto Sans CJK SC"/>
        <family val="2"/>
      </rPr>
      <t xml:space="preserve">점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참고용</t>
    </r>
    <r>
      <rPr>
        <sz val="10"/>
        <color rgb="FF000000"/>
        <rFont val="Arial"/>
        <family val="2"/>
      </rPr>
      <t>)</t>
    </r>
  </si>
  <si>
    <t>검수 시간 단축률</t>
  </si>
  <si>
    <t>한→일 번역 언어쌍 특화 포인트</t>
  </si>
  <si>
    <t>문체 종결형</t>
  </si>
  <si>
    <t>だ・である체 vs です・ます체. 지문은 보통 だ체, 대사는 캐릭터별. MT가 한 톤으로 미는 경향.</t>
  </si>
  <si>
    <t>경어 체계</t>
  </si>
  <si>
    <t>尊敬語·謙譲語·丁寧語 3중 체계. 한국어 어미 존댓말과 매핑이 1:1이 아님.</t>
  </si>
  <si>
    <r>
      <rPr>
        <b/>
        <sz val="10"/>
        <color rgb="FF000000"/>
        <rFont val="Arial"/>
        <family val="2"/>
      </rPr>
      <t>1·2</t>
    </r>
    <r>
      <rPr>
        <b/>
        <sz val="10"/>
        <color rgb="FF000000"/>
        <rFont val="Noto Sans CJK SC"/>
        <family val="2"/>
      </rPr>
      <t>인칭</t>
    </r>
  </si>
  <si>
    <t>私·僕·俺·あたし / あなた·君·お前·貴様 등 캐릭터 성격을 직접 드러냄.</t>
  </si>
  <si>
    <t>호칭 접미사</t>
  </si>
  <si>
    <t>さん·様·ちゃん·君·殿 등. 한국어 "오빠/형/선배" 매핑이 관계에 따라 달라짐.</t>
  </si>
  <si>
    <t>오노마토페</t>
  </si>
  <si>
    <t>한국어 의성·의태어("두근두근")를 일본어 オノマトペ(ドキドキ)로 살리는 능력.</t>
  </si>
  <si>
    <t>표기 선택</t>
  </si>
  <si>
    <t>子供/子ども/こども 등 같은 단어도 표기에 따라 뉘앙스 차이.</t>
  </si>
  <si>
    <t>루비(후리가나)</t>
  </si>
  <si>
    <t>판타지·이세계물 고유명사, 한자 위 다른 발음 연출.</t>
  </si>
  <si>
    <t>문장 길이·흐름</t>
  </si>
  <si>
    <t>라이트노벨 스타일은 짧은 문장의 흐름이 중요. 직역으로 늘어지면 읽기 어려워짐.</t>
  </si>
  <si>
    <t>문화 요소 현지화</t>
  </si>
  <si>
    <t>판정 규칙</t>
  </si>
  <si>
    <t>통과</t>
  </si>
  <si>
    <t>모든 정량 기준 충족 + 나빠진 항목 0건</t>
  </si>
  <si>
    <t>조건부 통과</t>
  </si>
  <si>
    <t>정량 1개 미달이나 정성 가산점 합산으로 충족 + 나빠진 항목 0~1건</t>
  </si>
  <si>
    <t>실패</t>
  </si>
  <si>
    <t>정량 2개 이상 미달 OR 나빠진 항목 2건 이상 OR 의미 오류 단독 초과</t>
  </si>
  <si>
    <t>#</t>
  </si>
  <si>
    <t>카테고리</t>
  </si>
  <si>
    <t>정의</t>
  </si>
  <si>
    <t>한→일 특화 포인트</t>
  </si>
  <si>
    <t>강도 1 예시</t>
  </si>
  <si>
    <t>강도 2 예시</t>
  </si>
  <si>
    <t>강도 3 예시</t>
  </si>
  <si>
    <t>집계 그룹</t>
  </si>
  <si>
    <t>1</t>
  </si>
  <si>
    <t>오타·표기 오류</t>
  </si>
  <si>
    <t>오탈자, 띄어쓰기, 한자 변환 오류, 송가나(送り仮名) 오류</t>
  </si>
  <si>
    <t>한자/히라가나/가타카나 변환 미스, 가타카나 외래어 표기 오류</t>
  </si>
  <si>
    <t>경미한 송가나 누락</t>
  </si>
  <si>
    <t>한자 변환 오류 명확</t>
  </si>
  <si>
    <t>의미 전달 실패하는 표기 오류</t>
  </si>
  <si>
    <t>형식 오류</t>
  </si>
  <si>
    <t>2</t>
  </si>
  <si>
    <t>문법 오류</t>
  </si>
  <si>
    <t>조사 오용, 활용 어미 오류, 어순 부자연</t>
  </si>
  <si>
    <t>は/が/を/に 조사 오용, 활용 어미(~ている/てある) 오류</t>
  </si>
  <si>
    <t>조사 1개 어색</t>
  </si>
  <si>
    <t>문법 명백한 오류</t>
  </si>
  <si>
    <t>문장 의미 파악 어려움</t>
  </si>
  <si>
    <t>3</t>
  </si>
  <si>
    <t>오역</t>
  </si>
  <si>
    <t>의미 왜곡, 발화자 혼동, 중요 내용 누락</t>
  </si>
  <si>
    <t>한국어 원문 의미를 일본어로 잘못 옮김</t>
  </si>
  <si>
    <t>뉘앙스 미세 차이</t>
  </si>
  <si>
    <t>의미 일부 왜곡</t>
  </si>
  <si>
    <t>핵심 의미 완전 왜곡, 플롯 영향</t>
  </si>
  <si>
    <t>의미 오류</t>
  </si>
  <si>
    <t>4</t>
  </si>
  <si>
    <t>문체 종결형 오류</t>
  </si>
  <si>
    <t>だ·である체 vs です·ます체 혼용, 지문/대사 톤 불일치</t>
  </si>
  <si>
    <t>소설 지문은 보통 だ·である체. MT가 한 톤으로 밀어버리는 경우 빈번</t>
  </si>
  <si>
    <t>경미한 톤 흔들림</t>
  </si>
  <si>
    <t>지문/대사 톤 불일치 명확</t>
  </si>
  <si>
    <t>작품 전체 톤 붕괴</t>
  </si>
  <si>
    <t>5</t>
  </si>
  <si>
    <t>경어·호칭 오류</t>
  </si>
  <si>
    <t>尊敬語·謙譲語·丁寧語 오용, 호칭 접미사(さん·様·ちゃん 등) 부적절</t>
  </si>
  <si>
    <t>한국어 존댓말 어미를 단순 です·ます로만 처리, 동사 자체 변형 누락(言う→おっしゃる)</t>
  </si>
  <si>
    <t>경어 단계 미세 부적절</t>
  </si>
  <si>
    <t>경어 종류 잘못 선택</t>
  </si>
  <si>
    <t>캐릭터 관계·계급 붕괴</t>
  </si>
  <si>
    <t>6</t>
  </si>
  <si>
    <r>
      <rPr>
        <sz val="10"/>
        <color rgb="FF000000"/>
        <rFont val="Arial"/>
        <family val="2"/>
      </rPr>
      <t>1·2</t>
    </r>
    <r>
      <rPr>
        <sz val="10"/>
        <color rgb="FF000000"/>
        <rFont val="Noto Sans CJK SC"/>
        <family val="2"/>
      </rPr>
      <t>인칭 선택 오류</t>
    </r>
  </si>
  <si>
    <t>私·僕·俺·あたし / あなた·君·お前 등 캐릭터 성격에 안 맞는 인칭</t>
  </si>
  <si>
    <t>한국어 "나/너"는 단순하나 일본어는 캐릭터 성격을 직접 드러냄</t>
  </si>
  <si>
    <t>인칭 살짝 어색</t>
  </si>
  <si>
    <t>캐릭터 성격과 안 맞는 인칭</t>
  </si>
  <si>
    <t>인칭 일관성 붕괴 또는 정체성 왜곡</t>
  </si>
  <si>
    <t>7</t>
  </si>
  <si>
    <t>오노마토페 처리 미흡</t>
  </si>
  <si>
    <t>한국어 의성·의태어를 일본어 オノマトペ로 살리지 못하고 평이하게 처리</t>
  </si>
  <si>
    <r>
      <rPr>
        <sz val="10"/>
        <color rgb="FF000000"/>
        <rFont val="Arial"/>
        <family val="2"/>
      </rPr>
      <t>"</t>
    </r>
    <r>
      <rPr>
        <sz val="10"/>
        <color rgb="FF000000"/>
        <rFont val="Noto Sans CJK SC"/>
        <family val="2"/>
      </rPr>
      <t>두근두근</t>
    </r>
    <r>
      <rPr>
        <sz val="10"/>
        <color rgb="FF000000"/>
        <rFont val="Arial"/>
        <family val="2"/>
      </rPr>
      <t>"→</t>
    </r>
    <r>
      <rPr>
        <sz val="10"/>
        <color rgb="FF000000"/>
        <rFont val="Noto Sans CJK SC"/>
        <family val="2"/>
      </rPr>
      <t>ドキドキ</t>
    </r>
    <r>
      <rPr>
        <sz val="10"/>
        <color rgb="FF000000"/>
        <rFont val="Arial"/>
        <family val="2"/>
      </rPr>
      <t>, "</t>
    </r>
    <r>
      <rPr>
        <sz val="10"/>
        <color rgb="FF000000"/>
        <rFont val="Noto Sans CJK SC"/>
        <family val="2"/>
      </rPr>
      <t>후다닥</t>
    </r>
    <r>
      <rPr>
        <sz val="10"/>
        <color rgb="FF000000"/>
        <rFont val="Arial"/>
        <family val="2"/>
      </rPr>
      <t>"→</t>
    </r>
    <r>
      <rPr>
        <sz val="10"/>
        <color rgb="FF000000"/>
        <rFont val="Noto Sans CJK SC"/>
        <family val="2"/>
      </rPr>
      <t>バタバタ 등 살리는 능력</t>
    </r>
    <r>
      <rPr>
        <sz val="10"/>
        <color rgb="FF000000"/>
        <rFont val="Arial"/>
        <family val="2"/>
      </rPr>
      <t>. MT</t>
    </r>
    <r>
      <rPr>
        <sz val="10"/>
        <color rgb="FF000000"/>
        <rFont val="Noto Sans CJK SC"/>
        <family val="2"/>
      </rPr>
      <t>는 동사로 풀어버리는 경향</t>
    </r>
  </si>
  <si>
    <t>오노마토페 선택 살짝 어색</t>
  </si>
  <si>
    <t>오노마토페 누락하고 평이하게 처리</t>
  </si>
  <si>
    <t>장면 분위기 완전히 붕괴</t>
  </si>
  <si>
    <t>8</t>
  </si>
  <si>
    <t>설정·세계관 위반</t>
  </si>
  <si>
    <t>용어집(TB) 용어 미반영(고유명사·인명·지명), 시대·장르 부적합 어휘</t>
  </si>
  <si>
    <t>판타지·이세계물 고유명사 표기 통일, 시대물에서 현대어 사용 금지</t>
  </si>
  <si>
    <t>용어집 용어 미세 불일치</t>
  </si>
  <si>
    <t>용어집 용어 명확히 누락</t>
  </si>
  <si>
    <t>세계관 핵심 설정 위반</t>
  </si>
  <si>
    <t>9</t>
  </si>
  <si>
    <t>직역체·부자연스러움</t>
  </si>
  <si>
    <t>한국어 구조 잔존, 일본어로서 어색. 윤문 부족</t>
  </si>
  <si>
    <t>한국어 어순·구조를 그대로 옮겨 일본어로서 어색한 문장</t>
  </si>
  <si>
    <t>약간 어색한 표현</t>
  </si>
  <si>
    <t>직역 티가 명확</t>
  </si>
  <si>
    <t>일본어 화자가 거의 안 쓰는 문장</t>
  </si>
  <si>
    <t>10</t>
  </si>
  <si>
    <t>스타일 가이드·표기</t>
  </si>
  <si>
    <t>문장부호(「」『』), 가타카나 선택, 루비(후리가나), 줄바꿈, 숫자 표기</t>
  </si>
  <si>
    <t>대사 부호 「」, 책 제목 『』, 가타카나/한자 선택, 루비 처리</t>
  </si>
  <si>
    <t>경미한 표기 흔들림</t>
  </si>
  <si>
    <t>가이드 명백 위반</t>
  </si>
  <si>
    <t>가독성 심각 저하</t>
  </si>
  <si>
    <t>11</t>
  </si>
  <si>
    <t>시제·시점 오류</t>
  </si>
  <si>
    <t>시제 일관성 부족, 시점 전환 부자연, 사건 순서 어긋남</t>
  </si>
  <si>
    <t>한·일 시제 표현 차이(~ていた vs 했었다), 장면 내 시제 일관성</t>
  </si>
  <si>
    <t>한 문장 시제 흔들림</t>
  </si>
  <si>
    <t>문단 내 시제 일관성 부족</t>
  </si>
  <si>
    <t>시점·사건 순서 붕괴</t>
  </si>
  <si>
    <t>시제 오류</t>
  </si>
  <si>
    <t>12</t>
  </si>
  <si>
    <t>일관성·문화 현지화</t>
  </si>
  <si>
    <t>동일 표현·이름·말투 불일치, 한국 고유 문화 요소 처리(음식·호칭·존댓말 문화)</t>
  </si>
  <si>
    <t>한국 고유 음식·호칭의 음차(キムチ)/의역(漬物)/주석 결정</t>
  </si>
  <si>
    <t>경미한 일관성 흔들림</t>
  </si>
  <si>
    <t>명백한 일관성 깨짐 또는 문화 요소 부적절</t>
  </si>
  <si>
    <t>독자 혼란 야기</t>
  </si>
  <si>
    <t>13</t>
  </si>
  <si>
    <t>기타</t>
  </si>
  <si>
    <t>위 항목에 포함되지 않으나 번역 품질에 영향</t>
  </si>
  <si>
    <t>신규 카테고리 후보 누적용. ⑦ 시트에 사례 기록</t>
  </si>
  <si>
    <t>경미한 기타 문제</t>
  </si>
  <si>
    <t>명확한 기타 문제</t>
  </si>
  <si>
    <t>심각한 기타 문제</t>
  </si>
  <si>
    <t>강도 점수 기준</t>
  </si>
  <si>
    <t>점수</t>
  </si>
  <si>
    <t>의미</t>
  </si>
  <si>
    <t>판정 기준</t>
  </si>
  <si>
    <t>집계 가중치</t>
  </si>
  <si>
    <t>0</t>
  </si>
  <si>
    <t>문제 없음</t>
  </si>
  <si>
    <t>수정 불필요</t>
  </si>
  <si>
    <t>0.0</t>
  </si>
  <si>
    <t>경미</t>
  </si>
  <si>
    <t>다듬으면 좋으나 의미 전달 OK</t>
  </si>
  <si>
    <t>0.3</t>
  </si>
  <si>
    <t>보통</t>
  </si>
  <si>
    <t>검수자가 명확히 수정해야 함</t>
  </si>
  <si>
    <t>0.7</t>
  </si>
  <si>
    <t>치명</t>
  </si>
  <si>
    <t>독자 이해 실패, 캐릭터 붕괴 등</t>
  </si>
  <si>
    <t>1.5</t>
  </si>
  <si>
    <t>원문 (한국어)</t>
  </si>
  <si>
    <r>
      <rPr>
        <b/>
        <sz val="11"/>
        <color rgb="FFFFFFFF"/>
        <rFont val="Arial"/>
        <family val="2"/>
      </rPr>
      <t>MT</t>
    </r>
    <r>
      <rPr>
        <b/>
        <sz val="11"/>
        <color rgb="FFFFFFFF"/>
        <rFont val="Noto Sans CJK SC"/>
        <family val="2"/>
      </rPr>
      <t xml:space="preserve">본 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일본어</t>
    </r>
    <r>
      <rPr>
        <b/>
        <sz val="11"/>
        <color rgb="FFFFFFFF"/>
        <rFont val="Arial"/>
        <family val="2"/>
      </rPr>
      <t>)</t>
    </r>
  </si>
  <si>
    <t>카테고리별 강도 (0~3)</t>
  </si>
  <si>
    <t>문장 단위 집계</t>
  </si>
  <si>
    <t>비고</t>
  </si>
  <si>
    <r>
      <rPr>
        <b/>
        <sz val="10"/>
        <color rgb="FF000000"/>
        <rFont val="Arial"/>
        <family val="2"/>
      </rPr>
      <t>1.</t>
    </r>
    <r>
      <rPr>
        <b/>
        <sz val="10"/>
        <color rgb="FF000000"/>
        <rFont val="Noto Sans CJK SC"/>
        <family val="2"/>
      </rPr>
      <t>오타</t>
    </r>
  </si>
  <si>
    <r>
      <rPr>
        <b/>
        <sz val="10"/>
        <color rgb="FF000000"/>
        <rFont val="Arial"/>
        <family val="2"/>
      </rPr>
      <t>2.</t>
    </r>
    <r>
      <rPr>
        <b/>
        <sz val="10"/>
        <color rgb="FF000000"/>
        <rFont val="Noto Sans CJK SC"/>
        <family val="2"/>
      </rPr>
      <t>문법</t>
    </r>
  </si>
  <si>
    <r>
      <rPr>
        <b/>
        <sz val="10"/>
        <color rgb="FF000000"/>
        <rFont val="Arial"/>
        <family val="2"/>
      </rPr>
      <t>3.</t>
    </r>
    <r>
      <rPr>
        <b/>
        <sz val="10"/>
        <color rgb="FF000000"/>
        <rFont val="Noto Sans CJK SC"/>
        <family val="2"/>
      </rPr>
      <t>오역</t>
    </r>
  </si>
  <si>
    <r>
      <rPr>
        <b/>
        <sz val="10"/>
        <color rgb="FF000000"/>
        <rFont val="Arial"/>
        <family val="2"/>
      </rPr>
      <t>4.</t>
    </r>
    <r>
      <rPr>
        <b/>
        <sz val="10"/>
        <color rgb="FF000000"/>
        <rFont val="Noto Sans CJK SC"/>
        <family val="2"/>
      </rPr>
      <t>문체</t>
    </r>
  </si>
  <si>
    <r>
      <rPr>
        <b/>
        <sz val="10"/>
        <color rgb="FF000000"/>
        <rFont val="Arial"/>
        <family val="2"/>
      </rPr>
      <t>5.</t>
    </r>
    <r>
      <rPr>
        <b/>
        <sz val="10"/>
        <color rgb="FF000000"/>
        <rFont val="Noto Sans CJK SC"/>
        <family val="2"/>
      </rPr>
      <t>경어</t>
    </r>
  </si>
  <si>
    <r>
      <rPr>
        <b/>
        <sz val="10"/>
        <color rgb="FF000000"/>
        <rFont val="Arial"/>
        <family val="2"/>
      </rPr>
      <t>6.</t>
    </r>
    <r>
      <rPr>
        <b/>
        <sz val="10"/>
        <color rgb="FF000000"/>
        <rFont val="Noto Sans CJK SC"/>
        <family val="2"/>
      </rPr>
      <t>인칭</t>
    </r>
  </si>
  <si>
    <r>
      <rPr>
        <b/>
        <sz val="10"/>
        <color rgb="FF000000"/>
        <rFont val="Arial"/>
        <family val="2"/>
      </rPr>
      <t>7.</t>
    </r>
    <r>
      <rPr>
        <b/>
        <sz val="10"/>
        <color rgb="FF000000"/>
        <rFont val="Noto Sans CJK SC"/>
        <family val="2"/>
      </rPr>
      <t>오노마</t>
    </r>
  </si>
  <si>
    <r>
      <rPr>
        <b/>
        <sz val="10"/>
        <color rgb="FF000000"/>
        <rFont val="Arial"/>
        <family val="2"/>
      </rPr>
      <t>8.</t>
    </r>
    <r>
      <rPr>
        <b/>
        <sz val="10"/>
        <color rgb="FF000000"/>
        <rFont val="Noto Sans CJK SC"/>
        <family val="2"/>
      </rPr>
      <t>설정</t>
    </r>
  </si>
  <si>
    <r>
      <rPr>
        <b/>
        <sz val="10"/>
        <color rgb="FF000000"/>
        <rFont val="Arial"/>
        <family val="2"/>
      </rPr>
      <t>9.</t>
    </r>
    <r>
      <rPr>
        <b/>
        <sz val="10"/>
        <color rgb="FF000000"/>
        <rFont val="Noto Sans CJK SC"/>
        <family val="2"/>
      </rPr>
      <t>직역</t>
    </r>
  </si>
  <si>
    <r>
      <rPr>
        <b/>
        <sz val="10"/>
        <color rgb="FF000000"/>
        <rFont val="Arial"/>
        <family val="2"/>
      </rPr>
      <t>10.</t>
    </r>
    <r>
      <rPr>
        <b/>
        <sz val="10"/>
        <color rgb="FF000000"/>
        <rFont val="Noto Sans CJK SC"/>
        <family val="2"/>
      </rPr>
      <t>스타일</t>
    </r>
  </si>
  <si>
    <r>
      <rPr>
        <b/>
        <sz val="10"/>
        <color rgb="FF000000"/>
        <rFont val="Arial"/>
        <family val="2"/>
      </rPr>
      <t>11.</t>
    </r>
    <r>
      <rPr>
        <b/>
        <sz val="10"/>
        <color rgb="FF000000"/>
        <rFont val="Noto Sans CJK SC"/>
        <family val="2"/>
      </rPr>
      <t>시제</t>
    </r>
  </si>
  <si>
    <r>
      <rPr>
        <b/>
        <sz val="10"/>
        <color rgb="FF000000"/>
        <rFont val="Arial"/>
        <family val="2"/>
      </rPr>
      <t>12.</t>
    </r>
    <r>
      <rPr>
        <b/>
        <sz val="10"/>
        <color rgb="FF000000"/>
        <rFont val="Noto Sans CJK SC"/>
        <family val="2"/>
      </rPr>
      <t>일관</t>
    </r>
  </si>
  <si>
    <r>
      <rPr>
        <b/>
        <sz val="10"/>
        <color rgb="FF000000"/>
        <rFont val="Arial"/>
        <family val="2"/>
      </rPr>
      <t>13.</t>
    </r>
    <r>
      <rPr>
        <b/>
        <sz val="10"/>
        <color rgb="FF000000"/>
        <rFont val="Noto Sans CJK SC"/>
        <family val="2"/>
      </rPr>
      <t>기타</t>
    </r>
  </si>
  <si>
    <t>수정여부</t>
  </si>
  <si>
    <t>의미오류</t>
  </si>
  <si>
    <t>형식오류</t>
  </si>
  <si>
    <t>시제오류</t>
  </si>
  <si>
    <t>미수정</t>
  </si>
  <si>
    <t>강도합</t>
  </si>
  <si>
    <t>장면 단위 정성 평가 (각 항목 0~2점)</t>
  </si>
  <si>
    <t>장면 ID</t>
  </si>
  <si>
    <t>장면 설명</t>
  </si>
  <si>
    <t>대사 흐름</t>
  </si>
  <si>
    <t>속마음·이탤릭</t>
  </si>
  <si>
    <t>설정 반영</t>
  </si>
  <si>
    <t>의역 품질</t>
  </si>
  <si>
    <t>문장 구성</t>
  </si>
  <si>
    <t>검수자 만족도(0~5)</t>
  </si>
  <si>
    <t>검수 시간(분)</t>
  </si>
  <si>
    <t>% 점수로 변환</t>
  </si>
  <si>
    <t>평균/합계</t>
  </si>
  <si>
    <t>결과 대시보드</t>
  </si>
  <si>
    <t>③ 평가 입력 시트의 데이터를 기반으로 자동 산출됩니다.</t>
  </si>
  <si>
    <t>프롬프트 버전</t>
  </si>
  <si>
    <t>v1.0</t>
  </si>
  <si>
    <t>평가 일자</t>
  </si>
  <si>
    <t>정량 지표</t>
  </si>
  <si>
    <t>지표</t>
  </si>
  <si>
    <r>
      <rPr>
        <b/>
        <sz val="11"/>
        <color rgb="FFFFFFFF"/>
        <rFont val="Arial"/>
        <family val="2"/>
      </rPr>
      <t xml:space="preserve">v2 </t>
    </r>
    <r>
      <rPr>
        <b/>
        <sz val="11"/>
        <color rgb="FFFFFFFF"/>
        <rFont val="Noto Sans CJK SC"/>
        <family val="2"/>
      </rPr>
      <t>기준</t>
    </r>
  </si>
  <si>
    <t>실제 값</t>
  </si>
  <si>
    <t>판정</t>
  </si>
  <si>
    <t>총 수정률 (%)</t>
  </si>
  <si>
    <t>≤ 45</t>
  </si>
  <si>
    <t>의미 오류 수정률 (%)</t>
  </si>
  <si>
    <t>≤ 17</t>
  </si>
  <si>
    <t>형식 오류 수정률 (%)</t>
  </si>
  <si>
    <t>≤ 12</t>
  </si>
  <si>
    <t>시제 오류 발생률 (%)</t>
  </si>
  <si>
    <t>≤ 8</t>
  </si>
  <si>
    <t>수정 없이 넘긴 문장 비율 (%)</t>
  </si>
  <si>
    <t>≥ 35</t>
  </si>
  <si>
    <t>카테고리별 발생률 (강도≥1 문장 비율)</t>
  </si>
  <si>
    <t>발생 건수</t>
  </si>
  <si>
    <t>발생률 (%)</t>
  </si>
  <si>
    <t>오타·표기</t>
  </si>
  <si>
    <t>문법</t>
  </si>
  <si>
    <t>경어·호칭</t>
  </si>
  <si>
    <t>설정·세계관</t>
  </si>
  <si>
    <t>직역체</t>
  </si>
  <si>
    <t>스타일·표기</t>
  </si>
  <si>
    <t>시제·시점</t>
  </si>
  <si>
    <t>일관성·문화</t>
  </si>
  <si>
    <t>정성 평가 가산점</t>
  </si>
  <si>
    <t>평균 % 점수 (가산점)</t>
  </si>
  <si>
    <t>실질 수정률 (%)</t>
  </si>
  <si>
    <t>최종 판정</t>
  </si>
  <si>
    <t>버전 비교 (v1 기준값 vs v1.x 개선안)</t>
  </si>
  <si>
    <t>각 버전의 ⑤ 결과 대시보드 수치를 수동으로 옮겨 적습니다. 변화량(현재−v1)이 2%p 이상 나빠지면 "나빠짐" 표시가 자동으로 나타납니다.</t>
  </si>
  <si>
    <r>
      <rPr>
        <b/>
        <sz val="11"/>
        <color rgb="FFFFFFFF"/>
        <rFont val="Arial"/>
        <family val="2"/>
      </rPr>
      <t>v1 (</t>
    </r>
    <r>
      <rPr>
        <b/>
        <sz val="11"/>
        <color rgb="FFFFFFFF"/>
        <rFont val="Noto Sans CJK SC"/>
        <family val="2"/>
      </rPr>
      <t>기준값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</si>
  <si>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>v1.x (</t>
    </r>
    <r>
      <rPr>
        <b/>
        <sz val="11"/>
        <color rgb="FFFFFFFF"/>
        <rFont val="Noto Sans CJK SC"/>
        <family val="2"/>
      </rPr>
      <t>현재</t>
    </r>
    <r>
      <rPr>
        <b/>
        <sz val="11"/>
        <color rgb="FFFFFFFF"/>
        <rFont val="Arial"/>
        <family val="2"/>
      </rPr>
      <t>)</t>
    </r>
  </si>
  <si>
    <t>변화량 (현재−v1)</t>
  </si>
  <si>
    <t>방향</t>
  </si>
  <si>
    <t>나빠짐 표시</t>
  </si>
  <si>
    <t>수정 없이 넘긴 비율 (%)</t>
  </si>
  <si>
    <t>카테고리별 발생률 비교 (%)</t>
  </si>
  <si>
    <t>v1</t>
  </si>
  <si>
    <t>v1.x</t>
  </si>
  <si>
    <t>변화량</t>
  </si>
  <si>
    <t>나빠짐</t>
  </si>
  <si>
    <r>
      <rPr>
        <b/>
        <sz val="14"/>
        <color rgb="FF1F4E78"/>
        <rFont val="Arial"/>
        <family val="2"/>
      </rPr>
      <t>"</t>
    </r>
    <r>
      <rPr>
        <b/>
        <sz val="14"/>
        <color rgb="FF1F4E78"/>
        <rFont val="Noto Sans CJK SC"/>
        <family val="2"/>
      </rPr>
      <t>기타</t>
    </r>
    <r>
      <rPr>
        <b/>
        <sz val="14"/>
        <color rgb="FF1F4E78"/>
        <rFont val="Arial"/>
        <family val="2"/>
      </rPr>
      <t xml:space="preserve">" </t>
    </r>
    <r>
      <rPr>
        <b/>
        <sz val="14"/>
        <color rgb="FF1F4E78"/>
        <rFont val="Noto Sans CJK SC"/>
        <family val="2"/>
      </rPr>
      <t xml:space="preserve">분류 사례 누적 </t>
    </r>
    <r>
      <rPr>
        <b/>
        <sz val="14"/>
        <color rgb="FF1F4E78"/>
        <rFont val="Arial"/>
        <family val="2"/>
      </rPr>
      <t>(</t>
    </r>
    <r>
      <rPr>
        <b/>
        <sz val="14"/>
        <color rgb="FF1F4E78"/>
        <rFont val="Noto Sans CJK SC"/>
        <family val="2"/>
      </rPr>
      <t>신규 카테고리 후보 발굴용</t>
    </r>
    <r>
      <rPr>
        <b/>
        <sz val="14"/>
        <color rgb="FF1F4E78"/>
        <rFont val="Arial"/>
        <family val="2"/>
      </rPr>
      <t>)</t>
    </r>
  </si>
  <si>
    <t>③ 평가 입력 시트에서 "13.기타"로 분류된 사례를 모아둡니다. 5건 이상 반복되는 패턴이 보이면 신규 카테고리화를 검토합니다.</t>
  </si>
  <si>
    <t>일자</t>
  </si>
  <si>
    <t>버전</t>
  </si>
  <si>
    <t>원문</t>
  </si>
  <si>
    <r>
      <rPr>
        <b/>
        <sz val="11"/>
        <color rgb="FFFFFFFF"/>
        <rFont val="Arial"/>
        <family val="2"/>
      </rPr>
      <t>MT</t>
    </r>
    <r>
      <rPr>
        <b/>
        <sz val="11"/>
        <color rgb="FFFFFFFF"/>
        <rFont val="Noto Sans CJK SC"/>
        <family val="2"/>
      </rPr>
      <t>본</t>
    </r>
  </si>
  <si>
    <t>문제 패턴 요약</t>
  </si>
  <si>
    <t>분류 후보</t>
  </si>
  <si>
    <t>평가자 일치율 측정 (본 평가 진입 전 필수)</t>
  </si>
  <si>
    <t>평가자 2~3명이 동일한 30문장을 따로 평가한 결과를 입력하면 일치율이 자동 계산됩니다. 카테고리 일치율 70% 이상이 본 평가 진입 조건입니다.</t>
  </si>
  <si>
    <t>사용 방법</t>
  </si>
  <si>
    <t>샘플 30문장을 평가용 원문에서 무작위로 추출해 C·D열에 붙여넣기</t>
  </si>
  <si>
    <t>평가자 2~3명이 각자 따로(상의 금지) 자기 영역(E~G / H~J / K~M 열)에 입력</t>
  </si>
  <si>
    <t>한 문장당 가장 큰 문제 카테고리 1개와 강도(0~3) 입력 / 문제 없으면 카테고리 0, 강도 0</t>
  </si>
  <si>
    <t>모두 입력 끝나면 N열에 일치 여부가 자동 표시됨</t>
  </si>
  <si>
    <t>하단 결과 영역에서 카테고리 일치율 확인 → 70% 이상이면 본 평가 진입 가능</t>
  </si>
  <si>
    <r>
      <rPr>
        <sz val="10"/>
        <color rgb="FF000000"/>
        <rFont val="Arial"/>
        <family val="2"/>
      </rPr>
      <t xml:space="preserve">70% </t>
    </r>
    <r>
      <rPr>
        <sz val="10"/>
        <color rgb="FF000000"/>
        <rFont val="Noto Sans CJK SC"/>
        <family val="2"/>
      </rPr>
      <t>미만이면 어긋난 문장</t>
    </r>
    <r>
      <rPr>
        <sz val="10"/>
        <color rgb="FF000000"/>
        <rFont val="Arial"/>
        <family val="2"/>
      </rPr>
      <t>(N</t>
    </r>
    <r>
      <rPr>
        <sz val="10"/>
        <color rgb="FF000000"/>
        <rFont val="Noto Sans CJK SC"/>
        <family val="2"/>
      </rPr>
      <t>열에 ✗ 표시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Noto Sans CJK SC"/>
        <family val="2"/>
      </rPr>
      <t xml:space="preserve">검토 → 정의 보강 후 다른 </t>
    </r>
    <r>
      <rPr>
        <sz val="10"/>
        <color rgb="FF000000"/>
        <rFont val="Arial"/>
        <family val="2"/>
      </rPr>
      <t>30</t>
    </r>
    <r>
      <rPr>
        <sz val="10"/>
        <color rgb="FF000000"/>
        <rFont val="Noto Sans CJK SC"/>
        <family val="2"/>
      </rPr>
      <t>문장으로 재측정</t>
    </r>
  </si>
  <si>
    <t>평가자 정보</t>
  </si>
  <si>
    <t>평가자 A 이름</t>
  </si>
  <si>
    <t>평가자 B 이름</t>
  </si>
  <si>
    <t>평가자 C 이름 (선택)</t>
  </si>
  <si>
    <t>측정 일자</t>
  </si>
  <si>
    <t>문장 #</t>
  </si>
  <si>
    <t>평가자 A</t>
  </si>
  <si>
    <t>평가자 B</t>
  </si>
  <si>
    <t>평가자 C</t>
  </si>
  <si>
    <t>카테고리 일치</t>
  </si>
  <si>
    <t>강도 일치</t>
  </si>
  <si>
    <t>어긋난 사유 (선택)</t>
  </si>
  <si>
    <t>강도</t>
  </si>
  <si>
    <t>일치율 결과</t>
  </si>
  <si>
    <t>항목</t>
  </si>
  <si>
    <t>평가 기준</t>
  </si>
  <si>
    <t>설명</t>
  </si>
  <si>
    <t>평가 완료 문장 수</t>
  </si>
  <si>
    <r>
      <rPr>
        <sz val="10"/>
        <color rgb="FF000000"/>
        <rFont val="Arial"/>
        <family val="2"/>
      </rPr>
      <t>30</t>
    </r>
    <r>
      <rPr>
        <sz val="10"/>
        <color rgb="FF000000"/>
        <rFont val="Noto Sans CJK SC"/>
        <family val="2"/>
      </rPr>
      <t>개 권장</t>
    </r>
  </si>
  <si>
    <t>참고</t>
  </si>
  <si>
    <r>
      <rPr>
        <sz val="10"/>
        <color rgb="FF000000"/>
        <rFont val="Arial"/>
        <family val="2"/>
      </rPr>
      <t>30</t>
    </r>
    <r>
      <rPr>
        <sz val="10"/>
        <color rgb="FF000000"/>
        <rFont val="Noto Sans CJK SC"/>
        <family val="2"/>
      </rPr>
      <t>문장 모두 평가가 끝나야 정확한 일치율이 산출됩니다</t>
    </r>
  </si>
  <si>
    <t>카테고리 일치율 (%)</t>
  </si>
  <si>
    <t>≥ 70%</t>
  </si>
  <si>
    <t>평가자들이 같은 카테고리로 분류한 비율. 70% 이상이 본 평가 진입 조건</t>
  </si>
  <si>
    <t>강도 일치율 (%)</t>
  </si>
  <si>
    <t>≥ 60%</t>
  </si>
  <si>
    <t>카테고리가 일치한 문장 중 강도 점수까지 같은 비율. 60% 이상이면 충분</t>
  </si>
  <si>
    <t>카테고리별 어긋남 빈도 (어디서 합의가 안 되는지 확인)</t>
  </si>
  <si>
    <t>평가자 A 사용 횟수</t>
  </si>
  <si>
    <t>평가자 B 사용 횟수</t>
  </si>
  <si>
    <t>평가자 C 사용 횟수</t>
  </si>
  <si>
    <r>
      <rPr>
        <b/>
        <sz val="10"/>
        <color rgb="FF000000"/>
        <rFont val="Arial"/>
        <family val="2"/>
      </rPr>
      <t xml:space="preserve">1. </t>
    </r>
    <r>
      <rPr>
        <b/>
        <sz val="10"/>
        <color rgb="FF000000"/>
        <rFont val="Noto Sans CJK SC"/>
        <family val="2"/>
      </rPr>
      <t>오타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Noto Sans CJK SC"/>
        <family val="2"/>
      </rPr>
      <t>표기</t>
    </r>
  </si>
  <si>
    <r>
      <rPr>
        <b/>
        <sz val="10"/>
        <color rgb="FF000000"/>
        <rFont val="Arial"/>
        <family val="2"/>
      </rPr>
      <t xml:space="preserve">2. </t>
    </r>
    <r>
      <rPr>
        <b/>
        <sz val="10"/>
        <color rgb="FF000000"/>
        <rFont val="Noto Sans CJK SC"/>
        <family val="2"/>
      </rPr>
      <t>문법</t>
    </r>
  </si>
  <si>
    <r>
      <rPr>
        <b/>
        <sz val="10"/>
        <color rgb="FF000000"/>
        <rFont val="Arial"/>
        <family val="2"/>
      </rPr>
      <t xml:space="preserve">3. </t>
    </r>
    <r>
      <rPr>
        <b/>
        <sz val="10"/>
        <color rgb="FF000000"/>
        <rFont val="Noto Sans CJK SC"/>
        <family val="2"/>
      </rPr>
      <t>오역</t>
    </r>
  </si>
  <si>
    <r>
      <rPr>
        <b/>
        <sz val="10"/>
        <color rgb="FF000000"/>
        <rFont val="Arial"/>
        <family val="2"/>
      </rPr>
      <t xml:space="preserve">4. </t>
    </r>
    <r>
      <rPr>
        <b/>
        <sz val="10"/>
        <color rgb="FF000000"/>
        <rFont val="Noto Sans CJK SC"/>
        <family val="2"/>
      </rPr>
      <t>문체 종결형</t>
    </r>
  </si>
  <si>
    <r>
      <rPr>
        <b/>
        <sz val="10"/>
        <color rgb="FF000000"/>
        <rFont val="Arial"/>
        <family val="2"/>
      </rPr>
      <t xml:space="preserve">5. </t>
    </r>
    <r>
      <rPr>
        <b/>
        <sz val="10"/>
        <color rgb="FF000000"/>
        <rFont val="Noto Sans CJK SC"/>
        <family val="2"/>
      </rPr>
      <t>경어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Noto Sans CJK SC"/>
        <family val="2"/>
      </rPr>
      <t>호칭</t>
    </r>
  </si>
  <si>
    <r>
      <rPr>
        <b/>
        <sz val="10"/>
        <color rgb="FF000000"/>
        <rFont val="Arial"/>
        <family val="2"/>
      </rPr>
      <t>6. 1·2</t>
    </r>
    <r>
      <rPr>
        <b/>
        <sz val="10"/>
        <color rgb="FF000000"/>
        <rFont val="Noto Sans CJK SC"/>
        <family val="2"/>
      </rPr>
      <t>인칭</t>
    </r>
  </si>
  <si>
    <r>
      <rPr>
        <b/>
        <sz val="10"/>
        <color rgb="FF000000"/>
        <rFont val="Arial"/>
        <family val="2"/>
      </rPr>
      <t xml:space="preserve">7. </t>
    </r>
    <r>
      <rPr>
        <b/>
        <sz val="10"/>
        <color rgb="FF000000"/>
        <rFont val="Noto Sans CJK SC"/>
        <family val="2"/>
      </rPr>
      <t>오노마토페</t>
    </r>
  </si>
  <si>
    <r>
      <rPr>
        <b/>
        <sz val="10"/>
        <color rgb="FF000000"/>
        <rFont val="Arial"/>
        <family val="2"/>
      </rPr>
      <t xml:space="preserve">8. </t>
    </r>
    <r>
      <rPr>
        <b/>
        <sz val="10"/>
        <color rgb="FF000000"/>
        <rFont val="Noto Sans CJK SC"/>
        <family val="2"/>
      </rPr>
      <t>설정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Noto Sans CJK SC"/>
        <family val="2"/>
      </rPr>
      <t>세계관</t>
    </r>
  </si>
  <si>
    <r>
      <rPr>
        <b/>
        <sz val="10"/>
        <color rgb="FF000000"/>
        <rFont val="Arial"/>
        <family val="2"/>
      </rPr>
      <t xml:space="preserve">9. </t>
    </r>
    <r>
      <rPr>
        <b/>
        <sz val="10"/>
        <color rgb="FF000000"/>
        <rFont val="Noto Sans CJK SC"/>
        <family val="2"/>
      </rPr>
      <t>직역체</t>
    </r>
  </si>
  <si>
    <r>
      <rPr>
        <b/>
        <sz val="10"/>
        <color rgb="FF000000"/>
        <rFont val="Arial"/>
        <family val="2"/>
      </rPr>
      <t xml:space="preserve">10. </t>
    </r>
    <r>
      <rPr>
        <b/>
        <sz val="10"/>
        <color rgb="FF000000"/>
        <rFont val="Noto Sans CJK SC"/>
        <family val="2"/>
      </rPr>
      <t>스타일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Noto Sans CJK SC"/>
        <family val="2"/>
      </rPr>
      <t>표기</t>
    </r>
  </si>
  <si>
    <r>
      <rPr>
        <b/>
        <sz val="10"/>
        <color rgb="FF000000"/>
        <rFont val="Arial"/>
        <family val="2"/>
      </rPr>
      <t xml:space="preserve">11. </t>
    </r>
    <r>
      <rPr>
        <b/>
        <sz val="10"/>
        <color rgb="FF000000"/>
        <rFont val="Noto Sans CJK SC"/>
        <family val="2"/>
      </rPr>
      <t>시제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Noto Sans CJK SC"/>
        <family val="2"/>
      </rPr>
      <t>시점</t>
    </r>
  </si>
  <si>
    <r>
      <rPr>
        <b/>
        <sz val="10"/>
        <color rgb="FF000000"/>
        <rFont val="Arial"/>
        <family val="2"/>
      </rPr>
      <t xml:space="preserve">12. </t>
    </r>
    <r>
      <rPr>
        <b/>
        <sz val="10"/>
        <color rgb="FF000000"/>
        <rFont val="Noto Sans CJK SC"/>
        <family val="2"/>
      </rPr>
      <t>일관성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Noto Sans CJK SC"/>
        <family val="2"/>
      </rPr>
      <t>문화</t>
    </r>
  </si>
  <si>
    <r>
      <rPr>
        <b/>
        <sz val="10"/>
        <color rgb="FF000000"/>
        <rFont val="Arial"/>
        <family val="2"/>
      </rPr>
      <t xml:space="preserve">13. </t>
    </r>
    <r>
      <rPr>
        <b/>
        <sz val="10"/>
        <color rgb="FF000000"/>
        <rFont val="Noto Sans CJK SC"/>
        <family val="2"/>
      </rPr>
      <t>기타</t>
    </r>
  </si>
  <si>
    <t>문제 없음으로 판정</t>
  </si>
  <si>
    <t>평가자별 "문제 없음" 판정 횟수 차이가 크면 검수 기준이 다른 신호</t>
  </si>
  <si>
    <t>판정에 따른 다음 행동</t>
  </si>
  <si>
    <t>✅ 본 평가 진입 가능 (70% 이상)</t>
  </si>
  <si>
    <t>③ 평가 입력 시트로 이동하여 본 평가를 진행하시면 됩니다.</t>
  </si>
  <si>
    <t>⚠ 합의 부족 (50~70%)</t>
  </si>
  <si>
    <r>
      <rPr>
        <sz val="10"/>
        <color rgb="FF000000"/>
        <rFont val="Arial"/>
        <family val="2"/>
      </rPr>
      <t xml:space="preserve">1) ✗ </t>
    </r>
    <r>
      <rPr>
        <sz val="10"/>
        <color rgb="FF000000"/>
        <rFont val="Noto Sans CJK SC"/>
        <family val="2"/>
      </rPr>
      <t xml:space="preserve">표시된 문장을 평가자가 함께 검토 → </t>
    </r>
    <r>
      <rPr>
        <sz val="10"/>
        <color rgb="FF000000"/>
        <rFont val="Arial"/>
        <family val="2"/>
      </rPr>
      <t xml:space="preserve">2) </t>
    </r>
    <r>
      <rPr>
        <sz val="10"/>
        <color rgb="FF000000"/>
        <rFont val="Noto Sans CJK SC"/>
        <family val="2"/>
      </rPr>
      <t xml:space="preserve">어느 해석이 맞는지 합의 → </t>
    </r>
    <r>
      <rPr>
        <sz val="10"/>
        <color rgb="FF000000"/>
        <rFont val="Arial"/>
        <family val="2"/>
      </rPr>
      <t xml:space="preserve">3) </t>
    </r>
    <r>
      <rPr>
        <sz val="10"/>
        <color rgb="FF000000"/>
        <rFont val="Noto Sans CJK SC"/>
        <family val="2"/>
      </rPr>
      <t xml:space="preserve">합의 사항을 ② 카테고리 정의 시트의 예시 컬럼에 추가 → </t>
    </r>
    <r>
      <rPr>
        <sz val="10"/>
        <color rgb="FF000000"/>
        <rFont val="Arial"/>
        <family val="2"/>
      </rPr>
      <t xml:space="preserve">4) </t>
    </r>
    <r>
      <rPr>
        <sz val="10"/>
        <color rgb="FF000000"/>
        <rFont val="Noto Sans CJK SC"/>
        <family val="2"/>
      </rPr>
      <t xml:space="preserve">다른 </t>
    </r>
    <r>
      <rPr>
        <sz val="10"/>
        <color rgb="FF000000"/>
        <rFont val="Arial"/>
        <family val="2"/>
      </rPr>
      <t>30</t>
    </r>
    <r>
      <rPr>
        <sz val="10"/>
        <color rgb="FF000000"/>
        <rFont val="Noto Sans CJK SC"/>
        <family val="2"/>
      </rPr>
      <t>문장으로 재측정</t>
    </r>
  </si>
  <si>
    <t>❌ 평가 불가 (50% 미만)</t>
  </si>
  <si>
    <t>카테고리 정의 자체를 재검토해야 합니다. 모호한 카테고리 정의를 명확히 하거나 카테고리 통합·세분화를 고려하세요.</t>
  </si>
  <si>
    <r>
      <rPr>
        <b/>
        <sz val="14"/>
        <color rgb="FF1F4E78"/>
        <rFont val="Noto Sans CJK SC"/>
        <family val="2"/>
      </rPr>
      <t xml:space="preserve">본 평가 결과 비교 </t>
    </r>
    <r>
      <rPr>
        <b/>
        <sz val="14"/>
        <color rgb="FF1F4E78"/>
        <rFont val="Arial"/>
        <family val="2"/>
      </rPr>
      <t>(</t>
    </r>
    <r>
      <rPr>
        <b/>
        <sz val="14"/>
        <color rgb="FF1F4E78"/>
        <rFont val="Noto Sans CJK SC"/>
        <family val="2"/>
      </rPr>
      <t xml:space="preserve">평가자 </t>
    </r>
    <r>
      <rPr>
        <b/>
        <sz val="14"/>
        <color rgb="FF1F4E78"/>
        <rFont val="Arial"/>
        <family val="2"/>
      </rPr>
      <t xml:space="preserve">A · B </t>
    </r>
    <r>
      <rPr>
        <b/>
        <sz val="14"/>
        <color rgb="FF1F4E78"/>
        <rFont val="Noto Sans CJK SC"/>
        <family val="2"/>
      </rPr>
      <t>결과 자동 비교 및 합산</t>
    </r>
    <r>
      <rPr>
        <b/>
        <sz val="14"/>
        <color rgb="FF1F4E78"/>
        <rFont val="Arial"/>
        <family val="2"/>
      </rPr>
      <t>)</t>
    </r>
  </si>
  <si>
    <r>
      <rPr>
        <i/>
        <sz val="9"/>
        <color rgb="FF666666"/>
        <rFont val="Noto Sans CJK SC"/>
        <family val="2"/>
      </rPr>
      <t>각 평가자가 자기 사본 시트에서 작성한 결과</t>
    </r>
    <r>
      <rPr>
        <i/>
        <sz val="9"/>
        <color rgb="FF666666"/>
        <rFont val="Arial"/>
        <family val="2"/>
      </rPr>
      <t>(F~R</t>
    </r>
    <r>
      <rPr>
        <i/>
        <sz val="9"/>
        <color rgb="FF666666"/>
        <rFont val="Noto Sans CJK SC"/>
        <family val="2"/>
      </rPr>
      <t>열의 카테고리별 강도</t>
    </r>
    <r>
      <rPr>
        <i/>
        <sz val="9"/>
        <color rgb="FF666666"/>
        <rFont val="Arial"/>
        <family val="2"/>
      </rPr>
      <t>)</t>
    </r>
    <r>
      <rPr>
        <i/>
        <sz val="9"/>
        <color rgb="FF666666"/>
        <rFont val="Noto Sans CJK SC"/>
        <family val="2"/>
      </rPr>
      <t>를 이 시트에 그대로 붙여넣으면 문장별 일치 여부와 합의 권장값이 자동 산출됩니다</t>
    </r>
    <r>
      <rPr>
        <i/>
        <sz val="9"/>
        <color rgb="FF666666"/>
        <rFont val="Arial"/>
        <family val="2"/>
      </rPr>
      <t>.</t>
    </r>
  </si>
  <si>
    <r>
      <rPr>
        <sz val="10"/>
        <color rgb="FF000000"/>
        <rFont val="Noto Sans CJK SC"/>
        <family val="2"/>
      </rPr>
      <t xml:space="preserve">평가자 </t>
    </r>
    <r>
      <rPr>
        <sz val="10"/>
        <color rgb="FF000000"/>
        <rFont val="Arial"/>
        <family val="2"/>
      </rPr>
      <t>A·B</t>
    </r>
    <r>
      <rPr>
        <sz val="10"/>
        <color rgb="FF000000"/>
        <rFont val="Noto Sans CJK SC"/>
        <family val="2"/>
      </rPr>
      <t xml:space="preserve">가 각자 ③ 평가 입력 시트 사본에서 </t>
    </r>
    <r>
      <rPr>
        <sz val="10"/>
        <color rgb="FF000000"/>
        <rFont val="Arial"/>
        <family val="2"/>
      </rPr>
      <t>600</t>
    </r>
    <r>
      <rPr>
        <sz val="10"/>
        <color rgb="FF000000"/>
        <rFont val="Noto Sans CJK SC"/>
        <family val="2"/>
      </rPr>
      <t>문장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또는 평가용 분량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을 따로 평가합니다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</si>
  <si>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Noto Sans CJK SC"/>
        <family val="2"/>
      </rPr>
      <t>평가가 끝나면 각자의 시트에서 카테고리별 강도</t>
    </r>
    <r>
      <rPr>
        <sz val="10"/>
        <color rgb="FF000000"/>
        <rFont val="Arial"/>
        <family val="2"/>
      </rPr>
      <t>(F~R 13</t>
    </r>
    <r>
      <rPr>
        <sz val="10"/>
        <color rgb="FF000000"/>
        <rFont val="Noto Sans CJK SC"/>
        <family val="2"/>
      </rPr>
      <t>개 열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를 복사합니다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</si>
  <si>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Noto Sans CJK SC"/>
        <family val="2"/>
      </rPr>
      <t xml:space="preserve">이 시트의 평가자 </t>
    </r>
    <r>
      <rPr>
        <sz val="10"/>
        <color rgb="FF000000"/>
        <rFont val="Arial"/>
        <family val="2"/>
      </rPr>
      <t xml:space="preserve">A </t>
    </r>
    <r>
      <rPr>
        <sz val="10"/>
        <color rgb="FF000000"/>
        <rFont val="Noto Sans CJK SC"/>
        <family val="2"/>
      </rPr>
      <t>영역</t>
    </r>
    <r>
      <rPr>
        <sz val="10"/>
        <color rgb="FF000000"/>
        <rFont val="Arial"/>
        <family val="2"/>
      </rPr>
      <t>(E~Q</t>
    </r>
    <r>
      <rPr>
        <sz val="10"/>
        <color rgb="FF000000"/>
        <rFont val="Noto Sans CJK SC"/>
        <family val="2"/>
      </rPr>
      <t>열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 xml:space="preserve">과 평가자 </t>
    </r>
    <r>
      <rPr>
        <sz val="10"/>
        <color rgb="FF000000"/>
        <rFont val="Arial"/>
        <family val="2"/>
      </rPr>
      <t xml:space="preserve">B </t>
    </r>
    <r>
      <rPr>
        <sz val="10"/>
        <color rgb="FF000000"/>
        <rFont val="Noto Sans CJK SC"/>
        <family val="2"/>
      </rPr>
      <t>영역</t>
    </r>
    <r>
      <rPr>
        <sz val="10"/>
        <color rgb="FF000000"/>
        <rFont val="Arial"/>
        <family val="2"/>
      </rPr>
      <t>(R~AD</t>
    </r>
    <r>
      <rPr>
        <sz val="10"/>
        <color rgb="FF000000"/>
        <rFont val="Noto Sans CJK SC"/>
        <family val="2"/>
      </rPr>
      <t>열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에 각각 붙여넣기 합니다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</si>
  <si>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Arial"/>
        <family val="2"/>
      </rPr>
      <t>AE</t>
    </r>
    <r>
      <rPr>
        <sz val="10"/>
        <color rgb="FF000000"/>
        <rFont val="Noto Sans CJK SC"/>
        <family val="2"/>
      </rPr>
      <t>열에 카테고리 일치 여부</t>
    </r>
    <r>
      <rPr>
        <sz val="10"/>
        <color rgb="FF000000"/>
        <rFont val="Arial"/>
        <family val="2"/>
      </rPr>
      <t>, AF</t>
    </r>
    <r>
      <rPr>
        <sz val="10"/>
        <color rgb="FF000000"/>
        <rFont val="Noto Sans CJK SC"/>
        <family val="2"/>
      </rPr>
      <t>열에 강도 일치 여부가 자동 표시됩니다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</si>
  <si>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Arial"/>
        <family val="2"/>
      </rPr>
      <t>AG</t>
    </r>
    <r>
      <rPr>
        <sz val="10"/>
        <color rgb="FF000000"/>
        <rFont val="Noto Sans CJK SC"/>
        <family val="2"/>
      </rPr>
      <t>열에 합의 권장 강도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평균값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가 자동 산출됩니다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SC"/>
        <family val="2"/>
      </rPr>
      <t>합의 회의 후 최종값을 ③ 평가 입력 시트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최종본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에 옮겨 적습니다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</si>
  <si>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Noto Sans CJK SC"/>
        <family val="2"/>
      </rPr>
      <t>하단 결과 영역에서 본 평가 중 일치율</t>
    </r>
    <r>
      <rPr>
        <sz val="10"/>
        <color rgb="FF000000"/>
        <rFont val="Arial"/>
        <family val="2"/>
      </rPr>
      <t xml:space="preserve">(70%/60% </t>
    </r>
    <r>
      <rPr>
        <sz val="10"/>
        <color rgb="FF000000"/>
        <rFont val="Noto Sans CJK SC"/>
        <family val="2"/>
      </rPr>
      <t>기준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을 확인합니다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SC"/>
        <family val="2"/>
      </rPr>
      <t>미달이면 데이터 무효 → 재평가 필요</t>
    </r>
    <r>
      <rPr>
        <sz val="10"/>
        <color rgb="FF000000"/>
        <rFont val="Arial"/>
        <family val="2"/>
      </rPr>
      <t>.</t>
    </r>
  </si>
  <si>
    <r>
      <rPr>
        <b/>
        <sz val="11"/>
        <color rgb="FFFFFFFF"/>
        <rFont val="Noto Sans CJK SC"/>
        <family val="2"/>
      </rPr>
      <t xml:space="preserve">문장 </t>
    </r>
    <r>
      <rPr>
        <b/>
        <sz val="11"/>
        <color rgb="FFFFFFFF"/>
        <rFont val="Arial"/>
        <family val="2"/>
      </rPr>
      <t>#</t>
    </r>
  </si>
  <si>
    <r>
      <rPr>
        <b/>
        <sz val="11"/>
        <color rgb="FFFFFFFF"/>
        <rFont val="Noto Sans CJK SC"/>
        <family val="2"/>
      </rPr>
      <t xml:space="preserve">원문 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한국어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</si>
  <si>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 xml:space="preserve">검수본 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참고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</si>
  <si>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 xml:space="preserve">평가자 </t>
    </r>
    <r>
      <rPr>
        <b/>
        <sz val="11"/>
        <color rgb="FFFFFFFF"/>
        <rFont val="Arial"/>
        <family val="2"/>
      </rPr>
      <t xml:space="preserve">A — </t>
    </r>
    <r>
      <rPr>
        <b/>
        <sz val="11"/>
        <color rgb="FFFFFFFF"/>
        <rFont val="Noto Sans CJK SC"/>
        <family val="2"/>
      </rPr>
      <t xml:space="preserve">카테고리별 강도 </t>
    </r>
    <r>
      <rPr>
        <b/>
        <sz val="11"/>
        <color rgb="FFFFFFFF"/>
        <rFont val="Arial"/>
        <family val="2"/>
      </rPr>
      <t>(0~3)</t>
    </r>
  </si>
  <si>
    <r>
      <rPr>
        <b/>
        <sz val="11"/>
        <color rgb="FFFFFFFF"/>
        <rFont val="Noto Sans CJK SC"/>
        <family val="2"/>
      </rPr>
      <t xml:space="preserve">평가자 </t>
    </r>
    <r>
      <rPr>
        <b/>
        <sz val="11"/>
        <color rgb="FFFFFFFF"/>
        <rFont val="Arial"/>
        <family val="2"/>
      </rPr>
      <t xml:space="preserve">B — </t>
    </r>
    <r>
      <rPr>
        <b/>
        <sz val="11"/>
        <color rgb="FFFFFFFF"/>
        <rFont val="Noto Sans CJK SC"/>
        <family val="2"/>
      </rPr>
      <t xml:space="preserve">카테고리별 강도 </t>
    </r>
    <r>
      <rPr>
        <b/>
        <sz val="11"/>
        <color rgb="FFFFFFFF"/>
        <rFont val="Arial"/>
        <family val="2"/>
      </rPr>
      <t>(0~3)</t>
    </r>
  </si>
  <si>
    <t>합의 권장 강도 합계</t>
  </si>
  <si>
    <r>
      <rPr>
        <b/>
        <sz val="11"/>
        <color rgb="FFFFFFFF"/>
        <rFont val="Noto Sans CJK SC"/>
        <family val="2"/>
      </rPr>
      <t xml:space="preserve">비고 </t>
    </r>
    <r>
      <rPr>
        <b/>
        <sz val="11"/>
        <color rgb="FFFFFFFF"/>
        <rFont val="Arial"/>
        <family val="2"/>
      </rPr>
      <t xml:space="preserve">/ </t>
    </r>
    <r>
      <rPr>
        <b/>
        <sz val="11"/>
        <color rgb="FFFFFFFF"/>
        <rFont val="Noto Sans CJK SC"/>
        <family val="2"/>
      </rPr>
      <t>합의 메모</t>
    </r>
  </si>
  <si>
    <r>
      <rPr>
        <b/>
        <sz val="12"/>
        <color rgb="FFFFFFFF"/>
        <rFont val="Noto Sans CJK SC"/>
        <family val="2"/>
      </rPr>
      <t xml:space="preserve">본 평가 일치율 결과 </t>
    </r>
    <r>
      <rPr>
        <b/>
        <sz val="12"/>
        <color rgb="FFFFFFFF"/>
        <rFont val="Arial"/>
        <family val="2"/>
      </rPr>
      <t>(1</t>
    </r>
    <r>
      <rPr>
        <b/>
        <sz val="12"/>
        <color rgb="FFFFFFFF"/>
        <rFont val="Noto Sans CJK SC"/>
        <family val="2"/>
      </rPr>
      <t>차 게이트</t>
    </r>
    <r>
      <rPr>
        <b/>
        <sz val="12"/>
        <color rgb="FFFFFFFF"/>
        <rFont val="Arial"/>
        <family val="2"/>
      </rPr>
      <t>)</t>
    </r>
  </si>
  <si>
    <r>
      <rPr>
        <sz val="10"/>
        <color rgb="FF000000"/>
        <rFont val="Arial"/>
        <family val="2"/>
      </rPr>
      <t xml:space="preserve">600 </t>
    </r>
    <r>
      <rPr>
        <sz val="10"/>
        <color rgb="FF000000"/>
        <rFont val="Noto Sans CJK SC"/>
        <family val="2"/>
      </rPr>
      <t>권장</t>
    </r>
  </si>
  <si>
    <r>
      <rPr>
        <sz val="10"/>
        <color rgb="FF000000"/>
        <rFont val="Noto Sans CJK SC"/>
        <family val="2"/>
      </rPr>
      <t>평가용 원문 분량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 xml:space="preserve">보통 </t>
    </r>
    <r>
      <rPr>
        <sz val="10"/>
        <color rgb="FF000000"/>
        <rFont val="Arial"/>
        <family val="2"/>
      </rPr>
      <t>600</t>
    </r>
    <r>
      <rPr>
        <sz val="10"/>
        <color rgb="FF000000"/>
        <rFont val="Noto Sans CJK SC"/>
        <family val="2"/>
      </rPr>
      <t>문장 권장</t>
    </r>
    <r>
      <rPr>
        <sz val="10"/>
        <color rgb="FF000000"/>
        <rFont val="Arial"/>
        <family val="2"/>
      </rPr>
      <t xml:space="preserve">). </t>
    </r>
    <r>
      <rPr>
        <sz val="10"/>
        <color rgb="FF000000"/>
        <rFont val="Noto Sans CJK SC"/>
        <family val="2"/>
      </rPr>
      <t>두 평가자 모두 입력된 문장 수</t>
    </r>
  </si>
  <si>
    <r>
      <rPr>
        <b/>
        <sz val="10"/>
        <color rgb="FF000000"/>
        <rFont val="Noto Sans CJK SC"/>
        <family val="2"/>
      </rPr>
      <t xml:space="preserve">카테고리 일치율 </t>
    </r>
    <r>
      <rPr>
        <b/>
        <sz val="10"/>
        <color rgb="FF000000"/>
        <rFont val="Arial"/>
        <family val="2"/>
      </rPr>
      <t>(%)</t>
    </r>
  </si>
  <si>
    <r>
      <rPr>
        <sz val="10"/>
        <color rgb="FF000000"/>
        <rFont val="Noto Sans CJK SC"/>
        <family val="2"/>
      </rPr>
      <t>두 평가자가 같은 카테고리로 분류한 비율</t>
    </r>
    <r>
      <rPr>
        <sz val="10"/>
        <color rgb="FF000000"/>
        <rFont val="Arial"/>
        <family val="2"/>
      </rPr>
      <t xml:space="preserve">. 70% </t>
    </r>
    <r>
      <rPr>
        <sz val="10"/>
        <color rgb="FF000000"/>
        <rFont val="Noto Sans CJK SC"/>
        <family val="2"/>
      </rPr>
      <t>미만이면 데이터 자체 신뢰 불가</t>
    </r>
  </si>
  <si>
    <r>
      <rPr>
        <b/>
        <sz val="10"/>
        <color rgb="FF000000"/>
        <rFont val="Noto Sans CJK SC"/>
        <family val="2"/>
      </rPr>
      <t xml:space="preserve">강도 일치율 </t>
    </r>
    <r>
      <rPr>
        <b/>
        <sz val="10"/>
        <color rgb="FF000000"/>
        <rFont val="Arial"/>
        <family val="2"/>
      </rPr>
      <t>(%)</t>
    </r>
  </si>
  <si>
    <r>
      <rPr>
        <sz val="10"/>
        <color rgb="FF000000"/>
        <rFont val="Noto Sans CJK SC"/>
        <family val="2"/>
      </rPr>
      <t>카테고리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강도가 모두 같은 문장의 비율</t>
    </r>
    <r>
      <rPr>
        <sz val="10"/>
        <color rgb="FF000000"/>
        <rFont val="Arial"/>
        <family val="2"/>
      </rPr>
      <t xml:space="preserve">. 60% </t>
    </r>
    <r>
      <rPr>
        <sz val="10"/>
        <color rgb="FF000000"/>
        <rFont val="Noto Sans CJK SC"/>
        <family val="2"/>
      </rPr>
      <t>미만이면 강도 기준 재합의 권장</t>
    </r>
  </si>
  <si>
    <t>합의 필요 문장 수</t>
  </si>
  <si>
    <t>회의 대상</t>
  </si>
  <si>
    <r>
      <rPr>
        <sz val="10"/>
        <color rgb="FF000000"/>
        <rFont val="Noto Sans CJK SC"/>
        <family val="2"/>
      </rPr>
      <t>카테고리가 다른 문장 수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SC"/>
        <family val="2"/>
      </rPr>
      <t>이 문장들에 대해 두 평가자가 합의 회의를 진행해야 함</t>
    </r>
  </si>
  <si>
    <r>
      <rPr>
        <b/>
        <sz val="12"/>
        <color rgb="FFFFFFFF"/>
        <rFont val="Noto Sans CJK SC"/>
        <family val="2"/>
      </rPr>
      <t xml:space="preserve">카테고리별 발생 빈도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Noto Sans CJK SC"/>
        <family val="2"/>
      </rPr>
      <t xml:space="preserve">평가자 </t>
    </r>
    <r>
      <rPr>
        <b/>
        <sz val="12"/>
        <color rgb="FFFFFFFF"/>
        <rFont val="Arial"/>
        <family val="2"/>
      </rPr>
      <t xml:space="preserve">A vs B </t>
    </r>
    <r>
      <rPr>
        <b/>
        <sz val="12"/>
        <color rgb="FFFFFFFF"/>
        <rFont val="Noto Sans CJK SC"/>
        <family val="2"/>
      </rPr>
      <t>비교</t>
    </r>
    <r>
      <rPr>
        <b/>
        <sz val="12"/>
        <color rgb="FFFFFFFF"/>
        <rFont val="Arial"/>
        <family val="2"/>
      </rPr>
      <t>)</t>
    </r>
  </si>
  <si>
    <r>
      <rPr>
        <i/>
        <sz val="9"/>
        <color rgb="FF666666"/>
        <rFont val="Noto Sans CJK SC"/>
        <family val="2"/>
      </rPr>
      <t>평가자 간 카테고리별 발생 횟수가 큰 차이를 보이면</t>
    </r>
    <r>
      <rPr>
        <i/>
        <sz val="9"/>
        <color rgb="FF666666"/>
        <rFont val="Arial"/>
        <family val="2"/>
      </rPr>
      <t xml:space="preserve">, </t>
    </r>
    <r>
      <rPr>
        <i/>
        <sz val="9"/>
        <color rgb="FF666666"/>
        <rFont val="Noto Sans CJK SC"/>
        <family val="2"/>
      </rPr>
      <t>그 카테고리에 대한 평가 기준 합의가 부족하다는 신호입니다</t>
    </r>
    <r>
      <rPr>
        <i/>
        <sz val="9"/>
        <color rgb="FF666666"/>
        <rFont val="Arial"/>
        <family val="2"/>
      </rPr>
      <t>.</t>
    </r>
  </si>
  <si>
    <r>
      <rPr>
        <b/>
        <sz val="11"/>
        <color rgb="FFFFFFFF"/>
        <rFont val="Noto Sans CJK SC"/>
        <family val="2"/>
      </rPr>
      <t xml:space="preserve">평가자 </t>
    </r>
    <r>
      <rPr>
        <b/>
        <sz val="11"/>
        <color rgb="FFFFFFFF"/>
        <rFont val="Arial"/>
        <family val="2"/>
      </rPr>
      <t xml:space="preserve">A </t>
    </r>
    <r>
      <rPr>
        <b/>
        <sz val="11"/>
        <color rgb="FFFFFFFF"/>
        <rFont val="Noto Sans CJK SC"/>
        <family val="2"/>
      </rPr>
      <t>발생</t>
    </r>
  </si>
  <si>
    <r>
      <rPr>
        <b/>
        <sz val="11"/>
        <color rgb="FFFFFFFF"/>
        <rFont val="Noto Sans CJK SC"/>
        <family val="2"/>
      </rPr>
      <t xml:space="preserve">평가자 </t>
    </r>
    <r>
      <rPr>
        <b/>
        <sz val="11"/>
        <color rgb="FFFFFFFF"/>
        <rFont val="Arial"/>
        <family val="2"/>
      </rPr>
      <t xml:space="preserve">B </t>
    </r>
    <r>
      <rPr>
        <b/>
        <sz val="11"/>
        <color rgb="FFFFFFFF"/>
        <rFont val="Noto Sans CJK SC"/>
        <family val="2"/>
      </rPr>
      <t>발생</t>
    </r>
  </si>
  <si>
    <t>차이</t>
  </si>
  <si>
    <t>다음 행동</t>
  </si>
  <si>
    <r>
      <rPr>
        <b/>
        <sz val="10"/>
        <color rgb="FF000000"/>
        <rFont val="Noto Sans CJK SC"/>
        <family val="2"/>
      </rPr>
      <t xml:space="preserve">카테고리 일치율 </t>
    </r>
    <r>
      <rPr>
        <b/>
        <sz val="10"/>
        <color rgb="FF000000"/>
        <rFont val="Arial"/>
        <family val="2"/>
      </rPr>
      <t xml:space="preserve">70% </t>
    </r>
    <r>
      <rPr>
        <b/>
        <sz val="10"/>
        <color rgb="FF000000"/>
        <rFont val="Noto Sans CJK SC"/>
        <family val="2"/>
      </rPr>
      <t xml:space="preserve">이상 </t>
    </r>
    <r>
      <rPr>
        <b/>
        <sz val="10"/>
        <color rgb="FF000000"/>
        <rFont val="Arial"/>
        <family val="2"/>
      </rPr>
      <t xml:space="preserve">+ </t>
    </r>
    <r>
      <rPr>
        <b/>
        <sz val="10"/>
        <color rgb="FF000000"/>
        <rFont val="Noto Sans CJK SC"/>
        <family val="2"/>
      </rPr>
      <t xml:space="preserve">강도 일치율 </t>
    </r>
    <r>
      <rPr>
        <b/>
        <sz val="10"/>
        <color rgb="FF000000"/>
        <rFont val="Arial"/>
        <family val="2"/>
      </rPr>
      <t xml:space="preserve">60% </t>
    </r>
    <r>
      <rPr>
        <b/>
        <sz val="10"/>
        <color rgb="FF000000"/>
        <rFont val="Noto Sans CJK SC"/>
        <family val="2"/>
      </rPr>
      <t>이상</t>
    </r>
  </si>
  <si>
    <r>
      <rPr>
        <sz val="10"/>
        <color rgb="FF000000"/>
        <rFont val="Arial"/>
        <family val="2"/>
      </rPr>
      <t>✅ 1</t>
    </r>
    <r>
      <rPr>
        <sz val="10"/>
        <color rgb="FF000000"/>
        <rFont val="Noto Sans CJK SC"/>
        <family val="2"/>
      </rPr>
      <t>차 게이트 통과</t>
    </r>
    <r>
      <rPr>
        <sz val="10"/>
        <color rgb="FF000000"/>
        <rFont val="Arial"/>
        <family val="2"/>
      </rPr>
      <t>. AG</t>
    </r>
    <r>
      <rPr>
        <sz val="10"/>
        <color rgb="FF000000"/>
        <rFont val="Noto Sans CJK SC"/>
        <family val="2"/>
      </rPr>
      <t>열의 합의 권장 강도를 참고해 합의 회의 진행 → 최종값을 ③ 평가 입력 시트에 옮기고 ⑤ 결과 대시보드 확인</t>
    </r>
  </si>
  <si>
    <r>
      <rPr>
        <b/>
        <sz val="10"/>
        <color rgb="FF000000"/>
        <rFont val="Noto Sans CJK SC"/>
        <family val="2"/>
      </rPr>
      <t xml:space="preserve">카테고리 일치율 </t>
    </r>
    <r>
      <rPr>
        <b/>
        <sz val="10"/>
        <color rgb="FF000000"/>
        <rFont val="Arial"/>
        <family val="2"/>
      </rPr>
      <t>50~70%</t>
    </r>
  </si>
  <si>
    <r>
      <rPr>
        <sz val="10"/>
        <color rgb="FF000000"/>
        <rFont val="Noto Sans CJK SC"/>
        <family val="2"/>
      </rPr>
      <t>⚠ 평가 데이터 신뢰도 부족</t>
    </r>
    <r>
      <rPr>
        <sz val="10"/>
        <color rgb="FF000000"/>
        <rFont val="Arial"/>
        <family val="2"/>
      </rPr>
      <t xml:space="preserve">. ✗ </t>
    </r>
    <r>
      <rPr>
        <sz val="10"/>
        <color rgb="FF000000"/>
        <rFont val="Noto Sans CJK SC"/>
        <family val="2"/>
      </rPr>
      <t>표시된 문장과 ⚠ 합의 부족 카테고리를 우선 검토 → 합의 후 ⑧ 일치율 시트로 재캘리브 → 본 평가 다시 진행</t>
    </r>
  </si>
  <si>
    <r>
      <rPr>
        <b/>
        <sz val="10"/>
        <color rgb="FF000000"/>
        <rFont val="Noto Sans CJK SC"/>
        <family val="2"/>
      </rPr>
      <t xml:space="preserve">카테고리 일치율 </t>
    </r>
    <r>
      <rPr>
        <b/>
        <sz val="10"/>
        <color rgb="FF000000"/>
        <rFont val="Arial"/>
        <family val="2"/>
      </rPr>
      <t xml:space="preserve">50% </t>
    </r>
    <r>
      <rPr>
        <b/>
        <sz val="10"/>
        <color rgb="FF000000"/>
        <rFont val="Noto Sans CJK SC"/>
        <family val="2"/>
      </rPr>
      <t>미만</t>
    </r>
  </si>
  <si>
    <r>
      <rPr>
        <sz val="10"/>
        <color rgb="FF000000"/>
        <rFont val="Noto Sans CJK SC"/>
        <family val="2"/>
      </rPr>
      <t>❌ 데이터 무효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SC"/>
        <family val="2"/>
      </rPr>
      <t>카테고리 정의 자체의 모호함이 원인 → ② 카테고리 정의 시트의 정의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예시 보강 → ⑧ 일치율 시트로 처음부터 다시 시작</t>
    </r>
  </si>
  <si>
    <r>
      <rPr>
        <b/>
        <sz val="11"/>
        <color rgb="FFFFFFFF"/>
        <rFont val="Noto Sans CJK SC"/>
        <family val="2"/>
        <charset val="1"/>
      </rPr>
      <t>작품</t>
    </r>
    <r>
      <rPr>
        <b/>
        <sz val="11"/>
        <color rgb="FFFFFFFF"/>
        <rFont val="Meiryo UI"/>
        <family val="2"/>
        <charset val="128"/>
      </rPr>
      <t>·</t>
    </r>
    <r>
      <rPr>
        <b/>
        <sz val="11"/>
        <color rgb="FFFFFFFF"/>
        <rFont val="Noto Sans CJK SC"/>
        <family val="2"/>
        <charset val="1"/>
      </rPr>
      <t>문장</t>
    </r>
    <r>
      <rPr>
        <b/>
        <sz val="11"/>
        <color rgb="FFFFFFFF"/>
        <rFont val="Meiryo UI"/>
        <family val="2"/>
        <charset val="128"/>
      </rPr>
      <t xml:space="preserve"> </t>
    </r>
    <r>
      <rPr>
        <b/>
        <sz val="11"/>
        <color rgb="FFFFFFFF"/>
        <rFont val="Noto Sans CJK SC"/>
        <family val="2"/>
        <charset val="1"/>
      </rPr>
      <t>번호</t>
    </r>
  </si>
  <si>
    <r>
      <rPr>
        <b/>
        <sz val="11"/>
        <color rgb="FFFFFFFF"/>
        <rFont val="Noto Sans CJK SC"/>
        <family val="2"/>
        <charset val="1"/>
      </rPr>
      <t>원문</t>
    </r>
    <r>
      <rPr>
        <b/>
        <sz val="11"/>
        <color rgb="FFFFFFFF"/>
        <rFont val="Meiryo UI"/>
        <family val="2"/>
        <charset val="128"/>
      </rPr>
      <t xml:space="preserve"> (</t>
    </r>
    <r>
      <rPr>
        <b/>
        <sz val="11"/>
        <color rgb="FFFFFFFF"/>
        <rFont val="Noto Sans CJK SC"/>
        <family val="2"/>
        <charset val="1"/>
      </rPr>
      <t>한국어</t>
    </r>
    <r>
      <rPr>
        <b/>
        <sz val="11"/>
        <color rgb="FFFFFFFF"/>
        <rFont val="Meiryo UI"/>
        <family val="2"/>
        <charset val="128"/>
      </rPr>
      <t>)</t>
    </r>
  </si>
  <si>
    <r>
      <rPr>
        <b/>
        <sz val="11"/>
        <color rgb="FFFFFFFF"/>
        <rFont val="Noto Sans CJK SC"/>
        <family val="2"/>
        <charset val="1"/>
      </rPr>
      <t>사람</t>
    </r>
    <r>
      <rPr>
        <b/>
        <sz val="11"/>
        <color rgb="FFFFFFFF"/>
        <rFont val="Meiryo UI"/>
        <family val="2"/>
        <charset val="128"/>
      </rPr>
      <t xml:space="preserve"> </t>
    </r>
    <r>
      <rPr>
        <b/>
        <sz val="11"/>
        <color rgb="FFFFFFFF"/>
        <rFont val="Noto Sans CJK SC"/>
        <family val="2"/>
        <charset val="1"/>
      </rPr>
      <t>번역본</t>
    </r>
    <r>
      <rPr>
        <b/>
        <sz val="11"/>
        <color rgb="FFFFFFFF"/>
        <rFont val="Meiryo UI"/>
        <family val="2"/>
        <charset val="128"/>
      </rPr>
      <t xml:space="preserve"> (</t>
    </r>
    <r>
      <rPr>
        <b/>
        <sz val="11"/>
        <color rgb="FFFFFFFF"/>
        <rFont val="Noto Sans CJK SC"/>
        <family val="2"/>
        <charset val="1"/>
      </rPr>
      <t>참고</t>
    </r>
    <r>
      <rPr>
        <b/>
        <sz val="11"/>
        <color rgb="FFFFFFFF"/>
        <rFont val="Meiryo UI"/>
        <family val="2"/>
        <charset val="128"/>
      </rPr>
      <t>)</t>
    </r>
  </si>
  <si>
    <r>
      <t>MT</t>
    </r>
    <r>
      <rPr>
        <b/>
        <sz val="11"/>
        <color rgb="FFFFFFFF"/>
        <rFont val="Noto Sans CJK SC"/>
        <family val="2"/>
      </rPr>
      <t>본</t>
    </r>
    <r>
      <rPr>
        <b/>
        <sz val="11"/>
        <color rgb="FFFFFFFF"/>
        <rFont val="Meiryo UI"/>
        <family val="2"/>
        <charset val="128"/>
      </rPr>
      <t xml:space="preserve"> (</t>
    </r>
    <r>
      <rPr>
        <b/>
        <sz val="11"/>
        <color rgb="FFFFFFFF"/>
        <rFont val="Noto Sans CJK SC"/>
        <family val="2"/>
      </rPr>
      <t>일본어</t>
    </r>
    <r>
      <rPr>
        <b/>
        <sz val="11"/>
        <color rgb="FFFFFFFF"/>
        <rFont val="Meiryo UI"/>
        <family val="2"/>
        <charset val="128"/>
      </rPr>
      <t>)</t>
    </r>
  </si>
  <si>
    <r>
      <rPr>
        <b/>
        <sz val="11"/>
        <color rgb="FFFFFFFF"/>
        <rFont val="Noto Sans CJK SC"/>
        <family val="2"/>
        <charset val="1"/>
      </rPr>
      <t>검수본</t>
    </r>
    <r>
      <rPr>
        <b/>
        <sz val="11"/>
        <color rgb="FFFFFFFF"/>
        <rFont val="Meiryo UI"/>
        <family val="2"/>
        <charset val="128"/>
      </rPr>
      <t xml:space="preserve"> (</t>
    </r>
    <r>
      <rPr>
        <b/>
        <sz val="11"/>
        <color rgb="FFFFFFFF"/>
        <rFont val="Noto Sans CJK SC"/>
        <family val="2"/>
        <charset val="1"/>
      </rPr>
      <t>수정</t>
    </r>
    <r>
      <rPr>
        <b/>
        <sz val="11"/>
        <color rgb="FFFFFFFF"/>
        <rFont val="Meiryo UI"/>
        <family val="2"/>
        <charset val="128"/>
      </rPr>
      <t xml:space="preserve"> </t>
    </r>
    <r>
      <rPr>
        <b/>
        <sz val="11"/>
        <color rgb="FFFFFFFF"/>
        <rFont val="Noto Sans CJK SC"/>
        <family val="2"/>
        <charset val="1"/>
      </rPr>
      <t>결과</t>
    </r>
    <r>
      <rPr>
        <b/>
        <sz val="11"/>
        <color rgb="FFFFFFFF"/>
        <rFont val="Meiryo UI"/>
        <family val="2"/>
        <charset val="128"/>
      </rPr>
      <t>)</t>
    </r>
  </si>
  <si>
    <t>応援する相手が舞台に上がったからといって、軽薄に知ったかぶりをしないのは貴族らしくもあり、彼らしい振る舞いだ。</t>
  </si>
  <si>
    <t>「降伏と叫ぶか、一方が戦闘不能になったと判断されれば試合は終了となります。制限時間はありません。鐘が鳴ればすぐに始めてください」</t>
  </si>
  <si>
    <t>ゴーンと、短く重々しい鐘の音が響き渡る。</t>
  </si>
  <si>
    <t>血を見た観客たちは興奮し、ハイドという名前を狂ったように連呼する。</t>
  </si>
  <si>
    <t>侮りやすい外見のこの少年が見せた反転は、まさに衝撃的である。</t>
  </si>
  <si>
    <t>「……ハイドという少年、あのような実力を持っている奴だったとは」</t>
  </si>
  <si>
    <t>雲を掴むようなことばかりつらつらと書かれており、どういう意味なのか全く分からない。</t>
  </si>
  <si>
    <t>「あんな場所があそこ一つだけではないはずだが。お前はどうやって見つけたんだ？」</t>
  </si>
  <si>
    <t>しばしの沈黙が流れ、そして。
「ワアアアア！」
観客席から激しい歓声が沸き起こる。</t>
    <phoneticPr fontId="25" type="noConversion"/>
  </si>
  <si>
    <r>
      <rPr>
        <sz val="11"/>
        <color theme="1"/>
        <rFont val="돋움"/>
        <family val="3"/>
        <charset val="129"/>
      </rPr>
      <t>응원하는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상대가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무대에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올라왔다고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방정맞게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아는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척하지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않는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것은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귀족다우면서도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그다웠다</t>
    </r>
    <r>
      <rPr>
        <sz val="11"/>
        <color theme="1"/>
        <rFont val="Meiryo UI"/>
        <family val="2"/>
        <charset val="128"/>
      </rPr>
      <t>.</t>
    </r>
  </si>
  <si>
    <r>
      <t>“</t>
    </r>
    <r>
      <rPr>
        <sz val="11"/>
        <color theme="1"/>
        <rFont val="돋움"/>
        <family val="3"/>
        <charset val="129"/>
      </rPr>
      <t>항복이라고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외치거나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한쪽이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전투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불능이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되었다고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판단하면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대결은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종료됩니다</t>
    </r>
    <r>
      <rPr>
        <sz val="11"/>
        <color theme="1"/>
        <rFont val="Meiryo UI"/>
        <family val="2"/>
        <charset val="128"/>
      </rPr>
      <t xml:space="preserve">. </t>
    </r>
    <r>
      <rPr>
        <sz val="11"/>
        <color theme="1"/>
        <rFont val="돋움"/>
        <family val="3"/>
        <charset val="129"/>
      </rPr>
      <t>제한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시간은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없습니다</t>
    </r>
    <r>
      <rPr>
        <sz val="11"/>
        <color theme="1"/>
        <rFont val="Meiryo UI"/>
        <family val="2"/>
        <charset val="128"/>
      </rPr>
      <t xml:space="preserve">. </t>
    </r>
    <r>
      <rPr>
        <sz val="11"/>
        <color theme="1"/>
        <rFont val="돋움"/>
        <family val="3"/>
        <charset val="129"/>
      </rPr>
      <t>종이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울리면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바로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시작하시면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됩니다</t>
    </r>
    <r>
      <rPr>
        <sz val="11"/>
        <color theme="1"/>
        <rFont val="Meiryo UI"/>
        <family val="2"/>
        <charset val="128"/>
      </rPr>
      <t>.”</t>
    </r>
  </si>
  <si>
    <r>
      <rPr>
        <sz val="11"/>
        <color theme="1"/>
        <rFont val="돋움"/>
        <family val="3"/>
        <charset val="129"/>
      </rPr>
      <t>댕</t>
    </r>
    <r>
      <rPr>
        <sz val="11"/>
        <color theme="1"/>
        <rFont val="Meiryo UI"/>
        <family val="2"/>
        <charset val="128"/>
      </rPr>
      <t xml:space="preserve">! </t>
    </r>
    <r>
      <rPr>
        <sz val="11"/>
        <color theme="1"/>
        <rFont val="돋움"/>
        <family val="3"/>
        <charset val="129"/>
      </rPr>
      <t>짧고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묵직한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종소리가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울려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퍼졌다</t>
    </r>
    <r>
      <rPr>
        <sz val="11"/>
        <color theme="1"/>
        <rFont val="Meiryo UI"/>
        <family val="2"/>
        <charset val="128"/>
      </rPr>
      <t>.</t>
    </r>
  </si>
  <si>
    <r>
      <rPr>
        <sz val="11"/>
        <color theme="1"/>
        <rFont val="맑은 고딕"/>
        <family val="2"/>
        <charset val="129"/>
      </rPr>
      <t>잠시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맑은 고딕"/>
        <family val="2"/>
        <charset val="129"/>
      </rPr>
      <t>침묵</t>
    </r>
    <r>
      <rPr>
        <sz val="11"/>
        <color theme="1"/>
        <rFont val="Meiryo UI"/>
        <family val="2"/>
        <charset val="128"/>
      </rPr>
      <t xml:space="preserve">, </t>
    </r>
    <r>
      <rPr>
        <sz val="11"/>
        <color theme="1"/>
        <rFont val="맑은 고딕"/>
        <family val="2"/>
        <charset val="129"/>
      </rPr>
      <t>그리고</t>
    </r>
    <r>
      <rPr>
        <sz val="11"/>
        <color theme="1"/>
        <rFont val="Meiryo UI"/>
        <family val="2"/>
        <charset val="128"/>
      </rPr>
      <t>.
“</t>
    </r>
    <r>
      <rPr>
        <sz val="11"/>
        <color theme="1"/>
        <rFont val="맑은 고딕"/>
        <family val="2"/>
        <charset val="129"/>
      </rPr>
      <t>와아아아아</t>
    </r>
    <r>
      <rPr>
        <sz val="11"/>
        <color theme="1"/>
        <rFont val="Meiryo UI"/>
        <family val="2"/>
        <charset val="128"/>
      </rPr>
      <t xml:space="preserve">!”
</t>
    </r>
    <r>
      <rPr>
        <sz val="11"/>
        <color theme="1"/>
        <rFont val="맑은 고딕"/>
        <family val="2"/>
        <charset val="129"/>
      </rPr>
      <t>관중석으로부터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맑은 고딕"/>
        <family val="2"/>
        <charset val="129"/>
      </rPr>
      <t>거센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맑은 고딕"/>
        <family val="2"/>
        <charset val="129"/>
      </rPr>
      <t>함성이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맑은 고딕"/>
        <family val="2"/>
        <charset val="129"/>
      </rPr>
      <t>튀어나왔다</t>
    </r>
    <r>
      <rPr>
        <sz val="11"/>
        <color theme="1"/>
        <rFont val="Meiryo UI"/>
        <family val="2"/>
        <charset val="128"/>
      </rPr>
      <t>.</t>
    </r>
    <phoneticPr fontId="25" type="noConversion"/>
  </si>
  <si>
    <r>
      <rPr>
        <sz val="11"/>
        <color theme="1"/>
        <rFont val="돋움"/>
        <family val="3"/>
        <charset val="129"/>
      </rPr>
      <t>피를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본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관중들은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흥분하여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하이드란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이름을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미친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듯이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연호했다</t>
    </r>
    <r>
      <rPr>
        <sz val="11"/>
        <color theme="1"/>
        <rFont val="Meiryo UI"/>
        <family val="2"/>
        <charset val="128"/>
      </rPr>
      <t>.</t>
    </r>
  </si>
  <si>
    <r>
      <rPr>
        <sz val="11"/>
        <color theme="1"/>
        <rFont val="돋움"/>
        <family val="3"/>
        <charset val="129"/>
      </rPr>
      <t>얕잡아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보기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좋은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외모의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이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소년이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보인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반전은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가히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충격적이었다</t>
    </r>
    <r>
      <rPr>
        <sz val="11"/>
        <color theme="1"/>
        <rFont val="Meiryo UI"/>
        <family val="2"/>
        <charset val="128"/>
      </rPr>
      <t>.</t>
    </r>
  </si>
  <si>
    <r>
      <t>“……</t>
    </r>
    <r>
      <rPr>
        <sz val="11"/>
        <color theme="1"/>
        <rFont val="돋움"/>
        <family val="3"/>
        <charset val="129"/>
      </rPr>
      <t>하이드란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소년</t>
    </r>
    <r>
      <rPr>
        <sz val="11"/>
        <color theme="1"/>
        <rFont val="Meiryo UI"/>
        <family val="2"/>
        <charset val="128"/>
      </rPr>
      <t xml:space="preserve">, </t>
    </r>
    <r>
      <rPr>
        <sz val="11"/>
        <color theme="1"/>
        <rFont val="돋움"/>
        <family val="3"/>
        <charset val="129"/>
      </rPr>
      <t>저런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실력을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가지고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있는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녀석일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줄은</t>
    </r>
    <r>
      <rPr>
        <sz val="11"/>
        <color theme="1"/>
        <rFont val="Meiryo UI"/>
        <family val="2"/>
        <charset val="128"/>
      </rPr>
      <t>.”</t>
    </r>
  </si>
  <si>
    <r>
      <rPr>
        <sz val="11"/>
        <color theme="1"/>
        <rFont val="돋움"/>
        <family val="3"/>
        <charset val="129"/>
      </rPr>
      <t>웬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뜬구름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잡는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소리만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줄줄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적혀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있으니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무슨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뜻인지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당최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알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수가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없다</t>
    </r>
    <r>
      <rPr>
        <sz val="11"/>
        <color theme="1"/>
        <rFont val="Meiryo UI"/>
        <family val="2"/>
        <charset val="128"/>
      </rPr>
      <t xml:space="preserve">. </t>
    </r>
  </si>
  <si>
    <r>
      <t>“</t>
    </r>
    <r>
      <rPr>
        <sz val="11"/>
        <color theme="1"/>
        <rFont val="돋움"/>
        <family val="3"/>
        <charset val="129"/>
      </rPr>
      <t>저런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곳이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저곳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하나만은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아닐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텐데</t>
    </r>
    <r>
      <rPr>
        <sz val="11"/>
        <color theme="1"/>
        <rFont val="Meiryo UI"/>
        <family val="2"/>
        <charset val="128"/>
      </rPr>
      <t xml:space="preserve">. </t>
    </r>
    <r>
      <rPr>
        <sz val="11"/>
        <color theme="1"/>
        <rFont val="돋움"/>
        <family val="3"/>
        <charset val="129"/>
      </rPr>
      <t>넌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어떻게</t>
    </r>
    <r>
      <rPr>
        <sz val="11"/>
        <color theme="1"/>
        <rFont val="Meiryo UI"/>
        <family val="2"/>
        <charset val="128"/>
      </rPr>
      <t xml:space="preserve"> </t>
    </r>
    <r>
      <rPr>
        <sz val="11"/>
        <color theme="1"/>
        <rFont val="돋움"/>
        <family val="3"/>
        <charset val="129"/>
      </rPr>
      <t>찾았지</t>
    </r>
    <r>
      <rPr>
        <sz val="11"/>
        <color theme="1"/>
        <rFont val="Meiryo UI"/>
        <family val="2"/>
        <charset val="128"/>
      </rPr>
      <t>?”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</si>
</sst>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\+0.0;\-0.0;0.0"/>
  </numFmts>
  <fonts count="34">
    <font>
      <sz val="11"/>
      <color theme="1"/>
      <name val="Calibri"/>
      <family val="2"/>
      <charset val="1"/>
    </font>
    <font>
      <b/>
      <sz val="18"/>
      <color rgb="FF1F4E78"/>
      <name val="Noto Sans CJK SC"/>
      <family val="2"/>
      <charset val="1"/>
    </font>
    <font>
      <i/>
      <sz val="9"/>
      <color rgb="FF666666"/>
      <name val="Arial"/>
      <family val="2"/>
    </font>
    <font>
      <i/>
      <sz val="9"/>
      <color rgb="FF666666"/>
      <name val="Noto Sans CJK SC"/>
      <family val="2"/>
    </font>
    <font>
      <b/>
      <sz val="13"/>
      <color rgb="FFFFFFFF"/>
      <name val="Noto Sans CJK SC"/>
      <family val="2"/>
      <charset val="1"/>
    </font>
    <font>
      <b/>
      <sz val="10"/>
      <color rgb="FF000000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Arial"/>
      <family val="2"/>
    </font>
    <font>
      <sz val="10"/>
      <color rgb="FF000000"/>
      <name val="Noto Sans CJK SC"/>
      <family val="2"/>
    </font>
    <font>
      <b/>
      <sz val="10"/>
      <color rgb="FF000000"/>
      <name val="Noto Sans CJK SC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  <charset val="1"/>
    </font>
    <font>
      <b/>
      <sz val="12"/>
      <color rgb="FFFFFFFF"/>
      <name val="Noto Sans CJK SC"/>
      <family val="2"/>
      <charset val="1"/>
    </font>
    <font>
      <b/>
      <sz val="11"/>
      <color rgb="FFFFFFFF"/>
      <name val="Noto Sans CJK SC"/>
      <family val="2"/>
    </font>
    <font>
      <b/>
      <sz val="16"/>
      <color rgb="FF1F4E78"/>
      <name val="Noto Sans CJK SC"/>
      <family val="2"/>
      <charset val="1"/>
    </font>
    <font>
      <i/>
      <sz val="9"/>
      <color rgb="FF666666"/>
      <name val="Noto Sans CJK SC"/>
      <family val="2"/>
      <charset val="1"/>
    </font>
    <font>
      <b/>
      <sz val="14"/>
      <name val="Noto Sans CJK SC"/>
      <family val="2"/>
      <charset val="1"/>
    </font>
    <font>
      <b/>
      <sz val="14"/>
      <color rgb="FF1F4E78"/>
      <name val="Noto Sans CJK SC"/>
      <family val="2"/>
      <charset val="1"/>
    </font>
    <font>
      <b/>
      <sz val="14"/>
      <color rgb="FF1F4E78"/>
      <name val="Arial"/>
      <family val="2"/>
    </font>
    <font>
      <b/>
      <sz val="14"/>
      <color rgb="FF1F4E78"/>
      <name val="Noto Sans CJK SC"/>
      <family val="2"/>
    </font>
    <font>
      <b/>
      <sz val="10"/>
      <name val="Noto Sans CJK SC"/>
      <family val="2"/>
      <charset val="1"/>
    </font>
    <font>
      <b/>
      <sz val="12"/>
      <color rgb="FFFFFFFF"/>
      <name val="Noto Sans CJK SC"/>
      <family val="2"/>
    </font>
    <font>
      <b/>
      <sz val="12"/>
      <color rgb="FFFFFFFF"/>
      <name val="Arial"/>
      <family val="2"/>
    </font>
    <font>
      <b/>
      <sz val="10"/>
      <name val="Noto Sans CJK SC"/>
      <family val="2"/>
    </font>
    <font>
      <sz val="8"/>
      <name val="돋움"/>
      <family val="3"/>
      <charset val="129"/>
    </font>
    <font>
      <b/>
      <sz val="11"/>
      <color rgb="FFFFFFFF"/>
      <name val="Meiryo UI"/>
      <family val="2"/>
      <charset val="128"/>
    </font>
    <font>
      <sz val="11"/>
      <color theme="1"/>
      <name val="Meiryo UI"/>
      <family val="2"/>
      <charset val="128"/>
    </font>
    <font>
      <sz val="10"/>
      <color rgb="FF000000"/>
      <name val="Meiryo UI"/>
      <family val="2"/>
      <charset val="128"/>
    </font>
    <font>
      <sz val="10"/>
      <color rgb="FF000000"/>
      <name val="Meiryo UI"/>
      <family val="3"/>
      <charset val="129"/>
    </font>
    <font>
      <sz val="10"/>
      <color rgb="FF000000"/>
      <name val="Meiryo UI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돋움"/>
      <family val="3"/>
      <charset val="129"/>
    </font>
    <font>
      <sz val="10"/>
      <color rgb="FF000000"/>
      <name val="Noto Sans CJK SC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EEBF7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666666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rgb="FFC65911"/>
        <bgColor rgb="FF993300"/>
      </patternFill>
    </fill>
    <fill>
      <patternFill patternType="solid">
        <fgColor rgb="FFDE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BF7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2" fillId="4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0" fillId="0" borderId="2" xfId="0" applyBorder="1"/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7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1" fontId="7" fillId="7" borderId="1" xfId="0" applyNumberFormat="1" applyFont="1" applyFill="1" applyBorder="1" applyAlignment="1">
      <alignment horizontal="center" vertical="center" wrapText="1"/>
    </xf>
    <xf numFmtId="2" fontId="7" fillId="7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76" fontId="0" fillId="7" borderId="1" xfId="0" applyNumberFormat="1" applyFill="1" applyBorder="1" applyAlignment="1">
      <alignment horizontal="center" vertical="center" wrapText="1"/>
    </xf>
    <xf numFmtId="0" fontId="0" fillId="3" borderId="1" xfId="0" applyFill="1" applyBorder="1"/>
    <xf numFmtId="2" fontId="10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1" fillId="4" borderId="1" xfId="0" applyFont="1" applyFill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177" fontId="7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176" fontId="7" fillId="1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3" fillId="9" borderId="0" xfId="0" applyFont="1" applyFill="1" applyAlignment="1">
      <alignment horizontal="left" vertical="center" wrapText="1"/>
    </xf>
    <xf numFmtId="0" fontId="27" fillId="6" borderId="1" xfId="0" applyFont="1" applyFill="1" applyBorder="1"/>
    <xf numFmtId="0" fontId="28" fillId="6" borderId="1" xfId="0" applyFont="1" applyFill="1" applyBorder="1" applyAlignment="1">
      <alignment horizontal="left" vertical="top" wrapText="1"/>
    </xf>
    <xf numFmtId="0" fontId="27" fillId="0" borderId="0" xfId="0" applyFont="1"/>
    <xf numFmtId="0" fontId="29" fillId="6" borderId="1" xfId="0" applyFont="1" applyFill="1" applyBorder="1" applyAlignment="1">
      <alignment horizontal="left" vertical="top" wrapText="1"/>
    </xf>
    <xf numFmtId="0" fontId="30" fillId="6" borderId="1" xfId="0" applyFont="1" applyFill="1" applyBorder="1" applyAlignment="1">
      <alignment horizontal="left" vertical="top" wrapText="1"/>
    </xf>
    <xf numFmtId="0" fontId="31" fillId="6" borderId="1" xfId="0" applyFont="1" applyFill="1" applyBorder="1" applyAlignment="1">
      <alignment vertical="center" wrapText="1"/>
    </xf>
    <xf numFmtId="0" fontId="27" fillId="6" borderId="1" xfId="0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/>
    </xf>
    <xf numFmtId="0" fontId="18" fillId="0" borderId="0" xfId="0" applyFont="1"/>
    <xf numFmtId="0" fontId="16" fillId="0" borderId="0" xfId="0" applyFont="1"/>
    <xf numFmtId="0" fontId="13" fillId="2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0" fillId="6" borderId="5" xfId="0" applyFill="1" applyBorder="1"/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6" fillId="6" borderId="5" xfId="0" applyFont="1" applyFill="1" applyBorder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0" borderId="0" xfId="0"/>
    <xf numFmtId="0" fontId="10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12" fillId="2" borderId="4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left" vertical="center" wrapText="1"/>
    </xf>
    <xf numFmtId="0" fontId="13" fillId="9" borderId="0" xfId="0" applyFont="1" applyFill="1" applyAlignment="1">
      <alignment horizontal="left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9" fillId="0" borderId="0" xfId="0" applyFont="1"/>
    <xf numFmtId="0" fontId="20" fillId="0" borderId="0" xfId="0" applyFont="1"/>
    <xf numFmtId="0" fontId="3" fillId="0" borderId="0" xfId="0" applyFont="1"/>
    <xf numFmtId="0" fontId="22" fillId="2" borderId="0" xfId="0" applyFont="1" applyFill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22" fillId="9" borderId="0" xfId="0" applyFont="1" applyFill="1" applyAlignment="1">
      <alignment horizontal="left" vertical="center" wrapText="1"/>
    </xf>
  </cellXfs>
  <cellStyles count="1">
    <cellStyle name="표준" xfId="0" builtinId="0"/>
  </cellStyles>
  <dxfs count="26"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FFE699"/>
        </patternFill>
      </fill>
    </dxf>
    <dxf>
      <fill>
        <patternFill>
          <bgColor rgb="FFFFD966"/>
        </patternFill>
      </fill>
    </dxf>
    <dxf>
      <fill>
        <patternFill>
          <bgColor rgb="FFF4B084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ill>
        <patternFill>
          <bgColor rgb="FFFFD966"/>
        </patternFill>
      </fill>
    </dxf>
    <dxf>
      <fill>
        <patternFill>
          <bgColor rgb="FFF4B08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FCE4D6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4B084"/>
      <rgbColor rgb="FFCC99FF"/>
      <rgbColor rgb="FFFFD966"/>
      <rgbColor rgb="FF2E75B6"/>
      <rgbColor rgb="FF33CCCC"/>
      <rgbColor rgb="FF99CC00"/>
      <rgbColor rgb="FFFFCC00"/>
      <rgbColor rgb="FFFF9900"/>
      <rgbColor rgb="FFC65911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opLeftCell="A25" zoomScaleNormal="100" workbookViewId="0">
      <selection activeCell="B20" sqref="B20"/>
    </sheetView>
  </sheetViews>
  <sheetFormatPr baseColWidth="10" defaultColWidth="8.6640625" defaultRowHeight="15"/>
  <cols>
    <col min="1" max="1" width="28" customWidth="1"/>
    <col min="2" max="6" width="18" customWidth="1"/>
  </cols>
  <sheetData>
    <row r="1" spans="1:6" ht="31.5" customHeight="1">
      <c r="A1" s="74" t="s">
        <v>0</v>
      </c>
      <c r="B1" s="74"/>
      <c r="C1" s="74"/>
      <c r="D1" s="74"/>
      <c r="E1" s="74"/>
      <c r="F1" s="74"/>
    </row>
    <row r="2" spans="1:6" ht="13.5" customHeight="1">
      <c r="A2" s="75" t="s">
        <v>1</v>
      </c>
      <c r="B2" s="75"/>
      <c r="C2" s="75"/>
      <c r="D2" s="75"/>
      <c r="E2" s="75"/>
      <c r="F2" s="75"/>
    </row>
    <row r="4" spans="1:6" ht="24" customHeight="1">
      <c r="A4" s="76" t="s">
        <v>2</v>
      </c>
      <c r="B4" s="76"/>
      <c r="C4" s="76"/>
      <c r="D4" s="76"/>
      <c r="E4" s="76"/>
      <c r="F4" s="76"/>
    </row>
    <row r="5" spans="1:6" ht="31.5" customHeight="1">
      <c r="A5" s="3" t="s">
        <v>3</v>
      </c>
      <c r="B5" s="71" t="s">
        <v>4</v>
      </c>
      <c r="C5" s="71"/>
      <c r="D5" s="71"/>
      <c r="E5" s="71"/>
      <c r="F5" s="71"/>
    </row>
    <row r="6" spans="1:6" ht="31.5" customHeight="1">
      <c r="A6" s="3" t="s">
        <v>5</v>
      </c>
      <c r="B6" s="72" t="s">
        <v>6</v>
      </c>
      <c r="C6" s="72"/>
      <c r="D6" s="72"/>
      <c r="E6" s="72"/>
      <c r="F6" s="72"/>
    </row>
    <row r="7" spans="1:6" ht="31.5" customHeight="1">
      <c r="A7" s="3" t="s">
        <v>7</v>
      </c>
      <c r="B7" s="71" t="s">
        <v>8</v>
      </c>
      <c r="C7" s="71"/>
      <c r="D7" s="71"/>
      <c r="E7" s="71"/>
      <c r="F7" s="71"/>
    </row>
    <row r="8" spans="1:6" ht="31.5" customHeight="1">
      <c r="A8" s="3" t="s">
        <v>9</v>
      </c>
      <c r="B8" s="71" t="s">
        <v>10</v>
      </c>
      <c r="C8" s="71"/>
      <c r="D8" s="71"/>
      <c r="E8" s="71"/>
      <c r="F8" s="71"/>
    </row>
    <row r="9" spans="1:6" ht="31.5" customHeight="1">
      <c r="A9" s="3" t="s">
        <v>11</v>
      </c>
      <c r="B9" s="71" t="s">
        <v>12</v>
      </c>
      <c r="C9" s="71"/>
      <c r="D9" s="71"/>
      <c r="E9" s="71"/>
      <c r="F9" s="71"/>
    </row>
    <row r="10" spans="1:6" ht="31.5" customHeight="1">
      <c r="A10" s="3" t="s">
        <v>13</v>
      </c>
      <c r="B10" s="72" t="s">
        <v>14</v>
      </c>
      <c r="C10" s="72"/>
      <c r="D10" s="72"/>
      <c r="E10" s="72"/>
      <c r="F10" s="72"/>
    </row>
    <row r="11" spans="1:6" ht="31.5" customHeight="1">
      <c r="A11" s="3" t="s">
        <v>15</v>
      </c>
      <c r="B11" s="72" t="s">
        <v>16</v>
      </c>
      <c r="C11" s="72"/>
      <c r="D11" s="72"/>
      <c r="E11" s="72"/>
      <c r="F11" s="72"/>
    </row>
    <row r="12" spans="1:6" ht="31.5" customHeight="1">
      <c r="A12" s="3" t="s">
        <v>17</v>
      </c>
      <c r="B12" s="71" t="s">
        <v>18</v>
      </c>
      <c r="C12" s="71"/>
      <c r="D12" s="71"/>
      <c r="E12" s="71"/>
      <c r="F12" s="71"/>
    </row>
    <row r="13" spans="1:6" ht="31.5" customHeight="1">
      <c r="A13" s="77" t="s">
        <v>19</v>
      </c>
      <c r="B13" s="77" t="s">
        <v>20</v>
      </c>
      <c r="C13" s="77"/>
      <c r="D13" s="77"/>
      <c r="E13" s="77"/>
      <c r="F13" s="77"/>
    </row>
    <row r="14" spans="1:6" ht="31.5" customHeight="1">
      <c r="B14" s="78"/>
      <c r="C14" s="78"/>
      <c r="D14" s="78"/>
      <c r="E14" s="78"/>
      <c r="F14" s="78"/>
    </row>
    <row r="15" spans="1:6" ht="31.5" customHeight="1">
      <c r="A15" s="7" t="s">
        <v>21</v>
      </c>
      <c r="B15" s="78"/>
      <c r="C15" s="78"/>
      <c r="D15" s="78"/>
      <c r="E15" s="78"/>
      <c r="F15" s="78"/>
    </row>
    <row r="16" spans="1:6" ht="31.5" customHeight="1">
      <c r="A16" s="4" t="s">
        <v>22</v>
      </c>
      <c r="B16" s="71" t="s">
        <v>23</v>
      </c>
      <c r="C16" s="71"/>
      <c r="D16" s="71"/>
      <c r="E16" s="71"/>
      <c r="F16" s="71"/>
    </row>
    <row r="17" spans="1:6" ht="31.5" customHeight="1">
      <c r="A17" s="4" t="s">
        <v>24</v>
      </c>
      <c r="B17" s="71" t="s">
        <v>25</v>
      </c>
      <c r="C17" s="71"/>
      <c r="D17" s="71"/>
      <c r="E17" s="71"/>
      <c r="F17" s="71"/>
    </row>
    <row r="18" spans="1:6" ht="31.5" customHeight="1">
      <c r="A18" s="4" t="s">
        <v>26</v>
      </c>
      <c r="B18" s="71" t="s">
        <v>27</v>
      </c>
      <c r="C18" s="71"/>
      <c r="D18" s="71"/>
      <c r="E18" s="71"/>
      <c r="F18" s="71"/>
    </row>
    <row r="19" spans="1:6" ht="31.5" customHeight="1">
      <c r="A19" s="4" t="s">
        <v>28</v>
      </c>
      <c r="B19" s="71" t="s">
        <v>29</v>
      </c>
      <c r="C19" s="71"/>
      <c r="D19" s="71"/>
      <c r="E19" s="71"/>
      <c r="F19" s="71"/>
    </row>
    <row r="20" spans="1:6" ht="43.5" customHeight="1">
      <c r="A20" s="4" t="s">
        <v>30</v>
      </c>
      <c r="B20" s="6" t="s">
        <v>31</v>
      </c>
      <c r="C20" s="8"/>
      <c r="D20" s="8"/>
      <c r="E20" s="8"/>
      <c r="F20" s="2"/>
    </row>
    <row r="21" spans="1:6" ht="24" customHeight="1">
      <c r="A21" s="79" t="s">
        <v>32</v>
      </c>
      <c r="B21" s="79" t="s">
        <v>33</v>
      </c>
      <c r="C21" s="79"/>
      <c r="D21" s="79"/>
      <c r="E21" s="79"/>
      <c r="F21" s="79"/>
    </row>
    <row r="22" spans="1:6" ht="31.5" customHeight="1">
      <c r="B22" s="78"/>
      <c r="C22" s="78"/>
      <c r="D22" s="78"/>
      <c r="E22" s="78"/>
      <c r="F22" s="78"/>
    </row>
    <row r="23" spans="1:6" ht="31.5" customHeight="1">
      <c r="A23" s="7" t="s">
        <v>34</v>
      </c>
      <c r="B23" s="78"/>
      <c r="C23" s="78"/>
      <c r="D23" s="78"/>
      <c r="E23" s="78"/>
      <c r="F23" s="78"/>
    </row>
    <row r="24" spans="1:6" ht="31.5" customHeight="1">
      <c r="A24" s="3" t="s">
        <v>35</v>
      </c>
      <c r="B24" s="72" t="s">
        <v>36</v>
      </c>
      <c r="C24" s="72"/>
      <c r="D24" s="72"/>
      <c r="E24" s="72"/>
      <c r="F24" s="72"/>
    </row>
    <row r="25" spans="1:6" ht="31.5" customHeight="1">
      <c r="A25" s="3" t="s">
        <v>37</v>
      </c>
      <c r="B25" s="72" t="s">
        <v>38</v>
      </c>
      <c r="C25" s="72"/>
      <c r="D25" s="72"/>
      <c r="E25" s="72"/>
      <c r="F25" s="72"/>
    </row>
    <row r="26" spans="1:6" ht="31.5" customHeight="1">
      <c r="A26" s="3" t="s">
        <v>39</v>
      </c>
      <c r="B26" s="72" t="s">
        <v>40</v>
      </c>
      <c r="C26" s="72"/>
      <c r="D26" s="72"/>
      <c r="E26" s="72"/>
      <c r="F26" s="72"/>
    </row>
    <row r="27" spans="1:6" ht="31.5" customHeight="1">
      <c r="A27" s="3" t="s">
        <v>41</v>
      </c>
      <c r="B27" s="72" t="s">
        <v>42</v>
      </c>
      <c r="C27" s="72"/>
      <c r="D27" s="72"/>
      <c r="E27" s="72"/>
      <c r="F27" s="72"/>
    </row>
    <row r="28" spans="1:6" ht="31.5" customHeight="1">
      <c r="A28" s="3" t="s">
        <v>43</v>
      </c>
      <c r="B28" s="72" t="s">
        <v>44</v>
      </c>
      <c r="C28" s="72"/>
      <c r="D28" s="72"/>
      <c r="E28" s="72"/>
      <c r="F28" s="72"/>
    </row>
    <row r="29" spans="1:6" ht="29.25" customHeight="1">
      <c r="A29" s="3" t="s">
        <v>45</v>
      </c>
      <c r="B29" s="6" t="s">
        <v>46</v>
      </c>
      <c r="C29" s="8"/>
      <c r="D29" s="8"/>
      <c r="E29" s="8"/>
      <c r="F29" s="2"/>
    </row>
    <row r="30" spans="1:6" ht="24" customHeight="1">
      <c r="A30" s="80" t="s">
        <v>47</v>
      </c>
      <c r="B30" s="80" t="s">
        <v>48</v>
      </c>
      <c r="C30" s="80"/>
      <c r="D30" s="80"/>
      <c r="E30" s="80"/>
      <c r="F30" s="80"/>
    </row>
    <row r="31" spans="1:6" ht="31.5" customHeight="1">
      <c r="A31" s="3" t="s">
        <v>49</v>
      </c>
      <c r="B31" s="81"/>
      <c r="C31" s="81"/>
      <c r="D31" s="81"/>
      <c r="E31" s="81"/>
      <c r="F31" s="81"/>
    </row>
    <row r="32" spans="1:6" ht="31.5" customHeight="1">
      <c r="B32" s="78"/>
      <c r="C32" s="78"/>
      <c r="D32" s="78"/>
      <c r="E32" s="78"/>
      <c r="F32" s="78"/>
    </row>
    <row r="33" spans="1:6" ht="31.5" customHeight="1">
      <c r="A33" s="7" t="s">
        <v>50</v>
      </c>
      <c r="B33" s="78"/>
      <c r="C33" s="78"/>
      <c r="D33" s="78"/>
      <c r="E33" s="78"/>
      <c r="F33" s="78"/>
    </row>
    <row r="34" spans="1:6" ht="31.5" customHeight="1">
      <c r="A34" s="3" t="s">
        <v>51</v>
      </c>
      <c r="B34" s="72" t="s">
        <v>52</v>
      </c>
      <c r="C34" s="72"/>
      <c r="D34" s="72"/>
      <c r="E34" s="72"/>
      <c r="F34" s="72"/>
    </row>
    <row r="35" spans="1:6" ht="31.5" customHeight="1">
      <c r="A35" s="3" t="s">
        <v>53</v>
      </c>
      <c r="B35" s="72" t="s">
        <v>54</v>
      </c>
      <c r="C35" s="72"/>
      <c r="D35" s="72"/>
      <c r="E35" s="72"/>
      <c r="F35" s="72"/>
    </row>
    <row r="36" spans="1:6" ht="31.5" customHeight="1">
      <c r="A36" s="3" t="s">
        <v>55</v>
      </c>
      <c r="B36" s="72" t="s">
        <v>54</v>
      </c>
      <c r="C36" s="72"/>
      <c r="D36" s="72"/>
      <c r="E36" s="72"/>
      <c r="F36" s="72"/>
    </row>
    <row r="37" spans="1:6" ht="31.5" customHeight="1">
      <c r="A37" s="3" t="s">
        <v>56</v>
      </c>
      <c r="B37" s="72" t="s">
        <v>52</v>
      </c>
      <c r="C37" s="72"/>
      <c r="D37" s="72"/>
      <c r="E37" s="72"/>
      <c r="F37" s="72"/>
    </row>
    <row r="38" spans="1:6" ht="43.5" customHeight="1">
      <c r="A38" s="3" t="s">
        <v>57</v>
      </c>
      <c r="B38" s="5" t="s">
        <v>52</v>
      </c>
      <c r="C38" s="8"/>
      <c r="D38" s="8"/>
      <c r="E38" s="8"/>
      <c r="F38" s="2"/>
    </row>
    <row r="39" spans="1:6" ht="24" customHeight="1">
      <c r="A39" s="80" t="s">
        <v>58</v>
      </c>
      <c r="B39" s="80" t="s">
        <v>59</v>
      </c>
      <c r="C39" s="80"/>
      <c r="D39" s="80"/>
      <c r="E39" s="80"/>
      <c r="F39" s="80"/>
    </row>
    <row r="40" spans="1:6" ht="31.5" customHeight="1">
      <c r="A40" s="3" t="s">
        <v>60</v>
      </c>
      <c r="B40" s="81"/>
      <c r="C40" s="81"/>
      <c r="D40" s="81"/>
      <c r="E40" s="81"/>
      <c r="F40" s="81"/>
    </row>
    <row r="41" spans="1:6" ht="31.5" customHeight="1">
      <c r="B41" s="78"/>
      <c r="C41" s="78"/>
      <c r="D41" s="78"/>
      <c r="E41" s="78"/>
      <c r="F41" s="78"/>
    </row>
    <row r="42" spans="1:6" ht="31.5" customHeight="1">
      <c r="A42" s="7" t="s">
        <v>61</v>
      </c>
      <c r="B42" s="78"/>
      <c r="C42" s="78"/>
      <c r="D42" s="78"/>
      <c r="E42" s="78"/>
      <c r="F42" s="78"/>
    </row>
    <row r="43" spans="1:6" ht="31.5" customHeight="1">
      <c r="A43" s="3" t="s">
        <v>62</v>
      </c>
      <c r="B43" s="71" t="s">
        <v>63</v>
      </c>
      <c r="C43" s="71"/>
      <c r="D43" s="71"/>
      <c r="E43" s="71"/>
      <c r="F43" s="71"/>
    </row>
    <row r="44" spans="1:6" ht="31.5" customHeight="1">
      <c r="A44" s="3" t="s">
        <v>64</v>
      </c>
      <c r="B44" s="71" t="s">
        <v>65</v>
      </c>
      <c r="C44" s="71"/>
      <c r="D44" s="71"/>
      <c r="E44" s="71"/>
      <c r="F44" s="71"/>
    </row>
    <row r="45" spans="1:6" ht="31.5" customHeight="1">
      <c r="A45" s="4" t="s">
        <v>66</v>
      </c>
      <c r="B45" s="71" t="s">
        <v>67</v>
      </c>
      <c r="C45" s="71"/>
      <c r="D45" s="71"/>
      <c r="E45" s="71"/>
      <c r="F45" s="71"/>
    </row>
    <row r="46" spans="1:6" ht="31.5" customHeight="1">
      <c r="A46" s="3" t="s">
        <v>68</v>
      </c>
      <c r="B46" s="71" t="s">
        <v>69</v>
      </c>
      <c r="C46" s="71"/>
      <c r="D46" s="71"/>
      <c r="E46" s="71"/>
      <c r="F46" s="71"/>
    </row>
    <row r="47" spans="1:6" ht="31.5" customHeight="1">
      <c r="A47" s="3" t="s">
        <v>70</v>
      </c>
      <c r="B47" s="71" t="s">
        <v>71</v>
      </c>
      <c r="C47" s="71"/>
      <c r="D47" s="71"/>
      <c r="E47" s="71"/>
      <c r="F47" s="71"/>
    </row>
    <row r="48" spans="1:6" ht="31.5" customHeight="1">
      <c r="A48" s="3" t="s">
        <v>72</v>
      </c>
      <c r="B48" s="71" t="s">
        <v>73</v>
      </c>
      <c r="C48" s="71"/>
      <c r="D48" s="71"/>
      <c r="E48" s="71"/>
      <c r="F48" s="71"/>
    </row>
    <row r="49" spans="1:6" ht="43.5" customHeight="1">
      <c r="A49" s="3" t="s">
        <v>74</v>
      </c>
      <c r="B49" s="6" t="s">
        <v>75</v>
      </c>
      <c r="C49" s="8"/>
      <c r="D49" s="8"/>
      <c r="E49" s="8"/>
      <c r="F49" s="2"/>
    </row>
    <row r="50" spans="1:6" ht="24" customHeight="1">
      <c r="A50" s="80" t="s">
        <v>76</v>
      </c>
      <c r="B50" s="80" t="s">
        <v>77</v>
      </c>
      <c r="C50" s="80"/>
      <c r="D50" s="80"/>
      <c r="E50" s="80"/>
      <c r="F50" s="80"/>
    </row>
    <row r="51" spans="1:6" ht="31.5" customHeight="1">
      <c r="A51" s="3" t="s">
        <v>78</v>
      </c>
      <c r="B51" s="81"/>
      <c r="C51" s="81"/>
      <c r="D51" s="81"/>
      <c r="E51" s="81"/>
      <c r="F51" s="81"/>
    </row>
    <row r="52" spans="1:6" ht="31.5" customHeight="1">
      <c r="B52" s="78"/>
      <c r="C52" s="78"/>
      <c r="D52" s="78"/>
      <c r="E52" s="78"/>
      <c r="F52" s="78"/>
    </row>
    <row r="53" spans="1:6" ht="31.5" customHeight="1">
      <c r="A53" s="7" t="s">
        <v>79</v>
      </c>
      <c r="B53" s="78"/>
      <c r="C53" s="78"/>
      <c r="D53" s="78"/>
      <c r="E53" s="78"/>
      <c r="F53" s="78"/>
    </row>
    <row r="54" spans="1:6" ht="43.5" customHeight="1">
      <c r="A54" s="3" t="s">
        <v>80</v>
      </c>
      <c r="B54" s="6" t="s">
        <v>81</v>
      </c>
      <c r="C54" s="8"/>
      <c r="D54" s="8"/>
      <c r="E54" s="8"/>
      <c r="F54" s="2"/>
    </row>
    <row r="55" spans="1:6" ht="43.5" customHeight="1">
      <c r="A55" s="3" t="s">
        <v>82</v>
      </c>
      <c r="B55" s="6" t="s">
        <v>83</v>
      </c>
      <c r="C55" s="8"/>
      <c r="D55" s="8"/>
      <c r="E55" s="8"/>
      <c r="F55" s="2"/>
    </row>
    <row r="56" spans="1:6" ht="56">
      <c r="A56" s="3" t="s">
        <v>84</v>
      </c>
      <c r="B56" s="6" t="s">
        <v>85</v>
      </c>
      <c r="C56" s="8"/>
      <c r="D56" s="8"/>
      <c r="E56" s="8"/>
      <c r="F56" s="2"/>
    </row>
  </sheetData>
  <mergeCells count="48">
    <mergeCell ref="B51:F51"/>
    <mergeCell ref="B52:F52"/>
    <mergeCell ref="B53:F53"/>
    <mergeCell ref="B45:F45"/>
    <mergeCell ref="B46:F46"/>
    <mergeCell ref="B47:F47"/>
    <mergeCell ref="B48:F48"/>
    <mergeCell ref="A50:F50"/>
    <mergeCell ref="B40:F40"/>
    <mergeCell ref="B41:F41"/>
    <mergeCell ref="B42:F42"/>
    <mergeCell ref="B43:F43"/>
    <mergeCell ref="B44:F44"/>
    <mergeCell ref="B34:F34"/>
    <mergeCell ref="B35:F35"/>
    <mergeCell ref="B36:F36"/>
    <mergeCell ref="B37:F37"/>
    <mergeCell ref="A39:F39"/>
    <mergeCell ref="B28:F28"/>
    <mergeCell ref="A30:F30"/>
    <mergeCell ref="B31:F31"/>
    <mergeCell ref="B32:F32"/>
    <mergeCell ref="B33:F33"/>
    <mergeCell ref="B23:F23"/>
    <mergeCell ref="B24:F24"/>
    <mergeCell ref="B25:F25"/>
    <mergeCell ref="B26:F26"/>
    <mergeCell ref="B27:F27"/>
    <mergeCell ref="B17:F17"/>
    <mergeCell ref="B18:F18"/>
    <mergeCell ref="B19:F19"/>
    <mergeCell ref="A21:F21"/>
    <mergeCell ref="B22:F22"/>
    <mergeCell ref="B12:F12"/>
    <mergeCell ref="A13:F13"/>
    <mergeCell ref="B14:F14"/>
    <mergeCell ref="B15:F15"/>
    <mergeCell ref="B16:F16"/>
    <mergeCell ref="B7:F7"/>
    <mergeCell ref="B8:F8"/>
    <mergeCell ref="B9:F9"/>
    <mergeCell ref="B10:F10"/>
    <mergeCell ref="B11:F11"/>
    <mergeCell ref="A1:F1"/>
    <mergeCell ref="A2:F2"/>
    <mergeCell ref="A4:F4"/>
    <mergeCell ref="B5:F5"/>
    <mergeCell ref="B6:F6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opLeftCell="A7" zoomScale="92" zoomScaleNormal="100" workbookViewId="0">
      <selection activeCell="C10" sqref="C10"/>
    </sheetView>
  </sheetViews>
  <sheetFormatPr baseColWidth="10" defaultColWidth="8.6640625" defaultRowHeight="15"/>
  <cols>
    <col min="1" max="1" width="5" customWidth="1"/>
    <col min="2" max="2" width="18" customWidth="1"/>
    <col min="3" max="3" width="26" customWidth="1"/>
    <col min="4" max="4" width="32" customWidth="1"/>
    <col min="5" max="5" width="22" customWidth="1"/>
    <col min="6" max="6" width="24" customWidth="1"/>
    <col min="7" max="7" width="26" customWidth="1"/>
    <col min="8" max="8" width="12" customWidth="1"/>
  </cols>
  <sheetData>
    <row r="1" spans="1:8" ht="30" customHeight="1">
      <c r="A1" s="9" t="s">
        <v>86</v>
      </c>
      <c r="B1" s="10" t="s">
        <v>87</v>
      </c>
      <c r="C1" s="10" t="s">
        <v>88</v>
      </c>
      <c r="D1" s="10" t="s">
        <v>89</v>
      </c>
      <c r="E1" s="10" t="s">
        <v>90</v>
      </c>
      <c r="F1" s="10" t="s">
        <v>91</v>
      </c>
      <c r="G1" s="10" t="s">
        <v>92</v>
      </c>
      <c r="H1" s="10" t="s">
        <v>93</v>
      </c>
    </row>
    <row r="2" spans="1:8" ht="60" customHeight="1">
      <c r="A2" s="5" t="s">
        <v>94</v>
      </c>
      <c r="B2" s="6" t="s">
        <v>95</v>
      </c>
      <c r="C2" s="6" t="s">
        <v>96</v>
      </c>
      <c r="D2" s="6" t="s">
        <v>97</v>
      </c>
      <c r="E2" s="6" t="s">
        <v>98</v>
      </c>
      <c r="F2" s="6" t="s">
        <v>99</v>
      </c>
      <c r="G2" s="6" t="s">
        <v>100</v>
      </c>
      <c r="H2" s="6" t="s">
        <v>101</v>
      </c>
    </row>
    <row r="3" spans="1:8" ht="60" customHeight="1">
      <c r="A3" s="5" t="s">
        <v>102</v>
      </c>
      <c r="B3" s="6" t="s">
        <v>103</v>
      </c>
      <c r="C3" s="6" t="s">
        <v>104</v>
      </c>
      <c r="D3" s="6" t="s">
        <v>105</v>
      </c>
      <c r="E3" s="6" t="s">
        <v>106</v>
      </c>
      <c r="F3" s="6" t="s">
        <v>107</v>
      </c>
      <c r="G3" s="6" t="s">
        <v>108</v>
      </c>
      <c r="H3" s="6" t="s">
        <v>101</v>
      </c>
    </row>
    <row r="4" spans="1:8" ht="60" customHeight="1">
      <c r="A4" s="5" t="s">
        <v>109</v>
      </c>
      <c r="B4" s="6" t="s">
        <v>110</v>
      </c>
      <c r="C4" s="6" t="s">
        <v>111</v>
      </c>
      <c r="D4" s="6" t="s">
        <v>112</v>
      </c>
      <c r="E4" s="6" t="s">
        <v>113</v>
      </c>
      <c r="F4" s="6" t="s">
        <v>114</v>
      </c>
      <c r="G4" s="6" t="s">
        <v>115</v>
      </c>
      <c r="H4" s="6" t="s">
        <v>116</v>
      </c>
    </row>
    <row r="5" spans="1:8" ht="60" customHeight="1">
      <c r="A5" s="5" t="s">
        <v>117</v>
      </c>
      <c r="B5" s="6" t="s">
        <v>118</v>
      </c>
      <c r="C5" s="6" t="s">
        <v>119</v>
      </c>
      <c r="D5" s="6" t="s">
        <v>120</v>
      </c>
      <c r="E5" s="6" t="s">
        <v>121</v>
      </c>
      <c r="F5" s="6" t="s">
        <v>122</v>
      </c>
      <c r="G5" s="6" t="s">
        <v>123</v>
      </c>
      <c r="H5" s="6" t="s">
        <v>101</v>
      </c>
    </row>
    <row r="6" spans="1:8" ht="60" customHeight="1">
      <c r="A6" s="5" t="s">
        <v>124</v>
      </c>
      <c r="B6" s="6" t="s">
        <v>125</v>
      </c>
      <c r="C6" s="6" t="s">
        <v>126</v>
      </c>
      <c r="D6" s="6" t="s">
        <v>127</v>
      </c>
      <c r="E6" s="6" t="s">
        <v>128</v>
      </c>
      <c r="F6" s="6" t="s">
        <v>129</v>
      </c>
      <c r="G6" s="6" t="s">
        <v>130</v>
      </c>
      <c r="H6" s="6" t="s">
        <v>116</v>
      </c>
    </row>
    <row r="7" spans="1:8" ht="60" customHeight="1">
      <c r="A7" s="5" t="s">
        <v>131</v>
      </c>
      <c r="B7" s="5" t="s">
        <v>132</v>
      </c>
      <c r="C7" s="6" t="s">
        <v>133</v>
      </c>
      <c r="D7" s="6" t="s">
        <v>134</v>
      </c>
      <c r="E7" s="6" t="s">
        <v>135</v>
      </c>
      <c r="F7" s="6" t="s">
        <v>136</v>
      </c>
      <c r="G7" s="6" t="s">
        <v>137</v>
      </c>
      <c r="H7" s="6" t="s">
        <v>116</v>
      </c>
    </row>
    <row r="8" spans="1:8" ht="60" customHeight="1">
      <c r="A8" s="5" t="s">
        <v>138</v>
      </c>
      <c r="B8" s="6" t="s">
        <v>139</v>
      </c>
      <c r="C8" s="6" t="s">
        <v>140</v>
      </c>
      <c r="D8" s="5" t="s">
        <v>141</v>
      </c>
      <c r="E8" s="6" t="s">
        <v>142</v>
      </c>
      <c r="F8" s="6" t="s">
        <v>143</v>
      </c>
      <c r="G8" s="6" t="s">
        <v>144</v>
      </c>
      <c r="H8" s="6" t="s">
        <v>116</v>
      </c>
    </row>
    <row r="9" spans="1:8" ht="60" customHeight="1">
      <c r="A9" s="5" t="s">
        <v>145</v>
      </c>
      <c r="B9" s="6" t="s">
        <v>146</v>
      </c>
      <c r="C9" s="6" t="s">
        <v>147</v>
      </c>
      <c r="D9" s="6" t="s">
        <v>148</v>
      </c>
      <c r="E9" s="6" t="s">
        <v>149</v>
      </c>
      <c r="F9" s="6" t="s">
        <v>150</v>
      </c>
      <c r="G9" s="6" t="s">
        <v>151</v>
      </c>
      <c r="H9" s="6" t="s">
        <v>116</v>
      </c>
    </row>
    <row r="10" spans="1:8" ht="60" customHeight="1">
      <c r="A10" s="5" t="s">
        <v>152</v>
      </c>
      <c r="B10" s="6" t="s">
        <v>153</v>
      </c>
      <c r="C10" s="6" t="s">
        <v>154</v>
      </c>
      <c r="D10" s="6" t="s">
        <v>155</v>
      </c>
      <c r="E10" s="6" t="s">
        <v>156</v>
      </c>
      <c r="F10" s="6" t="s">
        <v>157</v>
      </c>
      <c r="G10" s="6" t="s">
        <v>158</v>
      </c>
      <c r="H10" s="6" t="s">
        <v>116</v>
      </c>
    </row>
    <row r="11" spans="1:8" ht="60" customHeight="1">
      <c r="A11" s="5" t="s">
        <v>159</v>
      </c>
      <c r="B11" s="6" t="s">
        <v>160</v>
      </c>
      <c r="C11" s="6" t="s">
        <v>161</v>
      </c>
      <c r="D11" s="6" t="s">
        <v>162</v>
      </c>
      <c r="E11" s="6" t="s">
        <v>163</v>
      </c>
      <c r="F11" s="6" t="s">
        <v>164</v>
      </c>
      <c r="G11" s="6" t="s">
        <v>165</v>
      </c>
      <c r="H11" s="6" t="s">
        <v>101</v>
      </c>
    </row>
    <row r="12" spans="1:8" ht="60" customHeight="1">
      <c r="A12" s="5" t="s">
        <v>166</v>
      </c>
      <c r="B12" s="6" t="s">
        <v>167</v>
      </c>
      <c r="C12" s="6" t="s">
        <v>168</v>
      </c>
      <c r="D12" s="6" t="s">
        <v>169</v>
      </c>
      <c r="E12" s="6" t="s">
        <v>170</v>
      </c>
      <c r="F12" s="6" t="s">
        <v>171</v>
      </c>
      <c r="G12" s="6" t="s">
        <v>172</v>
      </c>
      <c r="H12" s="6" t="s">
        <v>173</v>
      </c>
    </row>
    <row r="13" spans="1:8" ht="60" customHeight="1">
      <c r="A13" s="5" t="s">
        <v>174</v>
      </c>
      <c r="B13" s="6" t="s">
        <v>175</v>
      </c>
      <c r="C13" s="6" t="s">
        <v>176</v>
      </c>
      <c r="D13" s="6" t="s">
        <v>177</v>
      </c>
      <c r="E13" s="6" t="s">
        <v>178</v>
      </c>
      <c r="F13" s="6" t="s">
        <v>179</v>
      </c>
      <c r="G13" s="6" t="s">
        <v>180</v>
      </c>
      <c r="H13" s="6" t="s">
        <v>116</v>
      </c>
    </row>
    <row r="14" spans="1:8" ht="60" customHeight="1">
      <c r="A14" s="5" t="s">
        <v>181</v>
      </c>
      <c r="B14" s="6" t="s">
        <v>182</v>
      </c>
      <c r="C14" s="6" t="s">
        <v>183</v>
      </c>
      <c r="D14" s="6" t="s">
        <v>184</v>
      </c>
      <c r="E14" s="6" t="s">
        <v>185</v>
      </c>
      <c r="F14" s="6" t="s">
        <v>186</v>
      </c>
      <c r="G14" s="6" t="s">
        <v>187</v>
      </c>
      <c r="H14" s="6" t="s">
        <v>182</v>
      </c>
    </row>
    <row r="17" spans="1:8" ht="21.75" customHeight="1">
      <c r="A17" s="62" t="s">
        <v>188</v>
      </c>
      <c r="B17" s="62"/>
      <c r="C17" s="62"/>
      <c r="D17" s="62"/>
      <c r="E17" s="62"/>
      <c r="F17" s="62"/>
      <c r="G17" s="62"/>
      <c r="H17" s="62"/>
    </row>
    <row r="18" spans="1:8" ht="30" customHeight="1">
      <c r="A18" s="1" t="s">
        <v>189</v>
      </c>
      <c r="B18" s="1" t="s">
        <v>190</v>
      </c>
      <c r="C18" s="1" t="s">
        <v>191</v>
      </c>
      <c r="D18" s="1" t="s">
        <v>192</v>
      </c>
    </row>
    <row r="19" spans="1:8" ht="21.75" customHeight="1">
      <c r="A19" s="11" t="s">
        <v>193</v>
      </c>
      <c r="B19" s="12" t="s">
        <v>194</v>
      </c>
      <c r="C19" s="12" t="s">
        <v>195</v>
      </c>
      <c r="D19" s="11" t="s">
        <v>196</v>
      </c>
    </row>
    <row r="20" spans="1:8" ht="21.75" customHeight="1">
      <c r="A20" s="11" t="s">
        <v>94</v>
      </c>
      <c r="B20" s="12" t="s">
        <v>197</v>
      </c>
      <c r="C20" s="12" t="s">
        <v>198</v>
      </c>
      <c r="D20" s="11" t="s">
        <v>199</v>
      </c>
    </row>
    <row r="21" spans="1:8" ht="21.75" customHeight="1">
      <c r="A21" s="11" t="s">
        <v>102</v>
      </c>
      <c r="B21" s="12" t="s">
        <v>200</v>
      </c>
      <c r="C21" s="12" t="s">
        <v>201</v>
      </c>
      <c r="D21" s="11" t="s">
        <v>202</v>
      </c>
    </row>
    <row r="22" spans="1:8" ht="21.75" customHeight="1">
      <c r="A22" s="11" t="s">
        <v>109</v>
      </c>
      <c r="B22" s="12" t="s">
        <v>203</v>
      </c>
      <c r="C22" s="12" t="s">
        <v>204</v>
      </c>
      <c r="D22" s="11" t="s">
        <v>205</v>
      </c>
    </row>
  </sheetData>
  <mergeCells count="1">
    <mergeCell ref="A17:H17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03"/>
  <sheetViews>
    <sheetView tabSelected="1"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D203" sqref="A3:D203"/>
    </sheetView>
  </sheetViews>
  <sheetFormatPr baseColWidth="10" defaultColWidth="8.6640625" defaultRowHeight="16"/>
  <cols>
    <col min="1" max="1" width="12" style="54" customWidth="1"/>
    <col min="2" max="2" width="32" style="54" customWidth="1"/>
    <col min="3" max="3" width="13" style="54" customWidth="1"/>
    <col min="4" max="4" width="32" style="54" customWidth="1"/>
    <col min="5" max="5" width="13.6640625" style="54" customWidth="1"/>
    <col min="6" max="18" width="8" customWidth="1"/>
    <col min="19" max="24" width="9" customWidth="1"/>
    <col min="25" max="25" width="24" customWidth="1"/>
  </cols>
  <sheetData>
    <row r="1" spans="1:25" ht="24" customHeight="1">
      <c r="A1" s="83" t="s">
        <v>397</v>
      </c>
      <c r="B1" s="83" t="s">
        <v>398</v>
      </c>
      <c r="C1" s="83" t="s">
        <v>399</v>
      </c>
      <c r="D1" s="83" t="s">
        <v>400</v>
      </c>
      <c r="E1" s="83" t="s">
        <v>401</v>
      </c>
      <c r="F1" s="67" t="s">
        <v>208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9" t="s">
        <v>209</v>
      </c>
      <c r="T1" s="69"/>
      <c r="U1" s="69"/>
      <c r="V1" s="69"/>
      <c r="W1" s="69"/>
      <c r="X1" s="69"/>
      <c r="Y1" s="82" t="s">
        <v>210</v>
      </c>
    </row>
    <row r="2" spans="1:25" ht="21.75" customHeight="1">
      <c r="A2" s="83"/>
      <c r="B2" s="83"/>
      <c r="C2" s="83"/>
      <c r="D2" s="83"/>
      <c r="E2" s="83"/>
      <c r="F2" s="13" t="s">
        <v>211</v>
      </c>
      <c r="G2" s="13" t="s">
        <v>212</v>
      </c>
      <c r="H2" s="13" t="s">
        <v>213</v>
      </c>
      <c r="I2" s="13" t="s">
        <v>214</v>
      </c>
      <c r="J2" s="13" t="s">
        <v>215</v>
      </c>
      <c r="K2" s="13" t="s">
        <v>216</v>
      </c>
      <c r="L2" s="13" t="s">
        <v>217</v>
      </c>
      <c r="M2" s="13" t="s">
        <v>218</v>
      </c>
      <c r="N2" s="13" t="s">
        <v>219</v>
      </c>
      <c r="O2" s="13" t="s">
        <v>220</v>
      </c>
      <c r="P2" s="13" t="s">
        <v>221</v>
      </c>
      <c r="Q2" s="13" t="s">
        <v>222</v>
      </c>
      <c r="R2" s="13" t="s">
        <v>223</v>
      </c>
      <c r="S2" s="14" t="s">
        <v>224</v>
      </c>
      <c r="T2" s="14" t="s">
        <v>225</v>
      </c>
      <c r="U2" s="14" t="s">
        <v>226</v>
      </c>
      <c r="V2" s="14" t="s">
        <v>227</v>
      </c>
      <c r="W2" s="14" t="s">
        <v>228</v>
      </c>
      <c r="X2" s="14" t="s">
        <v>229</v>
      </c>
      <c r="Y2" s="82"/>
    </row>
    <row r="3" spans="1:25" ht="17">
      <c r="A3" s="57"/>
      <c r="B3" s="53"/>
      <c r="C3" s="53"/>
      <c r="D3" s="53"/>
      <c r="E3" s="53"/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8">
        <f t="shared" ref="S3:S34" si="0">IF(SUM(F3:R3)&gt;0,1,0)</f>
        <v>0</v>
      </c>
      <c r="T3" s="18">
        <f t="shared" ref="T3:T34" si="1">IF(MAX(H3,J3,K3,L3,M3,N3,Q3)&gt;0,1,0)</f>
        <v>0</v>
      </c>
      <c r="U3" s="18">
        <f t="shared" ref="U3:U34" si="2">IF(MAX(F3,G3,I3,O3)&gt;0,1,0)</f>
        <v>0</v>
      </c>
      <c r="V3" s="18">
        <f t="shared" ref="V3:V34" si="3">IF(P3&gt;0,1,0)</f>
        <v>0</v>
      </c>
      <c r="W3" s="18">
        <f t="shared" ref="W3:W66" si="4">IF(AND(B3&lt;&gt;"",S3=0),1,0)</f>
        <v>0</v>
      </c>
      <c r="X3" s="19">
        <f t="shared" ref="X3:X34" si="5">SUMPRODUCT((F3:R3=1)*0.3)+SUMPRODUCT((F3:R3=2)*0.7)+SUMPRODUCT((F3:R3=3)*1.5)</f>
        <v>0</v>
      </c>
      <c r="Y3" s="20"/>
    </row>
    <row r="4" spans="1:25" ht="30" customHeight="1">
      <c r="A4" s="52"/>
      <c r="B4" s="53"/>
      <c r="C4" s="53"/>
      <c r="D4" s="53"/>
      <c r="E4" s="53"/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8">
        <f t="shared" si="0"/>
        <v>0</v>
      </c>
      <c r="T4" s="18">
        <f t="shared" si="1"/>
        <v>0</v>
      </c>
      <c r="U4" s="18">
        <f t="shared" si="2"/>
        <v>0</v>
      </c>
      <c r="V4" s="18">
        <f t="shared" si="3"/>
        <v>0</v>
      </c>
      <c r="W4" s="18">
        <f t="shared" si="4"/>
        <v>0</v>
      </c>
      <c r="X4" s="19">
        <f t="shared" si="5"/>
        <v>0</v>
      </c>
      <c r="Y4" s="20"/>
    </row>
    <row r="5" spans="1:25" ht="30" customHeight="1">
      <c r="A5" s="52"/>
      <c r="B5" s="53"/>
      <c r="C5" s="53"/>
      <c r="D5" s="53"/>
      <c r="E5" s="53"/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8">
        <f t="shared" si="0"/>
        <v>0</v>
      </c>
      <c r="T5" s="18">
        <f t="shared" si="1"/>
        <v>0</v>
      </c>
      <c r="U5" s="18">
        <f t="shared" si="2"/>
        <v>0</v>
      </c>
      <c r="V5" s="18">
        <f t="shared" si="3"/>
        <v>0</v>
      </c>
      <c r="W5" s="18">
        <f t="shared" si="4"/>
        <v>0</v>
      </c>
      <c r="X5" s="19">
        <f t="shared" si="5"/>
        <v>0</v>
      </c>
      <c r="Y5" s="20"/>
    </row>
    <row r="6" spans="1:25" ht="30" customHeight="1">
      <c r="A6" s="52"/>
      <c r="B6" s="53"/>
      <c r="C6" s="53"/>
      <c r="D6" s="53"/>
      <c r="E6" s="53"/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8">
        <f t="shared" si="0"/>
        <v>0</v>
      </c>
      <c r="T6" s="18">
        <f t="shared" si="1"/>
        <v>0</v>
      </c>
      <c r="U6" s="18">
        <f t="shared" si="2"/>
        <v>0</v>
      </c>
      <c r="V6" s="18">
        <f t="shared" si="3"/>
        <v>0</v>
      </c>
      <c r="W6" s="18">
        <f t="shared" si="4"/>
        <v>0</v>
      </c>
      <c r="X6" s="19">
        <f t="shared" si="5"/>
        <v>0</v>
      </c>
      <c r="Y6" s="20"/>
    </row>
    <row r="7" spans="1:25">
      <c r="A7" s="52"/>
      <c r="B7" s="53"/>
      <c r="C7" s="53"/>
      <c r="D7" s="53"/>
      <c r="E7" s="53"/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8">
        <f t="shared" si="0"/>
        <v>0</v>
      </c>
      <c r="T7" s="18">
        <f t="shared" si="1"/>
        <v>0</v>
      </c>
      <c r="U7" s="18">
        <f t="shared" si="2"/>
        <v>0</v>
      </c>
      <c r="V7" s="18">
        <f t="shared" si="3"/>
        <v>0</v>
      </c>
      <c r="W7" s="18">
        <f t="shared" si="4"/>
        <v>0</v>
      </c>
      <c r="X7" s="19">
        <f t="shared" si="5"/>
        <v>0</v>
      </c>
      <c r="Y7" s="20"/>
    </row>
    <row r="8" spans="1:25" ht="30" customHeight="1">
      <c r="A8" s="52"/>
      <c r="B8" s="53"/>
      <c r="C8" s="53"/>
      <c r="D8" s="53"/>
      <c r="E8" s="53"/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8">
        <f t="shared" si="0"/>
        <v>0</v>
      </c>
      <c r="T8" s="18">
        <f t="shared" si="1"/>
        <v>0</v>
      </c>
      <c r="U8" s="18">
        <f t="shared" si="2"/>
        <v>0</v>
      </c>
      <c r="V8" s="18">
        <f t="shared" si="3"/>
        <v>0</v>
      </c>
      <c r="W8" s="18">
        <f t="shared" si="4"/>
        <v>0</v>
      </c>
      <c r="X8" s="19">
        <f t="shared" si="5"/>
        <v>0</v>
      </c>
      <c r="Y8" s="20"/>
    </row>
    <row r="9" spans="1:25" ht="30" customHeight="1">
      <c r="A9" s="52"/>
      <c r="B9" s="53"/>
      <c r="C9" s="53"/>
      <c r="D9" s="53"/>
      <c r="E9" s="53"/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8">
        <f t="shared" si="0"/>
        <v>0</v>
      </c>
      <c r="T9" s="18">
        <f t="shared" si="1"/>
        <v>0</v>
      </c>
      <c r="U9" s="18">
        <f t="shared" si="2"/>
        <v>0</v>
      </c>
      <c r="V9" s="18">
        <f t="shared" si="3"/>
        <v>0</v>
      </c>
      <c r="W9" s="18">
        <f t="shared" si="4"/>
        <v>0</v>
      </c>
      <c r="X9" s="19">
        <f t="shared" si="5"/>
        <v>0</v>
      </c>
      <c r="Y9" s="20"/>
    </row>
    <row r="10" spans="1:25" ht="30" customHeight="1">
      <c r="A10" s="52"/>
      <c r="B10" s="53"/>
      <c r="C10" s="53"/>
      <c r="D10" s="53"/>
      <c r="E10" s="53"/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8">
        <f t="shared" si="0"/>
        <v>0</v>
      </c>
      <c r="T10" s="18">
        <f t="shared" si="1"/>
        <v>0</v>
      </c>
      <c r="U10" s="18">
        <f t="shared" si="2"/>
        <v>0</v>
      </c>
      <c r="V10" s="18">
        <f t="shared" si="3"/>
        <v>0</v>
      </c>
      <c r="W10" s="18">
        <f t="shared" si="4"/>
        <v>0</v>
      </c>
      <c r="X10" s="19">
        <f t="shared" si="5"/>
        <v>0</v>
      </c>
      <c r="Y10" s="20"/>
    </row>
    <row r="11" spans="1:25" ht="30" customHeight="1">
      <c r="A11" s="52"/>
      <c r="B11" s="53"/>
      <c r="C11" s="53"/>
      <c r="D11" s="53"/>
      <c r="E11" s="53"/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8">
        <f t="shared" si="0"/>
        <v>0</v>
      </c>
      <c r="T11" s="18">
        <f t="shared" si="1"/>
        <v>0</v>
      </c>
      <c r="U11" s="18">
        <f t="shared" si="2"/>
        <v>0</v>
      </c>
      <c r="V11" s="18">
        <f t="shared" si="3"/>
        <v>0</v>
      </c>
      <c r="W11" s="18">
        <f t="shared" si="4"/>
        <v>0</v>
      </c>
      <c r="X11" s="19">
        <f t="shared" si="5"/>
        <v>0</v>
      </c>
      <c r="Y11" s="20"/>
    </row>
    <row r="12" spans="1:25" ht="30" customHeight="1">
      <c r="A12" s="52"/>
      <c r="B12" s="53"/>
      <c r="C12" s="53"/>
      <c r="D12" s="53"/>
      <c r="E12" s="53"/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8">
        <f t="shared" si="0"/>
        <v>0</v>
      </c>
      <c r="T12" s="18">
        <f t="shared" si="1"/>
        <v>0</v>
      </c>
      <c r="U12" s="18">
        <f t="shared" si="2"/>
        <v>0</v>
      </c>
      <c r="V12" s="18">
        <f t="shared" si="3"/>
        <v>0</v>
      </c>
      <c r="W12" s="18">
        <f t="shared" si="4"/>
        <v>0</v>
      </c>
      <c r="X12" s="19">
        <f t="shared" si="5"/>
        <v>0</v>
      </c>
      <c r="Y12" s="20"/>
    </row>
    <row r="13" spans="1:25" ht="30" customHeight="1">
      <c r="A13" s="52"/>
      <c r="B13" s="55"/>
      <c r="C13" s="53"/>
      <c r="D13" s="53"/>
      <c r="E13" s="53"/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8">
        <f t="shared" si="0"/>
        <v>0</v>
      </c>
      <c r="T13" s="18">
        <f t="shared" si="1"/>
        <v>0</v>
      </c>
      <c r="U13" s="18">
        <f t="shared" si="2"/>
        <v>0</v>
      </c>
      <c r="V13" s="18">
        <f t="shared" si="3"/>
        <v>0</v>
      </c>
      <c r="W13" s="18">
        <f t="shared" si="4"/>
        <v>0</v>
      </c>
      <c r="X13" s="19">
        <f t="shared" si="5"/>
        <v>0</v>
      </c>
      <c r="Y13" s="20"/>
    </row>
    <row r="14" spans="1:25" ht="30" customHeight="1">
      <c r="A14" s="52"/>
      <c r="B14" s="56"/>
      <c r="C14" s="53"/>
      <c r="D14" s="53"/>
      <c r="E14" s="53"/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8">
        <f t="shared" si="0"/>
        <v>0</v>
      </c>
      <c r="T14" s="18">
        <f t="shared" si="1"/>
        <v>0</v>
      </c>
      <c r="U14" s="18">
        <f t="shared" si="2"/>
        <v>0</v>
      </c>
      <c r="V14" s="18">
        <f t="shared" si="3"/>
        <v>0</v>
      </c>
      <c r="W14" s="18">
        <f t="shared" si="4"/>
        <v>0</v>
      </c>
      <c r="X14" s="19">
        <f t="shared" si="5"/>
        <v>0</v>
      </c>
      <c r="Y14" s="20"/>
    </row>
    <row r="15" spans="1:25" ht="30" customHeight="1">
      <c r="A15" s="52"/>
      <c r="B15" s="53"/>
      <c r="C15" s="53"/>
      <c r="D15" s="53"/>
      <c r="E15" s="53"/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8">
        <f t="shared" si="0"/>
        <v>0</v>
      </c>
      <c r="T15" s="18">
        <f t="shared" si="1"/>
        <v>0</v>
      </c>
      <c r="U15" s="18">
        <f t="shared" si="2"/>
        <v>0</v>
      </c>
      <c r="V15" s="18">
        <f t="shared" si="3"/>
        <v>0</v>
      </c>
      <c r="W15" s="18">
        <f t="shared" si="4"/>
        <v>0</v>
      </c>
      <c r="X15" s="19">
        <f t="shared" si="5"/>
        <v>0</v>
      </c>
      <c r="Y15" s="20"/>
    </row>
    <row r="16" spans="1:25" ht="30" customHeight="1">
      <c r="A16" s="52"/>
      <c r="B16" s="53"/>
      <c r="C16" s="53"/>
      <c r="D16" s="53"/>
      <c r="E16" s="53"/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8">
        <f t="shared" si="0"/>
        <v>0</v>
      </c>
      <c r="T16" s="18">
        <f t="shared" si="1"/>
        <v>0</v>
      </c>
      <c r="U16" s="18">
        <f t="shared" si="2"/>
        <v>0</v>
      </c>
      <c r="V16" s="18">
        <f t="shared" si="3"/>
        <v>0</v>
      </c>
      <c r="W16" s="18">
        <f t="shared" si="4"/>
        <v>0</v>
      </c>
      <c r="X16" s="19">
        <f t="shared" si="5"/>
        <v>0</v>
      </c>
      <c r="Y16" s="20"/>
    </row>
    <row r="17" spans="1:25" ht="30" customHeight="1">
      <c r="A17" s="52"/>
      <c r="B17" s="53"/>
      <c r="C17" s="53"/>
      <c r="D17" s="53"/>
      <c r="E17" s="53"/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8">
        <f t="shared" si="0"/>
        <v>0</v>
      </c>
      <c r="T17" s="18">
        <f t="shared" si="1"/>
        <v>0</v>
      </c>
      <c r="U17" s="18">
        <f t="shared" si="2"/>
        <v>0</v>
      </c>
      <c r="V17" s="18">
        <f t="shared" si="3"/>
        <v>0</v>
      </c>
      <c r="W17" s="18">
        <f t="shared" si="4"/>
        <v>0</v>
      </c>
      <c r="X17" s="19">
        <f t="shared" si="5"/>
        <v>0</v>
      </c>
      <c r="Y17" s="20"/>
    </row>
    <row r="18" spans="1:25" ht="30" customHeight="1">
      <c r="A18" s="52"/>
      <c r="B18" s="55"/>
      <c r="C18" s="53"/>
      <c r="D18" s="53"/>
      <c r="E18" s="53"/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8">
        <f t="shared" si="0"/>
        <v>0</v>
      </c>
      <c r="T18" s="18">
        <f t="shared" si="1"/>
        <v>0</v>
      </c>
      <c r="U18" s="18">
        <f t="shared" si="2"/>
        <v>0</v>
      </c>
      <c r="V18" s="18">
        <f t="shared" si="3"/>
        <v>0</v>
      </c>
      <c r="W18" s="18">
        <f t="shared" si="4"/>
        <v>0</v>
      </c>
      <c r="X18" s="19">
        <f t="shared" si="5"/>
        <v>0</v>
      </c>
      <c r="Y18" s="20"/>
    </row>
    <row r="19" spans="1:25" ht="30" customHeight="1">
      <c r="A19" s="52"/>
      <c r="B19" s="56"/>
      <c r="C19" s="53"/>
      <c r="D19" s="53"/>
      <c r="E19" s="53"/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8">
        <f t="shared" si="0"/>
        <v>0</v>
      </c>
      <c r="T19" s="18">
        <f t="shared" si="1"/>
        <v>0</v>
      </c>
      <c r="U19" s="18">
        <f t="shared" si="2"/>
        <v>0</v>
      </c>
      <c r="V19" s="18">
        <f t="shared" si="3"/>
        <v>0</v>
      </c>
      <c r="W19" s="18">
        <f t="shared" si="4"/>
        <v>0</v>
      </c>
      <c r="X19" s="19">
        <f t="shared" si="5"/>
        <v>0</v>
      </c>
      <c r="Y19" s="20"/>
    </row>
    <row r="20" spans="1:25" ht="30" customHeight="1">
      <c r="A20" s="52"/>
      <c r="B20" s="53"/>
      <c r="C20" s="53"/>
      <c r="D20" s="53"/>
      <c r="E20" s="53"/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8">
        <f t="shared" si="0"/>
        <v>0</v>
      </c>
      <c r="T20" s="18">
        <f t="shared" si="1"/>
        <v>0</v>
      </c>
      <c r="U20" s="18">
        <f t="shared" si="2"/>
        <v>0</v>
      </c>
      <c r="V20" s="18">
        <f t="shared" si="3"/>
        <v>0</v>
      </c>
      <c r="W20" s="18">
        <f t="shared" si="4"/>
        <v>0</v>
      </c>
      <c r="X20" s="19">
        <f t="shared" si="5"/>
        <v>0</v>
      </c>
      <c r="Y20" s="20"/>
    </row>
    <row r="21" spans="1:25" ht="30" customHeight="1">
      <c r="A21" s="52"/>
      <c r="B21" s="53"/>
      <c r="C21" s="53"/>
      <c r="D21" s="53"/>
      <c r="E21" s="53"/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8">
        <f t="shared" si="0"/>
        <v>0</v>
      </c>
      <c r="T21" s="18">
        <f t="shared" si="1"/>
        <v>0</v>
      </c>
      <c r="U21" s="18">
        <f t="shared" si="2"/>
        <v>0</v>
      </c>
      <c r="V21" s="18">
        <f t="shared" si="3"/>
        <v>0</v>
      </c>
      <c r="W21" s="18">
        <f t="shared" si="4"/>
        <v>0</v>
      </c>
      <c r="X21" s="19">
        <f t="shared" si="5"/>
        <v>0</v>
      </c>
      <c r="Y21" s="20"/>
    </row>
    <row r="22" spans="1:25" ht="30" customHeight="1">
      <c r="A22" s="52"/>
      <c r="B22" s="53"/>
      <c r="C22" s="53"/>
      <c r="D22" s="53"/>
      <c r="E22" s="53"/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8">
        <f t="shared" si="0"/>
        <v>0</v>
      </c>
      <c r="T22" s="18">
        <f t="shared" si="1"/>
        <v>0</v>
      </c>
      <c r="U22" s="18">
        <f t="shared" si="2"/>
        <v>0</v>
      </c>
      <c r="V22" s="18">
        <f t="shared" si="3"/>
        <v>0</v>
      </c>
      <c r="W22" s="18">
        <f t="shared" si="4"/>
        <v>0</v>
      </c>
      <c r="X22" s="19">
        <f t="shared" si="5"/>
        <v>0</v>
      </c>
      <c r="Y22" s="20"/>
    </row>
    <row r="23" spans="1:25" ht="30" customHeight="1">
      <c r="A23" s="52"/>
      <c r="B23" s="53"/>
      <c r="C23" s="53"/>
      <c r="D23" s="53"/>
      <c r="E23" s="53"/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8">
        <f t="shared" si="0"/>
        <v>0</v>
      </c>
      <c r="T23" s="18">
        <f t="shared" si="1"/>
        <v>0</v>
      </c>
      <c r="U23" s="18">
        <f t="shared" si="2"/>
        <v>0</v>
      </c>
      <c r="V23" s="18">
        <f t="shared" si="3"/>
        <v>0</v>
      </c>
      <c r="W23" s="18">
        <f t="shared" si="4"/>
        <v>0</v>
      </c>
      <c r="X23" s="19">
        <f t="shared" si="5"/>
        <v>0</v>
      </c>
      <c r="Y23" s="20"/>
    </row>
    <row r="24" spans="1:25">
      <c r="A24" s="52"/>
      <c r="B24" s="53"/>
      <c r="C24" s="53"/>
      <c r="D24" s="53"/>
      <c r="E24" s="53"/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8">
        <f t="shared" si="0"/>
        <v>0</v>
      </c>
      <c r="T24" s="18">
        <f t="shared" si="1"/>
        <v>0</v>
      </c>
      <c r="U24" s="18">
        <f t="shared" si="2"/>
        <v>0</v>
      </c>
      <c r="V24" s="18">
        <f t="shared" si="3"/>
        <v>0</v>
      </c>
      <c r="W24" s="18">
        <f t="shared" si="4"/>
        <v>0</v>
      </c>
      <c r="X24" s="19">
        <f t="shared" si="5"/>
        <v>0</v>
      </c>
      <c r="Y24" s="20"/>
    </row>
    <row r="25" spans="1:25" ht="30" customHeight="1">
      <c r="A25" s="52"/>
      <c r="B25" s="53"/>
      <c r="C25" s="53"/>
      <c r="D25" s="53"/>
      <c r="E25" s="53"/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8">
        <f t="shared" si="0"/>
        <v>0</v>
      </c>
      <c r="T25" s="18">
        <f t="shared" si="1"/>
        <v>0</v>
      </c>
      <c r="U25" s="18">
        <f t="shared" si="2"/>
        <v>0</v>
      </c>
      <c r="V25" s="18">
        <f t="shared" si="3"/>
        <v>0</v>
      </c>
      <c r="W25" s="18">
        <f t="shared" si="4"/>
        <v>0</v>
      </c>
      <c r="X25" s="19">
        <f t="shared" si="5"/>
        <v>0</v>
      </c>
      <c r="Y25" s="20"/>
    </row>
    <row r="26" spans="1:25" ht="30" customHeight="1">
      <c r="A26" s="52"/>
      <c r="B26" s="53"/>
      <c r="C26" s="53"/>
      <c r="D26" s="53"/>
      <c r="E26" s="53"/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8">
        <f t="shared" si="0"/>
        <v>0</v>
      </c>
      <c r="T26" s="18">
        <f t="shared" si="1"/>
        <v>0</v>
      </c>
      <c r="U26" s="18">
        <f t="shared" si="2"/>
        <v>0</v>
      </c>
      <c r="V26" s="18">
        <f t="shared" si="3"/>
        <v>0</v>
      </c>
      <c r="W26" s="18">
        <f t="shared" si="4"/>
        <v>0</v>
      </c>
      <c r="X26" s="19">
        <f t="shared" si="5"/>
        <v>0</v>
      </c>
      <c r="Y26" s="20"/>
    </row>
    <row r="27" spans="1:25" ht="30" customHeight="1">
      <c r="A27" s="52"/>
      <c r="B27" s="53"/>
      <c r="C27" s="53"/>
      <c r="D27" s="53"/>
      <c r="E27" s="53"/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8">
        <f t="shared" si="0"/>
        <v>0</v>
      </c>
      <c r="T27" s="18">
        <f t="shared" si="1"/>
        <v>0</v>
      </c>
      <c r="U27" s="18">
        <f t="shared" si="2"/>
        <v>0</v>
      </c>
      <c r="V27" s="18">
        <f t="shared" si="3"/>
        <v>0</v>
      </c>
      <c r="W27" s="18">
        <f t="shared" si="4"/>
        <v>0</v>
      </c>
      <c r="X27" s="19">
        <f t="shared" si="5"/>
        <v>0</v>
      </c>
      <c r="Y27" s="20"/>
    </row>
    <row r="28" spans="1:25">
      <c r="A28" s="52"/>
      <c r="B28" s="53"/>
      <c r="C28" s="53"/>
      <c r="D28" s="53"/>
      <c r="E28" s="53"/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8">
        <f t="shared" si="0"/>
        <v>0</v>
      </c>
      <c r="T28" s="18">
        <f t="shared" si="1"/>
        <v>0</v>
      </c>
      <c r="U28" s="18">
        <f t="shared" si="2"/>
        <v>0</v>
      </c>
      <c r="V28" s="18">
        <f t="shared" si="3"/>
        <v>0</v>
      </c>
      <c r="W28" s="18">
        <f t="shared" si="4"/>
        <v>0</v>
      </c>
      <c r="X28" s="19">
        <f t="shared" si="5"/>
        <v>0</v>
      </c>
      <c r="Y28" s="20"/>
    </row>
    <row r="29" spans="1:25">
      <c r="A29" s="52"/>
      <c r="B29" s="53"/>
      <c r="C29" s="53"/>
      <c r="D29" s="53"/>
      <c r="E29" s="53"/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8">
        <f t="shared" si="0"/>
        <v>0</v>
      </c>
      <c r="T29" s="18">
        <f t="shared" si="1"/>
        <v>0</v>
      </c>
      <c r="U29" s="18">
        <f t="shared" si="2"/>
        <v>0</v>
      </c>
      <c r="V29" s="18">
        <f t="shared" si="3"/>
        <v>0</v>
      </c>
      <c r="W29" s="18">
        <f t="shared" si="4"/>
        <v>0</v>
      </c>
      <c r="X29" s="19">
        <f t="shared" si="5"/>
        <v>0</v>
      </c>
      <c r="Y29" s="20"/>
    </row>
    <row r="30" spans="1:25" ht="30" customHeight="1">
      <c r="A30" s="52"/>
      <c r="B30" s="53"/>
      <c r="C30" s="53"/>
      <c r="D30" s="53"/>
      <c r="E30" s="53"/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8">
        <f t="shared" si="0"/>
        <v>0</v>
      </c>
      <c r="T30" s="18">
        <f t="shared" si="1"/>
        <v>0</v>
      </c>
      <c r="U30" s="18">
        <f t="shared" si="2"/>
        <v>0</v>
      </c>
      <c r="V30" s="18">
        <f t="shared" si="3"/>
        <v>0</v>
      </c>
      <c r="W30" s="18">
        <f t="shared" si="4"/>
        <v>0</v>
      </c>
      <c r="X30" s="19">
        <f t="shared" si="5"/>
        <v>0</v>
      </c>
      <c r="Y30" s="20"/>
    </row>
    <row r="31" spans="1:25" ht="30" customHeight="1">
      <c r="A31" s="52"/>
      <c r="B31" s="53"/>
      <c r="C31" s="53"/>
      <c r="D31" s="53"/>
      <c r="E31" s="53"/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8">
        <f t="shared" si="0"/>
        <v>0</v>
      </c>
      <c r="T31" s="18">
        <f t="shared" si="1"/>
        <v>0</v>
      </c>
      <c r="U31" s="18">
        <f t="shared" si="2"/>
        <v>0</v>
      </c>
      <c r="V31" s="18">
        <f t="shared" si="3"/>
        <v>0</v>
      </c>
      <c r="W31" s="18">
        <f t="shared" si="4"/>
        <v>0</v>
      </c>
      <c r="X31" s="19">
        <f t="shared" si="5"/>
        <v>0</v>
      </c>
      <c r="Y31" s="20"/>
    </row>
    <row r="32" spans="1:25" ht="30" customHeight="1">
      <c r="A32" s="52"/>
      <c r="B32" s="53"/>
      <c r="C32" s="53"/>
      <c r="D32" s="53"/>
      <c r="E32" s="53"/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8">
        <f t="shared" si="0"/>
        <v>0</v>
      </c>
      <c r="T32" s="18">
        <f t="shared" si="1"/>
        <v>0</v>
      </c>
      <c r="U32" s="18">
        <f t="shared" si="2"/>
        <v>0</v>
      </c>
      <c r="V32" s="18">
        <f t="shared" si="3"/>
        <v>0</v>
      </c>
      <c r="W32" s="18">
        <f t="shared" si="4"/>
        <v>0</v>
      </c>
      <c r="X32" s="19">
        <f t="shared" si="5"/>
        <v>0</v>
      </c>
      <c r="Y32" s="20"/>
    </row>
    <row r="33" spans="1:25" ht="30" customHeight="1">
      <c r="A33" s="52"/>
      <c r="B33" s="53"/>
      <c r="C33" s="53"/>
      <c r="D33" s="53"/>
      <c r="E33" s="53"/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8">
        <f t="shared" si="0"/>
        <v>0</v>
      </c>
      <c r="T33" s="18">
        <f t="shared" si="1"/>
        <v>0</v>
      </c>
      <c r="U33" s="18">
        <f t="shared" si="2"/>
        <v>0</v>
      </c>
      <c r="V33" s="18">
        <f t="shared" si="3"/>
        <v>0</v>
      </c>
      <c r="W33" s="18">
        <f t="shared" si="4"/>
        <v>0</v>
      </c>
      <c r="X33" s="19">
        <f t="shared" si="5"/>
        <v>0</v>
      </c>
      <c r="Y33" s="20"/>
    </row>
    <row r="34" spans="1:25" ht="30" customHeight="1">
      <c r="A34" s="52"/>
      <c r="B34" s="53"/>
      <c r="C34" s="53"/>
      <c r="D34" s="53"/>
      <c r="E34" s="53"/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8">
        <f t="shared" si="0"/>
        <v>0</v>
      </c>
      <c r="T34" s="18">
        <f t="shared" si="1"/>
        <v>0</v>
      </c>
      <c r="U34" s="18">
        <f t="shared" si="2"/>
        <v>0</v>
      </c>
      <c r="V34" s="18">
        <f t="shared" si="3"/>
        <v>0</v>
      </c>
      <c r="W34" s="18">
        <f t="shared" si="4"/>
        <v>0</v>
      </c>
      <c r="X34" s="19">
        <f t="shared" si="5"/>
        <v>0</v>
      </c>
      <c r="Y34" s="20"/>
    </row>
    <row r="35" spans="1:25" ht="30" customHeight="1">
      <c r="A35" s="52"/>
      <c r="B35" s="53"/>
      <c r="C35" s="53"/>
      <c r="D35" s="53"/>
      <c r="E35" s="53"/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8">
        <f t="shared" ref="S35:S66" si="6">IF(SUM(F35:R35)&gt;0,1,0)</f>
        <v>0</v>
      </c>
      <c r="T35" s="18">
        <f t="shared" ref="T35:T66" si="7">IF(MAX(H35,J35,K35,L35,M35,N35,Q35)&gt;0,1,0)</f>
        <v>0</v>
      </c>
      <c r="U35" s="18">
        <f t="shared" ref="U35:U66" si="8">IF(MAX(F35,G35,I35,O35)&gt;0,1,0)</f>
        <v>0</v>
      </c>
      <c r="V35" s="18">
        <f t="shared" ref="V35:V66" si="9">IF(P35&gt;0,1,0)</f>
        <v>0</v>
      </c>
      <c r="W35" s="18">
        <f t="shared" si="4"/>
        <v>0</v>
      </c>
      <c r="X35" s="19">
        <f t="shared" ref="X35:X66" si="10">SUMPRODUCT((F35:R35=1)*0.3)+SUMPRODUCT((F35:R35=2)*0.7)+SUMPRODUCT((F35:R35=3)*1.5)</f>
        <v>0</v>
      </c>
      <c r="Y35" s="20"/>
    </row>
    <row r="36" spans="1:25">
      <c r="A36" s="52"/>
      <c r="B36" s="53"/>
      <c r="C36" s="53"/>
      <c r="D36" s="53"/>
      <c r="E36" s="53"/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8">
        <f t="shared" si="6"/>
        <v>0</v>
      </c>
      <c r="T36" s="18">
        <f t="shared" si="7"/>
        <v>0</v>
      </c>
      <c r="U36" s="18">
        <f t="shared" si="8"/>
        <v>0</v>
      </c>
      <c r="V36" s="18">
        <f t="shared" si="9"/>
        <v>0</v>
      </c>
      <c r="W36" s="18">
        <f t="shared" si="4"/>
        <v>0</v>
      </c>
      <c r="X36" s="19">
        <f t="shared" si="10"/>
        <v>0</v>
      </c>
      <c r="Y36" s="20"/>
    </row>
    <row r="37" spans="1:25" ht="30" customHeight="1">
      <c r="A37" s="52"/>
      <c r="B37" s="53"/>
      <c r="C37" s="53"/>
      <c r="D37" s="53"/>
      <c r="E37" s="53"/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8">
        <f t="shared" si="6"/>
        <v>0</v>
      </c>
      <c r="T37" s="18">
        <f t="shared" si="7"/>
        <v>0</v>
      </c>
      <c r="U37" s="18">
        <f t="shared" si="8"/>
        <v>0</v>
      </c>
      <c r="V37" s="18">
        <f t="shared" si="9"/>
        <v>0</v>
      </c>
      <c r="W37" s="18">
        <f t="shared" si="4"/>
        <v>0</v>
      </c>
      <c r="X37" s="19">
        <f t="shared" si="10"/>
        <v>0</v>
      </c>
      <c r="Y37" s="20"/>
    </row>
    <row r="38" spans="1:25" ht="30" customHeight="1">
      <c r="A38" s="52"/>
      <c r="B38" s="53"/>
      <c r="C38" s="53"/>
      <c r="D38" s="53"/>
      <c r="E38" s="53"/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8">
        <f t="shared" si="6"/>
        <v>0</v>
      </c>
      <c r="T38" s="18">
        <f t="shared" si="7"/>
        <v>0</v>
      </c>
      <c r="U38" s="18">
        <f t="shared" si="8"/>
        <v>0</v>
      </c>
      <c r="V38" s="18">
        <f t="shared" si="9"/>
        <v>0</v>
      </c>
      <c r="W38" s="18">
        <f t="shared" si="4"/>
        <v>0</v>
      </c>
      <c r="X38" s="19">
        <f t="shared" si="10"/>
        <v>0</v>
      </c>
      <c r="Y38" s="20"/>
    </row>
    <row r="39" spans="1:25" ht="30" customHeight="1">
      <c r="A39" s="52"/>
      <c r="B39" s="53"/>
      <c r="C39" s="53"/>
      <c r="D39" s="53"/>
      <c r="E39" s="53"/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8">
        <f t="shared" si="6"/>
        <v>0</v>
      </c>
      <c r="T39" s="18">
        <f t="shared" si="7"/>
        <v>0</v>
      </c>
      <c r="U39" s="18">
        <f t="shared" si="8"/>
        <v>0</v>
      </c>
      <c r="V39" s="18">
        <f t="shared" si="9"/>
        <v>0</v>
      </c>
      <c r="W39" s="18">
        <f t="shared" si="4"/>
        <v>0</v>
      </c>
      <c r="X39" s="19">
        <f t="shared" si="10"/>
        <v>0</v>
      </c>
      <c r="Y39" s="20"/>
    </row>
    <row r="40" spans="1:25" ht="30" customHeight="1">
      <c r="A40" s="52"/>
      <c r="B40" s="53"/>
      <c r="C40" s="53"/>
      <c r="D40" s="53"/>
      <c r="E40" s="53"/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8">
        <f t="shared" si="6"/>
        <v>0</v>
      </c>
      <c r="T40" s="18">
        <f t="shared" si="7"/>
        <v>0</v>
      </c>
      <c r="U40" s="18">
        <f t="shared" si="8"/>
        <v>0</v>
      </c>
      <c r="V40" s="18">
        <f t="shared" si="9"/>
        <v>0</v>
      </c>
      <c r="W40" s="18">
        <f t="shared" si="4"/>
        <v>0</v>
      </c>
      <c r="X40" s="19">
        <f t="shared" si="10"/>
        <v>0</v>
      </c>
      <c r="Y40" s="20"/>
    </row>
    <row r="41" spans="1:25" ht="30" customHeight="1">
      <c r="A41" s="52"/>
      <c r="B41" s="53"/>
      <c r="C41" s="53"/>
      <c r="D41" s="53"/>
      <c r="E41" s="53"/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8">
        <f t="shared" si="6"/>
        <v>0</v>
      </c>
      <c r="T41" s="18">
        <f t="shared" si="7"/>
        <v>0</v>
      </c>
      <c r="U41" s="18">
        <f t="shared" si="8"/>
        <v>0</v>
      </c>
      <c r="V41" s="18">
        <f t="shared" si="9"/>
        <v>0</v>
      </c>
      <c r="W41" s="18">
        <f t="shared" si="4"/>
        <v>0</v>
      </c>
      <c r="X41" s="19">
        <f t="shared" si="10"/>
        <v>0</v>
      </c>
      <c r="Y41" s="20"/>
    </row>
    <row r="42" spans="1:25" ht="30" customHeight="1">
      <c r="A42" s="52"/>
      <c r="B42" s="53"/>
      <c r="C42" s="53"/>
      <c r="D42" s="53"/>
      <c r="E42" s="53"/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8">
        <f t="shared" si="6"/>
        <v>0</v>
      </c>
      <c r="T42" s="18">
        <f t="shared" si="7"/>
        <v>0</v>
      </c>
      <c r="U42" s="18">
        <f t="shared" si="8"/>
        <v>0</v>
      </c>
      <c r="V42" s="18">
        <f t="shared" si="9"/>
        <v>0</v>
      </c>
      <c r="W42" s="18">
        <f t="shared" si="4"/>
        <v>0</v>
      </c>
      <c r="X42" s="19">
        <f t="shared" si="10"/>
        <v>0</v>
      </c>
      <c r="Y42" s="20"/>
    </row>
    <row r="43" spans="1:25">
      <c r="A43" s="52"/>
      <c r="B43" s="53"/>
      <c r="C43" s="53"/>
      <c r="D43" s="53"/>
      <c r="E43" s="53"/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8">
        <f t="shared" si="6"/>
        <v>0</v>
      </c>
      <c r="T43" s="18">
        <f t="shared" si="7"/>
        <v>0</v>
      </c>
      <c r="U43" s="18">
        <f t="shared" si="8"/>
        <v>0</v>
      </c>
      <c r="V43" s="18">
        <f t="shared" si="9"/>
        <v>0</v>
      </c>
      <c r="W43" s="18">
        <f t="shared" si="4"/>
        <v>0</v>
      </c>
      <c r="X43" s="19">
        <f t="shared" si="10"/>
        <v>0</v>
      </c>
      <c r="Y43" s="20"/>
    </row>
    <row r="44" spans="1:25" ht="30" customHeight="1">
      <c r="A44" s="52"/>
      <c r="B44" s="53"/>
      <c r="C44" s="53"/>
      <c r="D44" s="53"/>
      <c r="E44" s="53"/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8">
        <f t="shared" si="6"/>
        <v>0</v>
      </c>
      <c r="T44" s="18">
        <f t="shared" si="7"/>
        <v>0</v>
      </c>
      <c r="U44" s="18">
        <f t="shared" si="8"/>
        <v>0</v>
      </c>
      <c r="V44" s="18">
        <f t="shared" si="9"/>
        <v>0</v>
      </c>
      <c r="W44" s="18">
        <f t="shared" si="4"/>
        <v>0</v>
      </c>
      <c r="X44" s="19">
        <f t="shared" si="10"/>
        <v>0</v>
      </c>
      <c r="Y44" s="20"/>
    </row>
    <row r="45" spans="1:25">
      <c r="A45" s="52"/>
      <c r="B45" s="53"/>
      <c r="C45" s="53"/>
      <c r="D45" s="53"/>
      <c r="E45" s="53"/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8">
        <f t="shared" si="6"/>
        <v>0</v>
      </c>
      <c r="T45" s="18">
        <f t="shared" si="7"/>
        <v>0</v>
      </c>
      <c r="U45" s="18">
        <f t="shared" si="8"/>
        <v>0</v>
      </c>
      <c r="V45" s="18">
        <f t="shared" si="9"/>
        <v>0</v>
      </c>
      <c r="W45" s="18">
        <f t="shared" si="4"/>
        <v>0</v>
      </c>
      <c r="X45" s="19">
        <f t="shared" si="10"/>
        <v>0</v>
      </c>
      <c r="Y45" s="20"/>
    </row>
    <row r="46" spans="1:25" ht="30" customHeight="1">
      <c r="A46" s="52"/>
      <c r="B46" s="53"/>
      <c r="C46" s="53"/>
      <c r="D46" s="53"/>
      <c r="E46" s="53"/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8">
        <f t="shared" si="6"/>
        <v>0</v>
      </c>
      <c r="T46" s="18">
        <f t="shared" si="7"/>
        <v>0</v>
      </c>
      <c r="U46" s="18">
        <f t="shared" si="8"/>
        <v>0</v>
      </c>
      <c r="V46" s="18">
        <f t="shared" si="9"/>
        <v>0</v>
      </c>
      <c r="W46" s="18">
        <f t="shared" si="4"/>
        <v>0</v>
      </c>
      <c r="X46" s="19">
        <f t="shared" si="10"/>
        <v>0</v>
      </c>
      <c r="Y46" s="20"/>
    </row>
    <row r="47" spans="1:25">
      <c r="A47" s="52"/>
      <c r="B47" s="53"/>
      <c r="C47" s="53"/>
      <c r="D47" s="53"/>
      <c r="E47" s="53"/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8">
        <f t="shared" si="6"/>
        <v>0</v>
      </c>
      <c r="T47" s="18">
        <f t="shared" si="7"/>
        <v>0</v>
      </c>
      <c r="U47" s="18">
        <f t="shared" si="8"/>
        <v>0</v>
      </c>
      <c r="V47" s="18">
        <f t="shared" si="9"/>
        <v>0</v>
      </c>
      <c r="W47" s="18">
        <f t="shared" si="4"/>
        <v>0</v>
      </c>
      <c r="X47" s="19">
        <f t="shared" si="10"/>
        <v>0</v>
      </c>
      <c r="Y47" s="20"/>
    </row>
    <row r="48" spans="1:25">
      <c r="A48" s="52"/>
      <c r="B48" s="55"/>
      <c r="C48" s="53"/>
      <c r="D48" s="53"/>
      <c r="E48" s="53"/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8">
        <f t="shared" si="6"/>
        <v>0</v>
      </c>
      <c r="T48" s="18">
        <f t="shared" si="7"/>
        <v>0</v>
      </c>
      <c r="U48" s="18">
        <f t="shared" si="8"/>
        <v>0</v>
      </c>
      <c r="V48" s="18">
        <f t="shared" si="9"/>
        <v>0</v>
      </c>
      <c r="W48" s="18">
        <f t="shared" si="4"/>
        <v>0</v>
      </c>
      <c r="X48" s="19">
        <f t="shared" si="10"/>
        <v>0</v>
      </c>
      <c r="Y48" s="20"/>
    </row>
    <row r="49" spans="1:25" ht="30" customHeight="1">
      <c r="A49" s="52"/>
      <c r="B49" s="56"/>
      <c r="C49" s="53"/>
      <c r="D49" s="53"/>
      <c r="E49" s="53"/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8">
        <f t="shared" si="6"/>
        <v>0</v>
      </c>
      <c r="T49" s="18">
        <f t="shared" si="7"/>
        <v>0</v>
      </c>
      <c r="U49" s="18">
        <f t="shared" si="8"/>
        <v>0</v>
      </c>
      <c r="V49" s="18">
        <f t="shared" si="9"/>
        <v>0</v>
      </c>
      <c r="W49" s="18">
        <f t="shared" si="4"/>
        <v>0</v>
      </c>
      <c r="X49" s="19">
        <f t="shared" si="10"/>
        <v>0</v>
      </c>
      <c r="Y49" s="20"/>
    </row>
    <row r="50" spans="1:25" ht="30" customHeight="1">
      <c r="A50" s="52"/>
      <c r="B50" s="53"/>
      <c r="C50" s="53"/>
      <c r="D50" s="53"/>
      <c r="E50" s="53"/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8">
        <f t="shared" si="6"/>
        <v>0</v>
      </c>
      <c r="T50" s="18">
        <f t="shared" si="7"/>
        <v>0</v>
      </c>
      <c r="U50" s="18">
        <f t="shared" si="8"/>
        <v>0</v>
      </c>
      <c r="V50" s="18">
        <f t="shared" si="9"/>
        <v>0</v>
      </c>
      <c r="W50" s="18">
        <f t="shared" si="4"/>
        <v>0</v>
      </c>
      <c r="X50" s="19">
        <f t="shared" si="10"/>
        <v>0</v>
      </c>
      <c r="Y50" s="20"/>
    </row>
    <row r="51" spans="1:25" ht="30" customHeight="1">
      <c r="A51" s="52"/>
      <c r="B51" s="53"/>
      <c r="C51" s="53"/>
      <c r="D51" s="53"/>
      <c r="E51" s="53"/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8">
        <f t="shared" si="6"/>
        <v>0</v>
      </c>
      <c r="T51" s="18">
        <f t="shared" si="7"/>
        <v>0</v>
      </c>
      <c r="U51" s="18">
        <f t="shared" si="8"/>
        <v>0</v>
      </c>
      <c r="V51" s="18">
        <f t="shared" si="9"/>
        <v>0</v>
      </c>
      <c r="W51" s="18">
        <f t="shared" si="4"/>
        <v>0</v>
      </c>
      <c r="X51" s="19">
        <f t="shared" si="10"/>
        <v>0</v>
      </c>
      <c r="Y51" s="20"/>
    </row>
    <row r="52" spans="1:25" ht="30" customHeight="1">
      <c r="A52" s="52"/>
      <c r="B52" s="53"/>
      <c r="C52" s="53"/>
      <c r="D52" s="53"/>
      <c r="E52" s="53"/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8">
        <f t="shared" si="6"/>
        <v>0</v>
      </c>
      <c r="T52" s="18">
        <f t="shared" si="7"/>
        <v>0</v>
      </c>
      <c r="U52" s="18">
        <f t="shared" si="8"/>
        <v>0</v>
      </c>
      <c r="V52" s="18">
        <f t="shared" si="9"/>
        <v>0</v>
      </c>
      <c r="W52" s="18">
        <f t="shared" si="4"/>
        <v>0</v>
      </c>
      <c r="X52" s="19">
        <f t="shared" si="10"/>
        <v>0</v>
      </c>
      <c r="Y52" s="20"/>
    </row>
    <row r="53" spans="1:25">
      <c r="A53" s="52"/>
      <c r="B53" s="53"/>
      <c r="C53" s="53"/>
      <c r="D53" s="53"/>
      <c r="E53" s="53"/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8">
        <f t="shared" si="6"/>
        <v>0</v>
      </c>
      <c r="T53" s="18">
        <f t="shared" si="7"/>
        <v>0</v>
      </c>
      <c r="U53" s="18">
        <f t="shared" si="8"/>
        <v>0</v>
      </c>
      <c r="V53" s="18">
        <f t="shared" si="9"/>
        <v>0</v>
      </c>
      <c r="W53" s="18">
        <f t="shared" si="4"/>
        <v>0</v>
      </c>
      <c r="X53" s="19">
        <f t="shared" si="10"/>
        <v>0</v>
      </c>
      <c r="Y53" s="20"/>
    </row>
    <row r="54" spans="1:25" ht="30" customHeight="1">
      <c r="A54" s="52"/>
      <c r="B54" s="53"/>
      <c r="C54" s="53"/>
      <c r="D54" s="53"/>
      <c r="E54" s="53"/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8">
        <f t="shared" si="6"/>
        <v>0</v>
      </c>
      <c r="T54" s="18">
        <f t="shared" si="7"/>
        <v>0</v>
      </c>
      <c r="U54" s="18">
        <f t="shared" si="8"/>
        <v>0</v>
      </c>
      <c r="V54" s="18">
        <f t="shared" si="9"/>
        <v>0</v>
      </c>
      <c r="W54" s="18">
        <f t="shared" si="4"/>
        <v>0</v>
      </c>
      <c r="X54" s="19">
        <f t="shared" si="10"/>
        <v>0</v>
      </c>
      <c r="Y54" s="20"/>
    </row>
    <row r="55" spans="1:25" ht="30" customHeight="1">
      <c r="A55" s="52"/>
      <c r="B55" s="53"/>
      <c r="C55" s="53"/>
      <c r="D55" s="53"/>
      <c r="E55" s="53"/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8">
        <f t="shared" si="6"/>
        <v>0</v>
      </c>
      <c r="T55" s="18">
        <f t="shared" si="7"/>
        <v>0</v>
      </c>
      <c r="U55" s="18">
        <f t="shared" si="8"/>
        <v>0</v>
      </c>
      <c r="V55" s="18">
        <f t="shared" si="9"/>
        <v>0</v>
      </c>
      <c r="W55" s="18">
        <f t="shared" si="4"/>
        <v>0</v>
      </c>
      <c r="X55" s="19">
        <f t="shared" si="10"/>
        <v>0</v>
      </c>
      <c r="Y55" s="20"/>
    </row>
    <row r="56" spans="1:25" ht="30" customHeight="1">
      <c r="A56" s="52"/>
      <c r="B56" s="53"/>
      <c r="C56" s="53"/>
      <c r="D56" s="53"/>
      <c r="E56" s="53"/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8">
        <f t="shared" si="6"/>
        <v>0</v>
      </c>
      <c r="T56" s="18">
        <f t="shared" si="7"/>
        <v>0</v>
      </c>
      <c r="U56" s="18">
        <f t="shared" si="8"/>
        <v>0</v>
      </c>
      <c r="V56" s="18">
        <f t="shared" si="9"/>
        <v>0</v>
      </c>
      <c r="W56" s="18">
        <f t="shared" si="4"/>
        <v>0</v>
      </c>
      <c r="X56" s="19">
        <f t="shared" si="10"/>
        <v>0</v>
      </c>
      <c r="Y56" s="20"/>
    </row>
    <row r="57" spans="1:25" ht="30" customHeight="1">
      <c r="A57" s="52"/>
      <c r="B57" s="53"/>
      <c r="C57" s="53"/>
      <c r="D57" s="53"/>
      <c r="E57" s="53"/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8">
        <f t="shared" si="6"/>
        <v>0</v>
      </c>
      <c r="T57" s="18">
        <f t="shared" si="7"/>
        <v>0</v>
      </c>
      <c r="U57" s="18">
        <f t="shared" si="8"/>
        <v>0</v>
      </c>
      <c r="V57" s="18">
        <f t="shared" si="9"/>
        <v>0</v>
      </c>
      <c r="W57" s="18">
        <f t="shared" si="4"/>
        <v>0</v>
      </c>
      <c r="X57" s="19">
        <f t="shared" si="10"/>
        <v>0</v>
      </c>
      <c r="Y57" s="20"/>
    </row>
    <row r="58" spans="1:25" ht="30" customHeight="1">
      <c r="A58" s="52"/>
      <c r="B58" s="55"/>
      <c r="C58" s="53"/>
      <c r="D58" s="53"/>
      <c r="E58" s="53"/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8">
        <f t="shared" si="6"/>
        <v>0</v>
      </c>
      <c r="T58" s="18">
        <f t="shared" si="7"/>
        <v>0</v>
      </c>
      <c r="U58" s="18">
        <f t="shared" si="8"/>
        <v>0</v>
      </c>
      <c r="V58" s="18">
        <f t="shared" si="9"/>
        <v>0</v>
      </c>
      <c r="W58" s="18">
        <f t="shared" si="4"/>
        <v>0</v>
      </c>
      <c r="X58" s="19">
        <f t="shared" si="10"/>
        <v>0</v>
      </c>
      <c r="Y58" s="20"/>
    </row>
    <row r="59" spans="1:25" ht="30" customHeight="1">
      <c r="A59" s="52"/>
      <c r="B59" s="56"/>
      <c r="C59" s="53"/>
      <c r="D59" s="53"/>
      <c r="E59" s="53"/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8">
        <f t="shared" si="6"/>
        <v>0</v>
      </c>
      <c r="T59" s="18">
        <f t="shared" si="7"/>
        <v>0</v>
      </c>
      <c r="U59" s="18">
        <f t="shared" si="8"/>
        <v>0</v>
      </c>
      <c r="V59" s="18">
        <f t="shared" si="9"/>
        <v>0</v>
      </c>
      <c r="W59" s="18">
        <f t="shared" si="4"/>
        <v>0</v>
      </c>
      <c r="X59" s="19">
        <f t="shared" si="10"/>
        <v>0</v>
      </c>
      <c r="Y59" s="20"/>
    </row>
    <row r="60" spans="1:25" ht="30" customHeight="1">
      <c r="A60" s="52"/>
      <c r="B60" s="53"/>
      <c r="C60" s="53"/>
      <c r="D60" s="53"/>
      <c r="E60" s="53"/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8">
        <f t="shared" si="6"/>
        <v>0</v>
      </c>
      <c r="T60" s="18">
        <f t="shared" si="7"/>
        <v>0</v>
      </c>
      <c r="U60" s="18">
        <f t="shared" si="8"/>
        <v>0</v>
      </c>
      <c r="V60" s="18">
        <f t="shared" si="9"/>
        <v>0</v>
      </c>
      <c r="W60" s="18">
        <f t="shared" si="4"/>
        <v>0</v>
      </c>
      <c r="X60" s="19">
        <f t="shared" si="10"/>
        <v>0</v>
      </c>
      <c r="Y60" s="20"/>
    </row>
    <row r="61" spans="1:25" ht="30" customHeight="1">
      <c r="A61" s="52"/>
      <c r="B61" s="53"/>
      <c r="C61" s="53"/>
      <c r="D61" s="53"/>
      <c r="E61" s="53"/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8">
        <f t="shared" si="6"/>
        <v>0</v>
      </c>
      <c r="T61" s="18">
        <f t="shared" si="7"/>
        <v>0</v>
      </c>
      <c r="U61" s="18">
        <f t="shared" si="8"/>
        <v>0</v>
      </c>
      <c r="V61" s="18">
        <f t="shared" si="9"/>
        <v>0</v>
      </c>
      <c r="W61" s="18">
        <f t="shared" si="4"/>
        <v>0</v>
      </c>
      <c r="X61" s="19">
        <f t="shared" si="10"/>
        <v>0</v>
      </c>
      <c r="Y61" s="20"/>
    </row>
    <row r="62" spans="1:25" ht="30" customHeight="1">
      <c r="A62" s="52"/>
      <c r="B62" s="53"/>
      <c r="C62" s="53"/>
      <c r="D62" s="53"/>
      <c r="E62" s="53"/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8">
        <f t="shared" si="6"/>
        <v>0</v>
      </c>
      <c r="T62" s="18">
        <f t="shared" si="7"/>
        <v>0</v>
      </c>
      <c r="U62" s="18">
        <f t="shared" si="8"/>
        <v>0</v>
      </c>
      <c r="V62" s="18">
        <f t="shared" si="9"/>
        <v>0</v>
      </c>
      <c r="W62" s="18">
        <f t="shared" si="4"/>
        <v>0</v>
      </c>
      <c r="X62" s="19">
        <f t="shared" si="10"/>
        <v>0</v>
      </c>
      <c r="Y62" s="20"/>
    </row>
    <row r="63" spans="1:25" ht="30" customHeight="1">
      <c r="A63" s="52"/>
      <c r="B63" s="53"/>
      <c r="C63" s="53"/>
      <c r="D63" s="53"/>
      <c r="E63" s="53"/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8">
        <f t="shared" si="6"/>
        <v>0</v>
      </c>
      <c r="T63" s="18">
        <f t="shared" si="7"/>
        <v>0</v>
      </c>
      <c r="U63" s="18">
        <f t="shared" si="8"/>
        <v>0</v>
      </c>
      <c r="V63" s="18">
        <f t="shared" si="9"/>
        <v>0</v>
      </c>
      <c r="W63" s="18">
        <f t="shared" si="4"/>
        <v>0</v>
      </c>
      <c r="X63" s="19">
        <f t="shared" si="10"/>
        <v>0</v>
      </c>
      <c r="Y63" s="20"/>
    </row>
    <row r="64" spans="1:25" ht="30" customHeight="1">
      <c r="A64" s="52"/>
      <c r="B64" s="53"/>
      <c r="C64" s="53"/>
      <c r="D64" s="53"/>
      <c r="E64" s="53"/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8">
        <f t="shared" si="6"/>
        <v>0</v>
      </c>
      <c r="T64" s="18">
        <f t="shared" si="7"/>
        <v>0</v>
      </c>
      <c r="U64" s="18">
        <f t="shared" si="8"/>
        <v>0</v>
      </c>
      <c r="V64" s="18">
        <f t="shared" si="9"/>
        <v>0</v>
      </c>
      <c r="W64" s="18">
        <f t="shared" si="4"/>
        <v>0</v>
      </c>
      <c r="X64" s="19">
        <f t="shared" si="10"/>
        <v>0</v>
      </c>
      <c r="Y64" s="20"/>
    </row>
    <row r="65" spans="1:25" ht="30" customHeight="1">
      <c r="A65" s="52"/>
      <c r="B65" s="53"/>
      <c r="C65" s="53"/>
      <c r="D65" s="53"/>
      <c r="E65" s="53"/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8">
        <f t="shared" si="6"/>
        <v>0</v>
      </c>
      <c r="T65" s="18">
        <f t="shared" si="7"/>
        <v>0</v>
      </c>
      <c r="U65" s="18">
        <f t="shared" si="8"/>
        <v>0</v>
      </c>
      <c r="V65" s="18">
        <f t="shared" si="9"/>
        <v>0</v>
      </c>
      <c r="W65" s="18">
        <f t="shared" si="4"/>
        <v>0</v>
      </c>
      <c r="X65" s="19">
        <f t="shared" si="10"/>
        <v>0</v>
      </c>
      <c r="Y65" s="20"/>
    </row>
    <row r="66" spans="1:25">
      <c r="A66" s="52"/>
      <c r="B66" s="53"/>
      <c r="C66" s="53"/>
      <c r="D66" s="53"/>
      <c r="E66" s="53"/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8">
        <f t="shared" si="6"/>
        <v>0</v>
      </c>
      <c r="T66" s="18">
        <f t="shared" si="7"/>
        <v>0</v>
      </c>
      <c r="U66" s="18">
        <f t="shared" si="8"/>
        <v>0</v>
      </c>
      <c r="V66" s="18">
        <f t="shared" si="9"/>
        <v>0</v>
      </c>
      <c r="W66" s="18">
        <f t="shared" si="4"/>
        <v>0</v>
      </c>
      <c r="X66" s="19">
        <f t="shared" si="10"/>
        <v>0</v>
      </c>
      <c r="Y66" s="20"/>
    </row>
    <row r="67" spans="1:25" ht="30" customHeight="1">
      <c r="A67" s="52"/>
      <c r="B67" s="53"/>
      <c r="C67" s="53"/>
      <c r="D67" s="53"/>
      <c r="E67" s="53"/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8">
        <f t="shared" ref="S67:S96" si="11">IF(SUM(F67:R67)&gt;0,1,0)</f>
        <v>0</v>
      </c>
      <c r="T67" s="18">
        <f t="shared" ref="T67:T96" si="12">IF(MAX(H67,J67,K67,L67,M67,N67,Q67)&gt;0,1,0)</f>
        <v>0</v>
      </c>
      <c r="U67" s="18">
        <f t="shared" ref="U67:U96" si="13">IF(MAX(F67,G67,I67,O67)&gt;0,1,0)</f>
        <v>0</v>
      </c>
      <c r="V67" s="18">
        <f t="shared" ref="V67:V96" si="14">IF(P67&gt;0,1,0)</f>
        <v>0</v>
      </c>
      <c r="W67" s="18">
        <f t="shared" ref="W67:W130" si="15">IF(AND(B67&lt;&gt;"",S67=0),1,0)</f>
        <v>0</v>
      </c>
      <c r="X67" s="19">
        <f t="shared" ref="X67:X96" si="16">SUMPRODUCT((F67:R67=1)*0.3)+SUMPRODUCT((F67:R67=2)*0.7)+SUMPRODUCT((F67:R67=3)*1.5)</f>
        <v>0</v>
      </c>
      <c r="Y67" s="20"/>
    </row>
    <row r="68" spans="1:25">
      <c r="A68" s="52"/>
      <c r="B68" s="53"/>
      <c r="C68" s="53"/>
      <c r="D68" s="53"/>
      <c r="E68" s="53"/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8">
        <f t="shared" si="11"/>
        <v>0</v>
      </c>
      <c r="T68" s="18">
        <f t="shared" si="12"/>
        <v>0</v>
      </c>
      <c r="U68" s="18">
        <f t="shared" si="13"/>
        <v>0</v>
      </c>
      <c r="V68" s="18">
        <f t="shared" si="14"/>
        <v>0</v>
      </c>
      <c r="W68" s="18">
        <f t="shared" si="15"/>
        <v>0</v>
      </c>
      <c r="X68" s="19">
        <f t="shared" si="16"/>
        <v>0</v>
      </c>
      <c r="Y68" s="20"/>
    </row>
    <row r="69" spans="1:25" ht="30" customHeight="1">
      <c r="A69" s="52"/>
      <c r="B69" s="53"/>
      <c r="C69" s="53"/>
      <c r="D69" s="53"/>
      <c r="E69" s="53"/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8">
        <f t="shared" si="11"/>
        <v>0</v>
      </c>
      <c r="T69" s="18">
        <f t="shared" si="12"/>
        <v>0</v>
      </c>
      <c r="U69" s="18">
        <f t="shared" si="13"/>
        <v>0</v>
      </c>
      <c r="V69" s="18">
        <f t="shared" si="14"/>
        <v>0</v>
      </c>
      <c r="W69" s="18">
        <f t="shared" si="15"/>
        <v>0</v>
      </c>
      <c r="X69" s="19">
        <f t="shared" si="16"/>
        <v>0</v>
      </c>
      <c r="Y69" s="20"/>
    </row>
    <row r="70" spans="1:25">
      <c r="A70" s="52"/>
      <c r="B70" s="53"/>
      <c r="C70" s="53"/>
      <c r="D70" s="53"/>
      <c r="E70" s="53"/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8">
        <f t="shared" si="11"/>
        <v>0</v>
      </c>
      <c r="T70" s="18">
        <f t="shared" si="12"/>
        <v>0</v>
      </c>
      <c r="U70" s="18">
        <f t="shared" si="13"/>
        <v>0</v>
      </c>
      <c r="V70" s="18">
        <f t="shared" si="14"/>
        <v>0</v>
      </c>
      <c r="W70" s="18">
        <f t="shared" si="15"/>
        <v>0</v>
      </c>
      <c r="X70" s="19">
        <f t="shared" si="16"/>
        <v>0</v>
      </c>
      <c r="Y70" s="20"/>
    </row>
    <row r="71" spans="1:25" ht="30" customHeight="1">
      <c r="A71" s="52"/>
      <c r="B71" s="53"/>
      <c r="C71" s="53"/>
      <c r="D71" s="53"/>
      <c r="E71" s="53"/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8">
        <f t="shared" si="11"/>
        <v>0</v>
      </c>
      <c r="T71" s="18">
        <f t="shared" si="12"/>
        <v>0</v>
      </c>
      <c r="U71" s="18">
        <f t="shared" si="13"/>
        <v>0</v>
      </c>
      <c r="V71" s="18">
        <f t="shared" si="14"/>
        <v>0</v>
      </c>
      <c r="W71" s="18">
        <f t="shared" si="15"/>
        <v>0</v>
      </c>
      <c r="X71" s="19">
        <f t="shared" si="16"/>
        <v>0</v>
      </c>
      <c r="Y71" s="20"/>
    </row>
    <row r="72" spans="1:25" ht="30" customHeight="1">
      <c r="A72" s="52"/>
      <c r="B72" s="53"/>
      <c r="C72" s="53"/>
      <c r="D72" s="53"/>
      <c r="E72" s="53"/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8">
        <f t="shared" si="11"/>
        <v>0</v>
      </c>
      <c r="T72" s="18">
        <f t="shared" si="12"/>
        <v>0</v>
      </c>
      <c r="U72" s="18">
        <f t="shared" si="13"/>
        <v>0</v>
      </c>
      <c r="V72" s="18">
        <f t="shared" si="14"/>
        <v>0</v>
      </c>
      <c r="W72" s="18">
        <f t="shared" si="15"/>
        <v>0</v>
      </c>
      <c r="X72" s="19">
        <f t="shared" si="16"/>
        <v>0</v>
      </c>
      <c r="Y72" s="20"/>
    </row>
    <row r="73" spans="1:25" ht="30" customHeight="1">
      <c r="A73" s="52"/>
      <c r="B73" s="53"/>
      <c r="C73" s="53"/>
      <c r="D73" s="53"/>
      <c r="E73" s="53"/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8">
        <f t="shared" si="11"/>
        <v>0</v>
      </c>
      <c r="T73" s="18">
        <f t="shared" si="12"/>
        <v>0</v>
      </c>
      <c r="U73" s="18">
        <f t="shared" si="13"/>
        <v>0</v>
      </c>
      <c r="V73" s="18">
        <f t="shared" si="14"/>
        <v>0</v>
      </c>
      <c r="W73" s="18">
        <f t="shared" si="15"/>
        <v>0</v>
      </c>
      <c r="X73" s="19">
        <f t="shared" si="16"/>
        <v>0</v>
      </c>
      <c r="Y73" s="20"/>
    </row>
    <row r="74" spans="1:25">
      <c r="A74" s="52"/>
      <c r="B74" s="53"/>
      <c r="C74" s="53"/>
      <c r="D74" s="53"/>
      <c r="E74" s="53"/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8">
        <f t="shared" si="11"/>
        <v>0</v>
      </c>
      <c r="T74" s="18">
        <f t="shared" si="12"/>
        <v>0</v>
      </c>
      <c r="U74" s="18">
        <f t="shared" si="13"/>
        <v>0</v>
      </c>
      <c r="V74" s="18">
        <f t="shared" si="14"/>
        <v>0</v>
      </c>
      <c r="W74" s="18">
        <f t="shared" si="15"/>
        <v>0</v>
      </c>
      <c r="X74" s="19">
        <f t="shared" si="16"/>
        <v>0</v>
      </c>
      <c r="Y74" s="20"/>
    </row>
    <row r="75" spans="1:25" ht="30" customHeight="1">
      <c r="A75" s="52"/>
      <c r="B75" s="53"/>
      <c r="C75" s="53"/>
      <c r="D75" s="53"/>
      <c r="E75" s="53"/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8">
        <f t="shared" si="11"/>
        <v>0</v>
      </c>
      <c r="T75" s="18">
        <f t="shared" si="12"/>
        <v>0</v>
      </c>
      <c r="U75" s="18">
        <f t="shared" si="13"/>
        <v>0</v>
      </c>
      <c r="V75" s="18">
        <f t="shared" si="14"/>
        <v>0</v>
      </c>
      <c r="W75" s="18">
        <f t="shared" si="15"/>
        <v>0</v>
      </c>
      <c r="X75" s="19">
        <f t="shared" si="16"/>
        <v>0</v>
      </c>
      <c r="Y75" s="20"/>
    </row>
    <row r="76" spans="1:25" ht="30" customHeight="1">
      <c r="A76" s="52"/>
      <c r="B76" s="53"/>
      <c r="C76" s="53"/>
      <c r="D76" s="53"/>
      <c r="E76" s="53"/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8">
        <f t="shared" si="11"/>
        <v>0</v>
      </c>
      <c r="T76" s="18">
        <f t="shared" si="12"/>
        <v>0</v>
      </c>
      <c r="U76" s="18">
        <f t="shared" si="13"/>
        <v>0</v>
      </c>
      <c r="V76" s="18">
        <f t="shared" si="14"/>
        <v>0</v>
      </c>
      <c r="W76" s="18">
        <f t="shared" si="15"/>
        <v>0</v>
      </c>
      <c r="X76" s="19">
        <f t="shared" si="16"/>
        <v>0</v>
      </c>
      <c r="Y76" s="20"/>
    </row>
    <row r="77" spans="1:25">
      <c r="A77" s="52"/>
      <c r="B77" s="53"/>
      <c r="C77" s="53"/>
      <c r="D77" s="53"/>
      <c r="E77" s="53"/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8">
        <f t="shared" si="11"/>
        <v>0</v>
      </c>
      <c r="T77" s="18">
        <f t="shared" si="12"/>
        <v>0</v>
      </c>
      <c r="U77" s="18">
        <f t="shared" si="13"/>
        <v>0</v>
      </c>
      <c r="V77" s="18">
        <f t="shared" si="14"/>
        <v>0</v>
      </c>
      <c r="W77" s="18">
        <f t="shared" si="15"/>
        <v>0</v>
      </c>
      <c r="X77" s="19">
        <f t="shared" si="16"/>
        <v>0</v>
      </c>
      <c r="Y77" s="20"/>
    </row>
    <row r="78" spans="1:25" ht="30" customHeight="1">
      <c r="A78" s="52"/>
      <c r="B78" s="53"/>
      <c r="C78" s="53"/>
      <c r="D78" s="53"/>
      <c r="E78" s="53"/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8">
        <f t="shared" si="11"/>
        <v>0</v>
      </c>
      <c r="T78" s="18">
        <f t="shared" si="12"/>
        <v>0</v>
      </c>
      <c r="U78" s="18">
        <f t="shared" si="13"/>
        <v>0</v>
      </c>
      <c r="V78" s="18">
        <f t="shared" si="14"/>
        <v>0</v>
      </c>
      <c r="W78" s="18">
        <f t="shared" si="15"/>
        <v>0</v>
      </c>
      <c r="X78" s="19">
        <f t="shared" si="16"/>
        <v>0</v>
      </c>
      <c r="Y78" s="20"/>
    </row>
    <row r="79" spans="1:25" ht="30" customHeight="1">
      <c r="A79" s="52"/>
      <c r="B79" s="53"/>
      <c r="C79" s="53"/>
      <c r="D79" s="53"/>
      <c r="E79" s="53"/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8">
        <f t="shared" si="11"/>
        <v>0</v>
      </c>
      <c r="T79" s="18">
        <f t="shared" si="12"/>
        <v>0</v>
      </c>
      <c r="U79" s="18">
        <f t="shared" si="13"/>
        <v>0</v>
      </c>
      <c r="V79" s="18">
        <f t="shared" si="14"/>
        <v>0</v>
      </c>
      <c r="W79" s="18">
        <f t="shared" si="15"/>
        <v>0</v>
      </c>
      <c r="X79" s="19">
        <f t="shared" si="16"/>
        <v>0</v>
      </c>
      <c r="Y79" s="20"/>
    </row>
    <row r="80" spans="1:25" ht="30" customHeight="1">
      <c r="A80" s="52"/>
      <c r="B80" s="53"/>
      <c r="C80" s="53"/>
      <c r="D80" s="53"/>
      <c r="E80" s="53"/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8">
        <f t="shared" si="11"/>
        <v>0</v>
      </c>
      <c r="T80" s="18">
        <f t="shared" si="12"/>
        <v>0</v>
      </c>
      <c r="U80" s="18">
        <f t="shared" si="13"/>
        <v>0</v>
      </c>
      <c r="V80" s="18">
        <f t="shared" si="14"/>
        <v>0</v>
      </c>
      <c r="W80" s="18">
        <f t="shared" si="15"/>
        <v>0</v>
      </c>
      <c r="X80" s="19">
        <f t="shared" si="16"/>
        <v>0</v>
      </c>
      <c r="Y80" s="20"/>
    </row>
    <row r="81" spans="1:25" ht="30" customHeight="1">
      <c r="A81" s="52"/>
      <c r="B81" s="53"/>
      <c r="C81" s="53"/>
      <c r="D81" s="53"/>
      <c r="E81" s="53"/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8">
        <f t="shared" si="11"/>
        <v>0</v>
      </c>
      <c r="T81" s="18">
        <f t="shared" si="12"/>
        <v>0</v>
      </c>
      <c r="U81" s="18">
        <f t="shared" si="13"/>
        <v>0</v>
      </c>
      <c r="V81" s="18">
        <f t="shared" si="14"/>
        <v>0</v>
      </c>
      <c r="W81" s="18">
        <f t="shared" si="15"/>
        <v>0</v>
      </c>
      <c r="X81" s="19">
        <f t="shared" si="16"/>
        <v>0</v>
      </c>
      <c r="Y81" s="20"/>
    </row>
    <row r="82" spans="1:25" ht="30" customHeight="1">
      <c r="A82" s="52"/>
      <c r="B82" s="53"/>
      <c r="C82" s="53"/>
      <c r="D82" s="53"/>
      <c r="E82" s="53"/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8">
        <f t="shared" si="11"/>
        <v>0</v>
      </c>
      <c r="T82" s="18">
        <f t="shared" si="12"/>
        <v>0</v>
      </c>
      <c r="U82" s="18">
        <f t="shared" si="13"/>
        <v>0</v>
      </c>
      <c r="V82" s="18">
        <f t="shared" si="14"/>
        <v>0</v>
      </c>
      <c r="W82" s="18">
        <f t="shared" si="15"/>
        <v>0</v>
      </c>
      <c r="X82" s="19">
        <f t="shared" si="16"/>
        <v>0</v>
      </c>
      <c r="Y82" s="20"/>
    </row>
    <row r="83" spans="1:25" ht="30" customHeight="1">
      <c r="A83" s="52"/>
      <c r="B83" s="53"/>
      <c r="C83" s="53"/>
      <c r="D83" s="53"/>
      <c r="E83" s="53"/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8">
        <f t="shared" si="11"/>
        <v>0</v>
      </c>
      <c r="T83" s="18">
        <f t="shared" si="12"/>
        <v>0</v>
      </c>
      <c r="U83" s="18">
        <f t="shared" si="13"/>
        <v>0</v>
      </c>
      <c r="V83" s="18">
        <f t="shared" si="14"/>
        <v>0</v>
      </c>
      <c r="W83" s="18">
        <f t="shared" si="15"/>
        <v>0</v>
      </c>
      <c r="X83" s="19">
        <f t="shared" si="16"/>
        <v>0</v>
      </c>
      <c r="Y83" s="20"/>
    </row>
    <row r="84" spans="1:25" ht="30" customHeight="1">
      <c r="A84" s="52"/>
      <c r="B84" s="53"/>
      <c r="C84" s="53"/>
      <c r="D84" s="53"/>
      <c r="E84" s="53"/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8">
        <f t="shared" si="11"/>
        <v>0</v>
      </c>
      <c r="T84" s="18">
        <f t="shared" si="12"/>
        <v>0</v>
      </c>
      <c r="U84" s="18">
        <f t="shared" si="13"/>
        <v>0</v>
      </c>
      <c r="V84" s="18">
        <f t="shared" si="14"/>
        <v>0</v>
      </c>
      <c r="W84" s="18">
        <f t="shared" si="15"/>
        <v>0</v>
      </c>
      <c r="X84" s="19">
        <f t="shared" si="16"/>
        <v>0</v>
      </c>
      <c r="Y84" s="20"/>
    </row>
    <row r="85" spans="1:25" ht="30" customHeight="1">
      <c r="A85" s="52"/>
      <c r="B85" s="53"/>
      <c r="C85" s="53"/>
      <c r="D85" s="53"/>
      <c r="E85" s="53"/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8">
        <f t="shared" si="11"/>
        <v>0</v>
      </c>
      <c r="T85" s="18">
        <f t="shared" si="12"/>
        <v>0</v>
      </c>
      <c r="U85" s="18">
        <f t="shared" si="13"/>
        <v>0</v>
      </c>
      <c r="V85" s="18">
        <f t="shared" si="14"/>
        <v>0</v>
      </c>
      <c r="W85" s="18">
        <f t="shared" si="15"/>
        <v>0</v>
      </c>
      <c r="X85" s="19">
        <f t="shared" si="16"/>
        <v>0</v>
      </c>
      <c r="Y85" s="20"/>
    </row>
    <row r="86" spans="1:25" ht="30" customHeight="1">
      <c r="A86" s="52"/>
      <c r="B86" s="53"/>
      <c r="C86" s="53"/>
      <c r="D86" s="53"/>
      <c r="E86" s="53"/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8">
        <f t="shared" si="11"/>
        <v>0</v>
      </c>
      <c r="T86" s="18">
        <f t="shared" si="12"/>
        <v>0</v>
      </c>
      <c r="U86" s="18">
        <f t="shared" si="13"/>
        <v>0</v>
      </c>
      <c r="V86" s="18">
        <f t="shared" si="14"/>
        <v>0</v>
      </c>
      <c r="W86" s="18">
        <f t="shared" si="15"/>
        <v>0</v>
      </c>
      <c r="X86" s="19">
        <f t="shared" si="16"/>
        <v>0</v>
      </c>
      <c r="Y86" s="20"/>
    </row>
    <row r="87" spans="1:25" ht="30" customHeight="1">
      <c r="A87" s="52"/>
      <c r="B87" s="53"/>
      <c r="C87" s="53"/>
      <c r="D87" s="53"/>
      <c r="E87" s="53"/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8">
        <f t="shared" si="11"/>
        <v>0</v>
      </c>
      <c r="T87" s="18">
        <f t="shared" si="12"/>
        <v>0</v>
      </c>
      <c r="U87" s="18">
        <f t="shared" si="13"/>
        <v>0</v>
      </c>
      <c r="V87" s="18">
        <f t="shared" si="14"/>
        <v>0</v>
      </c>
      <c r="W87" s="18">
        <f t="shared" si="15"/>
        <v>0</v>
      </c>
      <c r="X87" s="19">
        <f t="shared" si="16"/>
        <v>0</v>
      </c>
      <c r="Y87" s="20"/>
    </row>
    <row r="88" spans="1:25" ht="30" customHeight="1">
      <c r="A88" s="52"/>
      <c r="B88" s="53"/>
      <c r="C88" s="53"/>
      <c r="D88" s="53"/>
      <c r="E88" s="53"/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8">
        <f t="shared" si="11"/>
        <v>0</v>
      </c>
      <c r="T88" s="18">
        <f t="shared" si="12"/>
        <v>0</v>
      </c>
      <c r="U88" s="18">
        <f t="shared" si="13"/>
        <v>0</v>
      </c>
      <c r="V88" s="18">
        <f t="shared" si="14"/>
        <v>0</v>
      </c>
      <c r="W88" s="18">
        <f t="shared" si="15"/>
        <v>0</v>
      </c>
      <c r="X88" s="19">
        <f t="shared" si="16"/>
        <v>0</v>
      </c>
      <c r="Y88" s="20"/>
    </row>
    <row r="89" spans="1:25" ht="30" customHeight="1">
      <c r="A89" s="52"/>
      <c r="B89" s="53"/>
      <c r="C89" s="53"/>
      <c r="D89" s="53"/>
      <c r="E89" s="53"/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8">
        <f t="shared" si="11"/>
        <v>0</v>
      </c>
      <c r="T89" s="18">
        <f t="shared" si="12"/>
        <v>0</v>
      </c>
      <c r="U89" s="18">
        <f t="shared" si="13"/>
        <v>0</v>
      </c>
      <c r="V89" s="18">
        <f t="shared" si="14"/>
        <v>0</v>
      </c>
      <c r="W89" s="18">
        <f t="shared" si="15"/>
        <v>0</v>
      </c>
      <c r="X89" s="19">
        <f t="shared" si="16"/>
        <v>0</v>
      </c>
      <c r="Y89" s="20"/>
    </row>
    <row r="90" spans="1:25" ht="30" customHeight="1">
      <c r="A90" s="52"/>
      <c r="B90" s="53"/>
      <c r="C90" s="53"/>
      <c r="D90" s="53"/>
      <c r="E90" s="53"/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8">
        <f t="shared" si="11"/>
        <v>0</v>
      </c>
      <c r="T90" s="18">
        <f t="shared" si="12"/>
        <v>0</v>
      </c>
      <c r="U90" s="18">
        <f t="shared" si="13"/>
        <v>0</v>
      </c>
      <c r="V90" s="18">
        <f t="shared" si="14"/>
        <v>0</v>
      </c>
      <c r="W90" s="18">
        <f t="shared" si="15"/>
        <v>0</v>
      </c>
      <c r="X90" s="19">
        <f t="shared" si="16"/>
        <v>0</v>
      </c>
      <c r="Y90" s="20"/>
    </row>
    <row r="91" spans="1:25" ht="30" customHeight="1">
      <c r="A91" s="52"/>
      <c r="B91" s="53"/>
      <c r="C91" s="53"/>
      <c r="D91" s="53"/>
      <c r="E91" s="53"/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8">
        <f t="shared" si="11"/>
        <v>0</v>
      </c>
      <c r="T91" s="18">
        <f t="shared" si="12"/>
        <v>0</v>
      </c>
      <c r="U91" s="18">
        <f t="shared" si="13"/>
        <v>0</v>
      </c>
      <c r="V91" s="18">
        <f t="shared" si="14"/>
        <v>0</v>
      </c>
      <c r="W91" s="18">
        <f t="shared" si="15"/>
        <v>0</v>
      </c>
      <c r="X91" s="19">
        <f t="shared" si="16"/>
        <v>0</v>
      </c>
      <c r="Y91" s="20"/>
    </row>
    <row r="92" spans="1:25" ht="30" customHeight="1">
      <c r="A92" s="52"/>
      <c r="B92" s="53"/>
      <c r="C92" s="53"/>
      <c r="D92" s="53"/>
      <c r="E92" s="53"/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8">
        <f t="shared" si="11"/>
        <v>0</v>
      </c>
      <c r="T92" s="18">
        <f t="shared" si="12"/>
        <v>0</v>
      </c>
      <c r="U92" s="18">
        <f t="shared" si="13"/>
        <v>0</v>
      </c>
      <c r="V92" s="18">
        <f t="shared" si="14"/>
        <v>0</v>
      </c>
      <c r="W92" s="18">
        <f t="shared" si="15"/>
        <v>0</v>
      </c>
      <c r="X92" s="19">
        <f t="shared" si="16"/>
        <v>0</v>
      </c>
      <c r="Y92" s="20"/>
    </row>
    <row r="93" spans="1:25" ht="30" customHeight="1">
      <c r="A93" s="52"/>
      <c r="B93" s="53"/>
      <c r="C93" s="53"/>
      <c r="D93" s="53"/>
      <c r="E93" s="53"/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8">
        <f t="shared" si="11"/>
        <v>0</v>
      </c>
      <c r="T93" s="18">
        <f t="shared" si="12"/>
        <v>0</v>
      </c>
      <c r="U93" s="18">
        <f t="shared" si="13"/>
        <v>0</v>
      </c>
      <c r="V93" s="18">
        <f t="shared" si="14"/>
        <v>0</v>
      </c>
      <c r="W93" s="18">
        <f t="shared" si="15"/>
        <v>0</v>
      </c>
      <c r="X93" s="19">
        <f t="shared" si="16"/>
        <v>0</v>
      </c>
      <c r="Y93" s="20"/>
    </row>
    <row r="94" spans="1:25" ht="30" customHeight="1">
      <c r="A94" s="52"/>
      <c r="B94" s="53"/>
      <c r="C94" s="53"/>
      <c r="D94" s="53"/>
      <c r="E94" s="53"/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8">
        <f t="shared" si="11"/>
        <v>0</v>
      </c>
      <c r="T94" s="18">
        <f t="shared" si="12"/>
        <v>0</v>
      </c>
      <c r="U94" s="18">
        <f t="shared" si="13"/>
        <v>0</v>
      </c>
      <c r="V94" s="18">
        <f t="shared" si="14"/>
        <v>0</v>
      </c>
      <c r="W94" s="18">
        <f t="shared" si="15"/>
        <v>0</v>
      </c>
      <c r="X94" s="19">
        <f t="shared" si="16"/>
        <v>0</v>
      </c>
      <c r="Y94" s="20"/>
    </row>
    <row r="95" spans="1:25" ht="30" customHeight="1">
      <c r="A95" s="52"/>
      <c r="B95" s="53"/>
      <c r="C95" s="53"/>
      <c r="D95" s="53"/>
      <c r="E95" s="53"/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8">
        <f t="shared" si="11"/>
        <v>0</v>
      </c>
      <c r="T95" s="18">
        <f t="shared" si="12"/>
        <v>0</v>
      </c>
      <c r="U95" s="18">
        <f t="shared" si="13"/>
        <v>0</v>
      </c>
      <c r="V95" s="18">
        <f t="shared" si="14"/>
        <v>0</v>
      </c>
      <c r="W95" s="18">
        <f t="shared" si="15"/>
        <v>0</v>
      </c>
      <c r="X95" s="19">
        <f t="shared" si="16"/>
        <v>0</v>
      </c>
      <c r="Y95" s="20"/>
    </row>
    <row r="96" spans="1:25" ht="30" customHeight="1">
      <c r="A96" s="52"/>
      <c r="B96" s="53"/>
      <c r="C96" s="53"/>
      <c r="D96" s="53"/>
      <c r="E96" s="53"/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8">
        <f t="shared" si="11"/>
        <v>0</v>
      </c>
      <c r="T96" s="18">
        <f t="shared" si="12"/>
        <v>0</v>
      </c>
      <c r="U96" s="18">
        <f t="shared" si="13"/>
        <v>0</v>
      </c>
      <c r="V96" s="18">
        <f t="shared" si="14"/>
        <v>0</v>
      </c>
      <c r="W96" s="18">
        <f t="shared" si="15"/>
        <v>0</v>
      </c>
      <c r="X96" s="19">
        <f t="shared" si="16"/>
        <v>0</v>
      </c>
      <c r="Y96" s="20"/>
    </row>
    <row r="97" spans="1:25" ht="30" customHeight="1">
      <c r="A97" s="52"/>
      <c r="B97" s="53"/>
      <c r="C97" s="53"/>
      <c r="D97" s="53"/>
      <c r="E97" s="53"/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8">
        <f t="shared" ref="S97:S128" si="17">IF(SUM(F97:R97)&gt;0,1,0)</f>
        <v>0</v>
      </c>
      <c r="T97" s="18">
        <f t="shared" ref="T97:T128" si="18">IF(MAX(H97,J97,K97,L97,M97,N97,Q97)&gt;0,1,0)</f>
        <v>0</v>
      </c>
      <c r="U97" s="18">
        <f t="shared" ref="U97:U128" si="19">IF(MAX(F97,G97,I97,O97)&gt;0,1,0)</f>
        <v>0</v>
      </c>
      <c r="V97" s="18">
        <f t="shared" ref="V97:V128" si="20">IF(P97&gt;0,1,0)</f>
        <v>0</v>
      </c>
      <c r="W97" s="18">
        <f t="shared" si="15"/>
        <v>0</v>
      </c>
      <c r="X97" s="19">
        <f t="shared" ref="X97:X128" si="21">SUMPRODUCT((F97:R97=1)*0.3)+SUMPRODUCT((F97:R97=2)*0.7)+SUMPRODUCT((F97:R97=3)*1.5)</f>
        <v>0</v>
      </c>
      <c r="Y97" s="20"/>
    </row>
    <row r="98" spans="1:25" ht="30" customHeight="1">
      <c r="A98" s="52"/>
      <c r="B98" s="53"/>
      <c r="C98" s="53"/>
      <c r="D98" s="53"/>
      <c r="E98" s="53"/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8">
        <f t="shared" si="17"/>
        <v>0</v>
      </c>
      <c r="T98" s="18">
        <f t="shared" si="18"/>
        <v>0</v>
      </c>
      <c r="U98" s="18">
        <f t="shared" si="19"/>
        <v>0</v>
      </c>
      <c r="V98" s="18">
        <f t="shared" si="20"/>
        <v>0</v>
      </c>
      <c r="W98" s="18">
        <f t="shared" si="15"/>
        <v>0</v>
      </c>
      <c r="X98" s="19">
        <f t="shared" si="21"/>
        <v>0</v>
      </c>
      <c r="Y98" s="20"/>
    </row>
    <row r="99" spans="1:25" ht="30" customHeight="1">
      <c r="A99" s="52"/>
      <c r="B99" s="53"/>
      <c r="C99" s="53"/>
      <c r="D99" s="53"/>
      <c r="E99" s="53"/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8">
        <f t="shared" si="17"/>
        <v>0</v>
      </c>
      <c r="T99" s="18">
        <f t="shared" si="18"/>
        <v>0</v>
      </c>
      <c r="U99" s="18">
        <f t="shared" si="19"/>
        <v>0</v>
      </c>
      <c r="V99" s="18">
        <f t="shared" si="20"/>
        <v>0</v>
      </c>
      <c r="W99" s="18">
        <f t="shared" si="15"/>
        <v>0</v>
      </c>
      <c r="X99" s="19">
        <f t="shared" si="21"/>
        <v>0</v>
      </c>
      <c r="Y99" s="20"/>
    </row>
    <row r="100" spans="1:25" ht="30" customHeight="1">
      <c r="A100" s="52"/>
      <c r="B100" s="53"/>
      <c r="C100" s="53"/>
      <c r="D100" s="53"/>
      <c r="E100" s="53"/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8">
        <f t="shared" si="17"/>
        <v>0</v>
      </c>
      <c r="T100" s="18">
        <f t="shared" si="18"/>
        <v>0</v>
      </c>
      <c r="U100" s="18">
        <f t="shared" si="19"/>
        <v>0</v>
      </c>
      <c r="V100" s="18">
        <f t="shared" si="20"/>
        <v>0</v>
      </c>
      <c r="W100" s="18">
        <f t="shared" si="15"/>
        <v>0</v>
      </c>
      <c r="X100" s="19">
        <f t="shared" si="21"/>
        <v>0</v>
      </c>
      <c r="Y100" s="20"/>
    </row>
    <row r="101" spans="1:25" ht="30" customHeight="1">
      <c r="A101" s="52"/>
      <c r="B101" s="53"/>
      <c r="C101" s="53"/>
      <c r="D101" s="53"/>
      <c r="E101" s="53"/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8">
        <f t="shared" si="17"/>
        <v>0</v>
      </c>
      <c r="T101" s="18">
        <f t="shared" si="18"/>
        <v>0</v>
      </c>
      <c r="U101" s="18">
        <f t="shared" si="19"/>
        <v>0</v>
      </c>
      <c r="V101" s="18">
        <f t="shared" si="20"/>
        <v>0</v>
      </c>
      <c r="W101" s="18">
        <f t="shared" si="15"/>
        <v>0</v>
      </c>
      <c r="X101" s="19">
        <f t="shared" si="21"/>
        <v>0</v>
      </c>
      <c r="Y101" s="20"/>
    </row>
    <row r="102" spans="1:25" ht="30" customHeight="1">
      <c r="A102" s="52"/>
      <c r="B102" s="53"/>
      <c r="C102" s="53"/>
      <c r="D102" s="53"/>
      <c r="E102" s="53"/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8">
        <f t="shared" si="17"/>
        <v>0</v>
      </c>
      <c r="T102" s="18">
        <f t="shared" si="18"/>
        <v>0</v>
      </c>
      <c r="U102" s="18">
        <f t="shared" si="19"/>
        <v>0</v>
      </c>
      <c r="V102" s="18">
        <f t="shared" si="20"/>
        <v>0</v>
      </c>
      <c r="W102" s="18">
        <f t="shared" si="15"/>
        <v>0</v>
      </c>
      <c r="X102" s="19">
        <f t="shared" si="21"/>
        <v>0</v>
      </c>
      <c r="Y102" s="20"/>
    </row>
    <row r="103" spans="1:25" ht="30" customHeight="1">
      <c r="A103" s="52"/>
      <c r="B103" s="53"/>
      <c r="C103" s="53"/>
      <c r="D103" s="53"/>
      <c r="E103" s="53"/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8">
        <f t="shared" si="17"/>
        <v>0</v>
      </c>
      <c r="T103" s="18">
        <f t="shared" si="18"/>
        <v>0</v>
      </c>
      <c r="U103" s="18">
        <f t="shared" si="19"/>
        <v>0</v>
      </c>
      <c r="V103" s="18">
        <f t="shared" si="20"/>
        <v>0</v>
      </c>
      <c r="W103" s="18">
        <f t="shared" si="15"/>
        <v>0</v>
      </c>
      <c r="X103" s="19">
        <f t="shared" si="21"/>
        <v>0</v>
      </c>
      <c r="Y103" s="20"/>
    </row>
    <row r="104" spans="1:25" ht="30" customHeight="1">
      <c r="A104" s="52"/>
      <c r="B104" s="53"/>
      <c r="C104" s="53"/>
      <c r="D104" s="53"/>
      <c r="E104" s="53"/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8">
        <f t="shared" si="17"/>
        <v>0</v>
      </c>
      <c r="T104" s="18">
        <f t="shared" si="18"/>
        <v>0</v>
      </c>
      <c r="U104" s="18">
        <f t="shared" si="19"/>
        <v>0</v>
      </c>
      <c r="V104" s="18">
        <f t="shared" si="20"/>
        <v>0</v>
      </c>
      <c r="W104" s="18">
        <f t="shared" si="15"/>
        <v>0</v>
      </c>
      <c r="X104" s="19">
        <f t="shared" si="21"/>
        <v>0</v>
      </c>
      <c r="Y104" s="20"/>
    </row>
    <row r="105" spans="1:25" ht="30" customHeight="1">
      <c r="A105" s="52"/>
      <c r="B105" s="53"/>
      <c r="C105" s="53"/>
      <c r="D105" s="53"/>
      <c r="E105" s="53"/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8">
        <f t="shared" si="17"/>
        <v>0</v>
      </c>
      <c r="T105" s="18">
        <f t="shared" si="18"/>
        <v>0</v>
      </c>
      <c r="U105" s="18">
        <f t="shared" si="19"/>
        <v>0</v>
      </c>
      <c r="V105" s="18">
        <f t="shared" si="20"/>
        <v>0</v>
      </c>
      <c r="W105" s="18">
        <f t="shared" si="15"/>
        <v>0</v>
      </c>
      <c r="X105" s="19">
        <f t="shared" si="21"/>
        <v>0</v>
      </c>
      <c r="Y105" s="20"/>
    </row>
    <row r="106" spans="1:25" ht="30" customHeight="1">
      <c r="A106" s="52"/>
      <c r="B106" s="53"/>
      <c r="C106" s="53"/>
      <c r="D106" s="53"/>
      <c r="E106" s="53"/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8">
        <f t="shared" si="17"/>
        <v>0</v>
      </c>
      <c r="T106" s="18">
        <f t="shared" si="18"/>
        <v>0</v>
      </c>
      <c r="U106" s="18">
        <f t="shared" si="19"/>
        <v>0</v>
      </c>
      <c r="V106" s="18">
        <f t="shared" si="20"/>
        <v>0</v>
      </c>
      <c r="W106" s="18">
        <f t="shared" si="15"/>
        <v>0</v>
      </c>
      <c r="X106" s="19">
        <f t="shared" si="21"/>
        <v>0</v>
      </c>
      <c r="Y106" s="20"/>
    </row>
    <row r="107" spans="1:25">
      <c r="A107" s="52"/>
      <c r="B107" s="53"/>
      <c r="C107" s="53"/>
      <c r="D107" s="53"/>
      <c r="E107" s="53"/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8">
        <f t="shared" si="17"/>
        <v>0</v>
      </c>
      <c r="T107" s="18">
        <f t="shared" si="18"/>
        <v>0</v>
      </c>
      <c r="U107" s="18">
        <f t="shared" si="19"/>
        <v>0</v>
      </c>
      <c r="V107" s="18">
        <f t="shared" si="20"/>
        <v>0</v>
      </c>
      <c r="W107" s="18">
        <f t="shared" si="15"/>
        <v>0</v>
      </c>
      <c r="X107" s="19">
        <f t="shared" si="21"/>
        <v>0</v>
      </c>
      <c r="Y107" s="20"/>
    </row>
    <row r="108" spans="1:25" ht="30" customHeight="1">
      <c r="A108" s="52"/>
      <c r="B108" s="53"/>
      <c r="C108" s="53"/>
      <c r="D108" s="53"/>
      <c r="E108" s="53"/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8">
        <f t="shared" si="17"/>
        <v>0</v>
      </c>
      <c r="T108" s="18">
        <f t="shared" si="18"/>
        <v>0</v>
      </c>
      <c r="U108" s="18">
        <f t="shared" si="19"/>
        <v>0</v>
      </c>
      <c r="V108" s="18">
        <f t="shared" si="20"/>
        <v>0</v>
      </c>
      <c r="W108" s="18">
        <f t="shared" si="15"/>
        <v>0</v>
      </c>
      <c r="X108" s="19">
        <f t="shared" si="21"/>
        <v>0</v>
      </c>
      <c r="Y108" s="20"/>
    </row>
    <row r="109" spans="1:25" ht="30" customHeight="1">
      <c r="A109" s="52"/>
      <c r="B109" s="53"/>
      <c r="C109" s="53"/>
      <c r="D109" s="53"/>
      <c r="E109" s="53"/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8">
        <f t="shared" si="17"/>
        <v>0</v>
      </c>
      <c r="T109" s="18">
        <f t="shared" si="18"/>
        <v>0</v>
      </c>
      <c r="U109" s="18">
        <f t="shared" si="19"/>
        <v>0</v>
      </c>
      <c r="V109" s="18">
        <f t="shared" si="20"/>
        <v>0</v>
      </c>
      <c r="W109" s="18">
        <f t="shared" si="15"/>
        <v>0</v>
      </c>
      <c r="X109" s="19">
        <f t="shared" si="21"/>
        <v>0</v>
      </c>
      <c r="Y109" s="20"/>
    </row>
    <row r="110" spans="1:25">
      <c r="A110" s="52"/>
      <c r="B110" s="53"/>
      <c r="C110" s="53"/>
      <c r="D110" s="53"/>
      <c r="E110" s="53"/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8">
        <f t="shared" si="17"/>
        <v>0</v>
      </c>
      <c r="T110" s="18">
        <f t="shared" si="18"/>
        <v>0</v>
      </c>
      <c r="U110" s="18">
        <f t="shared" si="19"/>
        <v>0</v>
      </c>
      <c r="V110" s="18">
        <f t="shared" si="20"/>
        <v>0</v>
      </c>
      <c r="W110" s="18">
        <f t="shared" si="15"/>
        <v>0</v>
      </c>
      <c r="X110" s="19">
        <f t="shared" si="21"/>
        <v>0</v>
      </c>
      <c r="Y110" s="20"/>
    </row>
    <row r="111" spans="1:25">
      <c r="A111" s="52"/>
      <c r="B111" s="53"/>
      <c r="C111" s="53"/>
      <c r="D111" s="53"/>
      <c r="E111" s="53"/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8">
        <f t="shared" si="17"/>
        <v>0</v>
      </c>
      <c r="T111" s="18">
        <f t="shared" si="18"/>
        <v>0</v>
      </c>
      <c r="U111" s="18">
        <f t="shared" si="19"/>
        <v>0</v>
      </c>
      <c r="V111" s="18">
        <f t="shared" si="20"/>
        <v>0</v>
      </c>
      <c r="W111" s="18">
        <f t="shared" si="15"/>
        <v>0</v>
      </c>
      <c r="X111" s="19">
        <f t="shared" si="21"/>
        <v>0</v>
      </c>
      <c r="Y111" s="20"/>
    </row>
    <row r="112" spans="1:25" ht="30" customHeight="1">
      <c r="A112" s="52"/>
      <c r="B112" s="53"/>
      <c r="C112" s="53"/>
      <c r="D112" s="53"/>
      <c r="E112" s="53"/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8">
        <f t="shared" si="17"/>
        <v>0</v>
      </c>
      <c r="T112" s="18">
        <f t="shared" si="18"/>
        <v>0</v>
      </c>
      <c r="U112" s="18">
        <f t="shared" si="19"/>
        <v>0</v>
      </c>
      <c r="V112" s="18">
        <f t="shared" si="20"/>
        <v>0</v>
      </c>
      <c r="W112" s="18">
        <f t="shared" si="15"/>
        <v>0</v>
      </c>
      <c r="X112" s="19">
        <f t="shared" si="21"/>
        <v>0</v>
      </c>
      <c r="Y112" s="20"/>
    </row>
    <row r="113" spans="1:25" ht="30" customHeight="1">
      <c r="A113" s="52"/>
      <c r="B113" s="53"/>
      <c r="C113" s="53"/>
      <c r="D113" s="53"/>
      <c r="E113" s="53"/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8">
        <f t="shared" si="17"/>
        <v>0</v>
      </c>
      <c r="T113" s="18">
        <f t="shared" si="18"/>
        <v>0</v>
      </c>
      <c r="U113" s="18">
        <f t="shared" si="19"/>
        <v>0</v>
      </c>
      <c r="V113" s="18">
        <f t="shared" si="20"/>
        <v>0</v>
      </c>
      <c r="W113" s="18">
        <f t="shared" si="15"/>
        <v>0</v>
      </c>
      <c r="X113" s="19">
        <f t="shared" si="21"/>
        <v>0</v>
      </c>
      <c r="Y113" s="20"/>
    </row>
    <row r="114" spans="1:25" ht="30" customHeight="1">
      <c r="A114" s="52"/>
      <c r="B114" s="53"/>
      <c r="C114" s="53"/>
      <c r="D114" s="53"/>
      <c r="E114" s="53"/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8">
        <f t="shared" si="17"/>
        <v>0</v>
      </c>
      <c r="T114" s="18">
        <f t="shared" si="18"/>
        <v>0</v>
      </c>
      <c r="U114" s="18">
        <f t="shared" si="19"/>
        <v>0</v>
      </c>
      <c r="V114" s="18">
        <f t="shared" si="20"/>
        <v>0</v>
      </c>
      <c r="W114" s="18">
        <f t="shared" si="15"/>
        <v>0</v>
      </c>
      <c r="X114" s="19">
        <f t="shared" si="21"/>
        <v>0</v>
      </c>
      <c r="Y114" s="20"/>
    </row>
    <row r="115" spans="1:25">
      <c r="A115" s="52"/>
      <c r="B115" s="53"/>
      <c r="C115" s="53"/>
      <c r="D115" s="53"/>
      <c r="E115" s="53"/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8">
        <f t="shared" si="17"/>
        <v>0</v>
      </c>
      <c r="T115" s="18">
        <f t="shared" si="18"/>
        <v>0</v>
      </c>
      <c r="U115" s="18">
        <f t="shared" si="19"/>
        <v>0</v>
      </c>
      <c r="V115" s="18">
        <f t="shared" si="20"/>
        <v>0</v>
      </c>
      <c r="W115" s="18">
        <f t="shared" si="15"/>
        <v>0</v>
      </c>
      <c r="X115" s="19">
        <f t="shared" si="21"/>
        <v>0</v>
      </c>
      <c r="Y115" s="20"/>
    </row>
    <row r="116" spans="1:25">
      <c r="A116" s="52"/>
      <c r="B116" s="53"/>
      <c r="C116" s="53"/>
      <c r="D116" s="53"/>
      <c r="E116" s="53"/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8">
        <f t="shared" si="17"/>
        <v>0</v>
      </c>
      <c r="T116" s="18">
        <f t="shared" si="18"/>
        <v>0</v>
      </c>
      <c r="U116" s="18">
        <f t="shared" si="19"/>
        <v>0</v>
      </c>
      <c r="V116" s="18">
        <f t="shared" si="20"/>
        <v>0</v>
      </c>
      <c r="W116" s="18">
        <f t="shared" si="15"/>
        <v>0</v>
      </c>
      <c r="X116" s="19">
        <f t="shared" si="21"/>
        <v>0</v>
      </c>
      <c r="Y116" s="20"/>
    </row>
    <row r="117" spans="1:25" ht="30" customHeight="1">
      <c r="A117" s="52"/>
      <c r="B117" s="53"/>
      <c r="C117" s="53"/>
      <c r="D117" s="53"/>
      <c r="E117" s="53"/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8">
        <f t="shared" si="17"/>
        <v>0</v>
      </c>
      <c r="T117" s="18">
        <f t="shared" si="18"/>
        <v>0</v>
      </c>
      <c r="U117" s="18">
        <f t="shared" si="19"/>
        <v>0</v>
      </c>
      <c r="V117" s="18">
        <f t="shared" si="20"/>
        <v>0</v>
      </c>
      <c r="W117" s="18">
        <f t="shared" si="15"/>
        <v>0</v>
      </c>
      <c r="X117" s="19">
        <f t="shared" si="21"/>
        <v>0</v>
      </c>
      <c r="Y117" s="20"/>
    </row>
    <row r="118" spans="1:25" ht="30" customHeight="1">
      <c r="A118" s="52"/>
      <c r="B118" s="53"/>
      <c r="C118" s="53"/>
      <c r="D118" s="53"/>
      <c r="E118" s="53"/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8">
        <f t="shared" si="17"/>
        <v>0</v>
      </c>
      <c r="T118" s="18">
        <f t="shared" si="18"/>
        <v>0</v>
      </c>
      <c r="U118" s="18">
        <f t="shared" si="19"/>
        <v>0</v>
      </c>
      <c r="V118" s="18">
        <f t="shared" si="20"/>
        <v>0</v>
      </c>
      <c r="W118" s="18">
        <f t="shared" si="15"/>
        <v>0</v>
      </c>
      <c r="X118" s="19">
        <f t="shared" si="21"/>
        <v>0</v>
      </c>
      <c r="Y118" s="20"/>
    </row>
    <row r="119" spans="1:25" ht="30" customHeight="1">
      <c r="A119" s="52"/>
      <c r="B119" s="53"/>
      <c r="C119" s="53"/>
      <c r="D119" s="53"/>
      <c r="E119" s="53"/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8">
        <f t="shared" si="17"/>
        <v>0</v>
      </c>
      <c r="T119" s="18">
        <f t="shared" si="18"/>
        <v>0</v>
      </c>
      <c r="U119" s="18">
        <f t="shared" si="19"/>
        <v>0</v>
      </c>
      <c r="V119" s="18">
        <f t="shared" si="20"/>
        <v>0</v>
      </c>
      <c r="W119" s="18">
        <f t="shared" si="15"/>
        <v>0</v>
      </c>
      <c r="X119" s="19">
        <f t="shared" si="21"/>
        <v>0</v>
      </c>
      <c r="Y119" s="20"/>
    </row>
    <row r="120" spans="1:25">
      <c r="A120" s="52"/>
      <c r="B120" s="53"/>
      <c r="C120" s="53"/>
      <c r="D120" s="53"/>
      <c r="E120" s="53"/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8">
        <f t="shared" si="17"/>
        <v>0</v>
      </c>
      <c r="T120" s="18">
        <f t="shared" si="18"/>
        <v>0</v>
      </c>
      <c r="U120" s="18">
        <f t="shared" si="19"/>
        <v>0</v>
      </c>
      <c r="V120" s="18">
        <f t="shared" si="20"/>
        <v>0</v>
      </c>
      <c r="W120" s="18">
        <f t="shared" si="15"/>
        <v>0</v>
      </c>
      <c r="X120" s="19">
        <f t="shared" si="21"/>
        <v>0</v>
      </c>
      <c r="Y120" s="20"/>
    </row>
    <row r="121" spans="1:25">
      <c r="A121" s="52"/>
      <c r="B121" s="53"/>
      <c r="C121" s="53"/>
      <c r="D121" s="53"/>
      <c r="E121" s="53"/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8">
        <f t="shared" si="17"/>
        <v>0</v>
      </c>
      <c r="T121" s="18">
        <f t="shared" si="18"/>
        <v>0</v>
      </c>
      <c r="U121" s="18">
        <f t="shared" si="19"/>
        <v>0</v>
      </c>
      <c r="V121" s="18">
        <f t="shared" si="20"/>
        <v>0</v>
      </c>
      <c r="W121" s="18">
        <f t="shared" si="15"/>
        <v>0</v>
      </c>
      <c r="X121" s="19">
        <f t="shared" si="21"/>
        <v>0</v>
      </c>
      <c r="Y121" s="20"/>
    </row>
    <row r="122" spans="1:25">
      <c r="A122" s="52"/>
      <c r="B122" s="53"/>
      <c r="C122" s="53"/>
      <c r="D122" s="53"/>
      <c r="E122" s="53"/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8">
        <f t="shared" si="17"/>
        <v>0</v>
      </c>
      <c r="T122" s="18">
        <f t="shared" si="18"/>
        <v>0</v>
      </c>
      <c r="U122" s="18">
        <f t="shared" si="19"/>
        <v>0</v>
      </c>
      <c r="V122" s="18">
        <f t="shared" si="20"/>
        <v>0</v>
      </c>
      <c r="W122" s="18">
        <f t="shared" si="15"/>
        <v>0</v>
      </c>
      <c r="X122" s="19">
        <f t="shared" si="21"/>
        <v>0</v>
      </c>
      <c r="Y122" s="20"/>
    </row>
    <row r="123" spans="1:25">
      <c r="A123" s="52"/>
      <c r="B123" s="53"/>
      <c r="C123" s="53"/>
      <c r="D123" s="53"/>
      <c r="E123" s="53"/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8">
        <f t="shared" si="17"/>
        <v>0</v>
      </c>
      <c r="T123" s="18">
        <f t="shared" si="18"/>
        <v>0</v>
      </c>
      <c r="U123" s="18">
        <f t="shared" si="19"/>
        <v>0</v>
      </c>
      <c r="V123" s="18">
        <f t="shared" si="20"/>
        <v>0</v>
      </c>
      <c r="W123" s="18">
        <f t="shared" si="15"/>
        <v>0</v>
      </c>
      <c r="X123" s="19">
        <f t="shared" si="21"/>
        <v>0</v>
      </c>
      <c r="Y123" s="20"/>
    </row>
    <row r="124" spans="1:25">
      <c r="A124" s="52"/>
      <c r="B124" s="53"/>
      <c r="C124" s="53"/>
      <c r="D124" s="53"/>
      <c r="E124" s="53"/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8">
        <f t="shared" si="17"/>
        <v>0</v>
      </c>
      <c r="T124" s="18">
        <f t="shared" si="18"/>
        <v>0</v>
      </c>
      <c r="U124" s="18">
        <f t="shared" si="19"/>
        <v>0</v>
      </c>
      <c r="V124" s="18">
        <f t="shared" si="20"/>
        <v>0</v>
      </c>
      <c r="W124" s="18">
        <f t="shared" si="15"/>
        <v>0</v>
      </c>
      <c r="X124" s="19">
        <f t="shared" si="21"/>
        <v>0</v>
      </c>
      <c r="Y124" s="20"/>
    </row>
    <row r="125" spans="1:25" ht="30" customHeight="1">
      <c r="A125" s="52"/>
      <c r="B125" s="53"/>
      <c r="C125" s="53"/>
      <c r="D125" s="53"/>
      <c r="E125" s="53"/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8">
        <f t="shared" si="17"/>
        <v>0</v>
      </c>
      <c r="T125" s="18">
        <f t="shared" si="18"/>
        <v>0</v>
      </c>
      <c r="U125" s="18">
        <f t="shared" si="19"/>
        <v>0</v>
      </c>
      <c r="V125" s="18">
        <f t="shared" si="20"/>
        <v>0</v>
      </c>
      <c r="W125" s="18">
        <f t="shared" si="15"/>
        <v>0</v>
      </c>
      <c r="X125" s="19">
        <f t="shared" si="21"/>
        <v>0</v>
      </c>
      <c r="Y125" s="20"/>
    </row>
    <row r="126" spans="1:25" ht="30" customHeight="1">
      <c r="A126" s="52"/>
      <c r="B126" s="53"/>
      <c r="C126" s="53"/>
      <c r="D126" s="53"/>
      <c r="E126" s="53"/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8">
        <f t="shared" si="17"/>
        <v>0</v>
      </c>
      <c r="T126" s="18">
        <f t="shared" si="18"/>
        <v>0</v>
      </c>
      <c r="U126" s="18">
        <f t="shared" si="19"/>
        <v>0</v>
      </c>
      <c r="V126" s="18">
        <f t="shared" si="20"/>
        <v>0</v>
      </c>
      <c r="W126" s="18">
        <f t="shared" si="15"/>
        <v>0</v>
      </c>
      <c r="X126" s="19">
        <f t="shared" si="21"/>
        <v>0</v>
      </c>
      <c r="Y126" s="20"/>
    </row>
    <row r="127" spans="1:25">
      <c r="A127" s="52"/>
      <c r="B127" s="53"/>
      <c r="C127" s="53"/>
      <c r="D127" s="53"/>
      <c r="E127" s="53"/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8">
        <f t="shared" si="17"/>
        <v>0</v>
      </c>
      <c r="T127" s="18">
        <f t="shared" si="18"/>
        <v>0</v>
      </c>
      <c r="U127" s="18">
        <f t="shared" si="19"/>
        <v>0</v>
      </c>
      <c r="V127" s="18">
        <f t="shared" si="20"/>
        <v>0</v>
      </c>
      <c r="W127" s="18">
        <f t="shared" si="15"/>
        <v>0</v>
      </c>
      <c r="X127" s="19">
        <f t="shared" si="21"/>
        <v>0</v>
      </c>
      <c r="Y127" s="20"/>
    </row>
    <row r="128" spans="1:25" ht="30" customHeight="1">
      <c r="A128" s="52"/>
      <c r="B128" s="53"/>
      <c r="C128" s="53"/>
      <c r="D128" s="53"/>
      <c r="E128" s="53"/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8">
        <f t="shared" si="17"/>
        <v>0</v>
      </c>
      <c r="T128" s="18">
        <f t="shared" si="18"/>
        <v>0</v>
      </c>
      <c r="U128" s="18">
        <f t="shared" si="19"/>
        <v>0</v>
      </c>
      <c r="V128" s="18">
        <f t="shared" si="20"/>
        <v>0</v>
      </c>
      <c r="W128" s="18">
        <f t="shared" si="15"/>
        <v>0</v>
      </c>
      <c r="X128" s="19">
        <f t="shared" si="21"/>
        <v>0</v>
      </c>
      <c r="Y128" s="20"/>
    </row>
    <row r="129" spans="1:25" ht="30" customHeight="1">
      <c r="A129" s="52"/>
      <c r="B129" s="53"/>
      <c r="C129" s="53"/>
      <c r="D129" s="53"/>
      <c r="E129" s="53"/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8">
        <f t="shared" ref="S129:S160" si="22">IF(SUM(F129:R129)&gt;0,1,0)</f>
        <v>0</v>
      </c>
      <c r="T129" s="18">
        <f t="shared" ref="T129:T160" si="23">IF(MAX(H129,J129,K129,L129,M129,N129,Q129)&gt;0,1,0)</f>
        <v>0</v>
      </c>
      <c r="U129" s="18">
        <f t="shared" ref="U129:U160" si="24">IF(MAX(F129,G129,I129,O129)&gt;0,1,0)</f>
        <v>0</v>
      </c>
      <c r="V129" s="18">
        <f t="shared" ref="V129:V160" si="25">IF(P129&gt;0,1,0)</f>
        <v>0</v>
      </c>
      <c r="W129" s="18">
        <f t="shared" si="15"/>
        <v>0</v>
      </c>
      <c r="X129" s="19">
        <f t="shared" ref="X129:X160" si="26">SUMPRODUCT((F129:R129=1)*0.3)+SUMPRODUCT((F129:R129=2)*0.7)+SUMPRODUCT((F129:R129=3)*1.5)</f>
        <v>0</v>
      </c>
      <c r="Y129" s="20"/>
    </row>
    <row r="130" spans="1:25">
      <c r="A130" s="52"/>
      <c r="B130" s="53"/>
      <c r="C130" s="53"/>
      <c r="D130" s="53"/>
      <c r="E130" s="53"/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8">
        <f t="shared" si="22"/>
        <v>0</v>
      </c>
      <c r="T130" s="18">
        <f t="shared" si="23"/>
        <v>0</v>
      </c>
      <c r="U130" s="18">
        <f t="shared" si="24"/>
        <v>0</v>
      </c>
      <c r="V130" s="18">
        <f t="shared" si="25"/>
        <v>0</v>
      </c>
      <c r="W130" s="18">
        <f t="shared" si="15"/>
        <v>0</v>
      </c>
      <c r="X130" s="19">
        <f t="shared" si="26"/>
        <v>0</v>
      </c>
      <c r="Y130" s="20"/>
    </row>
    <row r="131" spans="1:25" ht="30" customHeight="1">
      <c r="A131" s="52"/>
      <c r="B131" s="53"/>
      <c r="C131" s="53"/>
      <c r="D131" s="53"/>
      <c r="E131" s="53"/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8">
        <f t="shared" si="22"/>
        <v>0</v>
      </c>
      <c r="T131" s="18">
        <f t="shared" si="23"/>
        <v>0</v>
      </c>
      <c r="U131" s="18">
        <f t="shared" si="24"/>
        <v>0</v>
      </c>
      <c r="V131" s="18">
        <f t="shared" si="25"/>
        <v>0</v>
      </c>
      <c r="W131" s="18">
        <f t="shared" ref="W131:W194" si="27">IF(AND(B131&lt;&gt;"",S131=0),1,0)</f>
        <v>0</v>
      </c>
      <c r="X131" s="19">
        <f t="shared" si="26"/>
        <v>0</v>
      </c>
      <c r="Y131" s="20"/>
    </row>
    <row r="132" spans="1:25" ht="30" customHeight="1">
      <c r="A132" s="52"/>
      <c r="B132" s="53"/>
      <c r="C132" s="53"/>
      <c r="D132" s="53"/>
      <c r="E132" s="53"/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8">
        <f t="shared" si="22"/>
        <v>0</v>
      </c>
      <c r="T132" s="18">
        <f t="shared" si="23"/>
        <v>0</v>
      </c>
      <c r="U132" s="18">
        <f t="shared" si="24"/>
        <v>0</v>
      </c>
      <c r="V132" s="18">
        <f t="shared" si="25"/>
        <v>0</v>
      </c>
      <c r="W132" s="18">
        <f t="shared" si="27"/>
        <v>0</v>
      </c>
      <c r="X132" s="19">
        <f t="shared" si="26"/>
        <v>0</v>
      </c>
      <c r="Y132" s="20"/>
    </row>
    <row r="133" spans="1:25" ht="30" customHeight="1">
      <c r="A133" s="52"/>
      <c r="B133" s="53"/>
      <c r="C133" s="53"/>
      <c r="D133" s="53"/>
      <c r="E133" s="53"/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8">
        <f t="shared" si="22"/>
        <v>0</v>
      </c>
      <c r="T133" s="18">
        <f t="shared" si="23"/>
        <v>0</v>
      </c>
      <c r="U133" s="18">
        <f t="shared" si="24"/>
        <v>0</v>
      </c>
      <c r="V133" s="18">
        <f t="shared" si="25"/>
        <v>0</v>
      </c>
      <c r="W133" s="18">
        <f t="shared" si="27"/>
        <v>0</v>
      </c>
      <c r="X133" s="19">
        <f t="shared" si="26"/>
        <v>0</v>
      </c>
      <c r="Y133" s="20"/>
    </row>
    <row r="134" spans="1:25" ht="30" customHeight="1">
      <c r="A134" s="52"/>
      <c r="B134" s="53"/>
      <c r="C134" s="53"/>
      <c r="D134" s="53"/>
      <c r="E134" s="53"/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8">
        <f t="shared" si="22"/>
        <v>0</v>
      </c>
      <c r="T134" s="18">
        <f t="shared" si="23"/>
        <v>0</v>
      </c>
      <c r="U134" s="18">
        <f t="shared" si="24"/>
        <v>0</v>
      </c>
      <c r="V134" s="18">
        <f t="shared" si="25"/>
        <v>0</v>
      </c>
      <c r="W134" s="18">
        <f t="shared" si="27"/>
        <v>0</v>
      </c>
      <c r="X134" s="19">
        <f t="shared" si="26"/>
        <v>0</v>
      </c>
      <c r="Y134" s="20"/>
    </row>
    <row r="135" spans="1:25" ht="30" customHeight="1">
      <c r="A135" s="52"/>
      <c r="B135" s="53"/>
      <c r="C135" s="53"/>
      <c r="D135" s="53"/>
      <c r="E135" s="53"/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8">
        <f t="shared" si="22"/>
        <v>0</v>
      </c>
      <c r="T135" s="18">
        <f t="shared" si="23"/>
        <v>0</v>
      </c>
      <c r="U135" s="18">
        <f t="shared" si="24"/>
        <v>0</v>
      </c>
      <c r="V135" s="18">
        <f t="shared" si="25"/>
        <v>0</v>
      </c>
      <c r="W135" s="18">
        <f t="shared" si="27"/>
        <v>0</v>
      </c>
      <c r="X135" s="19">
        <f t="shared" si="26"/>
        <v>0</v>
      </c>
      <c r="Y135" s="20"/>
    </row>
    <row r="136" spans="1:25" ht="30" customHeight="1">
      <c r="A136" s="52"/>
      <c r="B136" s="53"/>
      <c r="C136" s="53"/>
      <c r="D136" s="53"/>
      <c r="E136" s="53"/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8">
        <f t="shared" si="22"/>
        <v>0</v>
      </c>
      <c r="T136" s="18">
        <f t="shared" si="23"/>
        <v>0</v>
      </c>
      <c r="U136" s="18">
        <f t="shared" si="24"/>
        <v>0</v>
      </c>
      <c r="V136" s="18">
        <f t="shared" si="25"/>
        <v>0</v>
      </c>
      <c r="W136" s="18">
        <f t="shared" si="27"/>
        <v>0</v>
      </c>
      <c r="X136" s="19">
        <f t="shared" si="26"/>
        <v>0</v>
      </c>
      <c r="Y136" s="20"/>
    </row>
    <row r="137" spans="1:25" ht="30" customHeight="1">
      <c r="A137" s="52"/>
      <c r="B137" s="53"/>
      <c r="C137" s="53"/>
      <c r="D137" s="53"/>
      <c r="E137" s="53"/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8">
        <f t="shared" si="22"/>
        <v>0</v>
      </c>
      <c r="T137" s="18">
        <f t="shared" si="23"/>
        <v>0</v>
      </c>
      <c r="U137" s="18">
        <f t="shared" si="24"/>
        <v>0</v>
      </c>
      <c r="V137" s="18">
        <f t="shared" si="25"/>
        <v>0</v>
      </c>
      <c r="W137" s="18">
        <f t="shared" si="27"/>
        <v>0</v>
      </c>
      <c r="X137" s="19">
        <f t="shared" si="26"/>
        <v>0</v>
      </c>
      <c r="Y137" s="20"/>
    </row>
    <row r="138" spans="1:25" ht="30" customHeight="1">
      <c r="A138" s="52"/>
      <c r="B138" s="53"/>
      <c r="C138" s="53"/>
      <c r="D138" s="53"/>
      <c r="E138" s="53"/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8">
        <f t="shared" si="22"/>
        <v>0</v>
      </c>
      <c r="T138" s="18">
        <f t="shared" si="23"/>
        <v>0</v>
      </c>
      <c r="U138" s="18">
        <f t="shared" si="24"/>
        <v>0</v>
      </c>
      <c r="V138" s="18">
        <f t="shared" si="25"/>
        <v>0</v>
      </c>
      <c r="W138" s="18">
        <f t="shared" si="27"/>
        <v>0</v>
      </c>
      <c r="X138" s="19">
        <f t="shared" si="26"/>
        <v>0</v>
      </c>
      <c r="Y138" s="20"/>
    </row>
    <row r="139" spans="1:25" ht="30" customHeight="1">
      <c r="A139" s="52"/>
      <c r="B139" s="53"/>
      <c r="C139" s="53"/>
      <c r="D139" s="53"/>
      <c r="E139" s="53"/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8">
        <f t="shared" si="22"/>
        <v>0</v>
      </c>
      <c r="T139" s="18">
        <f t="shared" si="23"/>
        <v>0</v>
      </c>
      <c r="U139" s="18">
        <f t="shared" si="24"/>
        <v>0</v>
      </c>
      <c r="V139" s="18">
        <f t="shared" si="25"/>
        <v>0</v>
      </c>
      <c r="W139" s="18">
        <f t="shared" si="27"/>
        <v>0</v>
      </c>
      <c r="X139" s="19">
        <f t="shared" si="26"/>
        <v>0</v>
      </c>
      <c r="Y139" s="20"/>
    </row>
    <row r="140" spans="1:25" ht="30" customHeight="1">
      <c r="A140" s="52"/>
      <c r="B140" s="53"/>
      <c r="C140" s="53"/>
      <c r="D140" s="53"/>
      <c r="E140" s="53"/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8">
        <f t="shared" si="22"/>
        <v>0</v>
      </c>
      <c r="T140" s="18">
        <f t="shared" si="23"/>
        <v>0</v>
      </c>
      <c r="U140" s="18">
        <f t="shared" si="24"/>
        <v>0</v>
      </c>
      <c r="V140" s="18">
        <f t="shared" si="25"/>
        <v>0</v>
      </c>
      <c r="W140" s="18">
        <f t="shared" si="27"/>
        <v>0</v>
      </c>
      <c r="X140" s="19">
        <f t="shared" si="26"/>
        <v>0</v>
      </c>
      <c r="Y140" s="20"/>
    </row>
    <row r="141" spans="1:25" ht="30" customHeight="1">
      <c r="A141" s="52"/>
      <c r="B141" s="53"/>
      <c r="C141" s="53"/>
      <c r="D141" s="53"/>
      <c r="E141" s="53"/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8">
        <f t="shared" si="22"/>
        <v>0</v>
      </c>
      <c r="T141" s="18">
        <f t="shared" si="23"/>
        <v>0</v>
      </c>
      <c r="U141" s="18">
        <f t="shared" si="24"/>
        <v>0</v>
      </c>
      <c r="V141" s="18">
        <f t="shared" si="25"/>
        <v>0</v>
      </c>
      <c r="W141" s="18">
        <f t="shared" si="27"/>
        <v>0</v>
      </c>
      <c r="X141" s="19">
        <f t="shared" si="26"/>
        <v>0</v>
      </c>
      <c r="Y141" s="20"/>
    </row>
    <row r="142" spans="1:25" ht="30" customHeight="1">
      <c r="A142" s="52"/>
      <c r="B142" s="53"/>
      <c r="C142" s="53"/>
      <c r="D142" s="53"/>
      <c r="E142" s="53"/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8">
        <f t="shared" si="22"/>
        <v>0</v>
      </c>
      <c r="T142" s="18">
        <f t="shared" si="23"/>
        <v>0</v>
      </c>
      <c r="U142" s="18">
        <f t="shared" si="24"/>
        <v>0</v>
      </c>
      <c r="V142" s="18">
        <f t="shared" si="25"/>
        <v>0</v>
      </c>
      <c r="W142" s="18">
        <f t="shared" si="27"/>
        <v>0</v>
      </c>
      <c r="X142" s="19">
        <f t="shared" si="26"/>
        <v>0</v>
      </c>
      <c r="Y142" s="20"/>
    </row>
    <row r="143" spans="1:25">
      <c r="A143" s="52"/>
      <c r="B143" s="53"/>
      <c r="C143" s="53"/>
      <c r="D143" s="53"/>
      <c r="E143" s="53"/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8">
        <f t="shared" si="22"/>
        <v>0</v>
      </c>
      <c r="T143" s="18">
        <f t="shared" si="23"/>
        <v>0</v>
      </c>
      <c r="U143" s="18">
        <f t="shared" si="24"/>
        <v>0</v>
      </c>
      <c r="V143" s="18">
        <f t="shared" si="25"/>
        <v>0</v>
      </c>
      <c r="W143" s="18">
        <f t="shared" si="27"/>
        <v>0</v>
      </c>
      <c r="X143" s="19">
        <f t="shared" si="26"/>
        <v>0</v>
      </c>
      <c r="Y143" s="20"/>
    </row>
    <row r="144" spans="1:25" ht="30" customHeight="1">
      <c r="A144" s="52"/>
      <c r="B144" s="53"/>
      <c r="C144" s="53"/>
      <c r="D144" s="53"/>
      <c r="E144" s="53"/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8">
        <f t="shared" si="22"/>
        <v>0</v>
      </c>
      <c r="T144" s="18">
        <f t="shared" si="23"/>
        <v>0</v>
      </c>
      <c r="U144" s="18">
        <f t="shared" si="24"/>
        <v>0</v>
      </c>
      <c r="V144" s="18">
        <f t="shared" si="25"/>
        <v>0</v>
      </c>
      <c r="W144" s="18">
        <f t="shared" si="27"/>
        <v>0</v>
      </c>
      <c r="X144" s="19">
        <f t="shared" si="26"/>
        <v>0</v>
      </c>
      <c r="Y144" s="20"/>
    </row>
    <row r="145" spans="1:25" ht="30" customHeight="1">
      <c r="A145" s="52"/>
      <c r="B145" s="53"/>
      <c r="C145" s="53"/>
      <c r="D145" s="53"/>
      <c r="E145" s="53"/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8">
        <f t="shared" si="22"/>
        <v>0</v>
      </c>
      <c r="T145" s="18">
        <f t="shared" si="23"/>
        <v>0</v>
      </c>
      <c r="U145" s="18">
        <f t="shared" si="24"/>
        <v>0</v>
      </c>
      <c r="V145" s="18">
        <f t="shared" si="25"/>
        <v>0</v>
      </c>
      <c r="W145" s="18">
        <f t="shared" si="27"/>
        <v>0</v>
      </c>
      <c r="X145" s="19">
        <f t="shared" si="26"/>
        <v>0</v>
      </c>
      <c r="Y145" s="20"/>
    </row>
    <row r="146" spans="1:25" ht="30" customHeight="1">
      <c r="A146" s="52"/>
      <c r="B146" s="53"/>
      <c r="C146" s="53"/>
      <c r="D146" s="53"/>
      <c r="E146" s="53"/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8">
        <f t="shared" si="22"/>
        <v>0</v>
      </c>
      <c r="T146" s="18">
        <f t="shared" si="23"/>
        <v>0</v>
      </c>
      <c r="U146" s="18">
        <f t="shared" si="24"/>
        <v>0</v>
      </c>
      <c r="V146" s="18">
        <f t="shared" si="25"/>
        <v>0</v>
      </c>
      <c r="W146" s="18">
        <f t="shared" si="27"/>
        <v>0</v>
      </c>
      <c r="X146" s="19">
        <f t="shared" si="26"/>
        <v>0</v>
      </c>
      <c r="Y146" s="20"/>
    </row>
    <row r="147" spans="1:25">
      <c r="A147" s="52"/>
      <c r="B147" s="53"/>
      <c r="C147" s="53"/>
      <c r="D147" s="53"/>
      <c r="E147" s="53"/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8">
        <f t="shared" si="22"/>
        <v>0</v>
      </c>
      <c r="T147" s="18">
        <f t="shared" si="23"/>
        <v>0</v>
      </c>
      <c r="U147" s="18">
        <f t="shared" si="24"/>
        <v>0</v>
      </c>
      <c r="V147" s="18">
        <f t="shared" si="25"/>
        <v>0</v>
      </c>
      <c r="W147" s="18">
        <f t="shared" si="27"/>
        <v>0</v>
      </c>
      <c r="X147" s="19">
        <f t="shared" si="26"/>
        <v>0</v>
      </c>
      <c r="Y147" s="20"/>
    </row>
    <row r="148" spans="1:25" ht="30" customHeight="1">
      <c r="A148" s="52"/>
      <c r="B148" s="53"/>
      <c r="C148" s="53"/>
      <c r="D148" s="53"/>
      <c r="E148" s="53"/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8">
        <f t="shared" si="22"/>
        <v>0</v>
      </c>
      <c r="T148" s="18">
        <f t="shared" si="23"/>
        <v>0</v>
      </c>
      <c r="U148" s="18">
        <f t="shared" si="24"/>
        <v>0</v>
      </c>
      <c r="V148" s="18">
        <f t="shared" si="25"/>
        <v>0</v>
      </c>
      <c r="W148" s="18">
        <f t="shared" si="27"/>
        <v>0</v>
      </c>
      <c r="X148" s="19">
        <f t="shared" si="26"/>
        <v>0</v>
      </c>
      <c r="Y148" s="20"/>
    </row>
    <row r="149" spans="1:25">
      <c r="A149" s="52"/>
      <c r="B149" s="53"/>
      <c r="C149" s="53"/>
      <c r="D149" s="53"/>
      <c r="E149" s="53"/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8">
        <f t="shared" si="22"/>
        <v>0</v>
      </c>
      <c r="T149" s="18">
        <f t="shared" si="23"/>
        <v>0</v>
      </c>
      <c r="U149" s="18">
        <f t="shared" si="24"/>
        <v>0</v>
      </c>
      <c r="V149" s="18">
        <f t="shared" si="25"/>
        <v>0</v>
      </c>
      <c r="W149" s="18">
        <f t="shared" si="27"/>
        <v>0</v>
      </c>
      <c r="X149" s="19">
        <f t="shared" si="26"/>
        <v>0</v>
      </c>
      <c r="Y149" s="20"/>
    </row>
    <row r="150" spans="1:25" ht="30" customHeight="1">
      <c r="A150" s="52"/>
      <c r="B150" s="53"/>
      <c r="C150" s="53"/>
      <c r="D150" s="53"/>
      <c r="E150" s="53"/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8">
        <f t="shared" si="22"/>
        <v>0</v>
      </c>
      <c r="T150" s="18">
        <f t="shared" si="23"/>
        <v>0</v>
      </c>
      <c r="U150" s="18">
        <f t="shared" si="24"/>
        <v>0</v>
      </c>
      <c r="V150" s="18">
        <f t="shared" si="25"/>
        <v>0</v>
      </c>
      <c r="W150" s="18">
        <f t="shared" si="27"/>
        <v>0</v>
      </c>
      <c r="X150" s="19">
        <f t="shared" si="26"/>
        <v>0</v>
      </c>
      <c r="Y150" s="20"/>
    </row>
    <row r="151" spans="1:25">
      <c r="A151" s="52"/>
      <c r="B151" s="55"/>
      <c r="C151" s="53"/>
      <c r="D151" s="53"/>
      <c r="E151" s="53"/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8">
        <f t="shared" si="22"/>
        <v>0</v>
      </c>
      <c r="T151" s="18">
        <f t="shared" si="23"/>
        <v>0</v>
      </c>
      <c r="U151" s="18">
        <f t="shared" si="24"/>
        <v>0</v>
      </c>
      <c r="V151" s="18">
        <f t="shared" si="25"/>
        <v>0</v>
      </c>
      <c r="W151" s="18">
        <f t="shared" si="27"/>
        <v>0</v>
      </c>
      <c r="X151" s="19">
        <f t="shared" si="26"/>
        <v>0</v>
      </c>
      <c r="Y151" s="20"/>
    </row>
    <row r="152" spans="1:25" ht="30" customHeight="1">
      <c r="A152" s="52"/>
      <c r="B152" s="56"/>
      <c r="C152" s="53"/>
      <c r="D152" s="53"/>
      <c r="E152" s="53"/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8">
        <f t="shared" si="22"/>
        <v>0</v>
      </c>
      <c r="T152" s="18">
        <f t="shared" si="23"/>
        <v>0</v>
      </c>
      <c r="U152" s="18">
        <f t="shared" si="24"/>
        <v>0</v>
      </c>
      <c r="V152" s="18">
        <f t="shared" si="25"/>
        <v>0</v>
      </c>
      <c r="W152" s="18">
        <f t="shared" si="27"/>
        <v>0</v>
      </c>
      <c r="X152" s="19">
        <f t="shared" si="26"/>
        <v>0</v>
      </c>
      <c r="Y152" s="20"/>
    </row>
    <row r="153" spans="1:25" ht="30" customHeight="1">
      <c r="A153" s="52"/>
      <c r="B153" s="53"/>
      <c r="C153" s="53"/>
      <c r="D153" s="53"/>
      <c r="E153" s="53"/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8">
        <f t="shared" si="22"/>
        <v>0</v>
      </c>
      <c r="T153" s="18">
        <f t="shared" si="23"/>
        <v>0</v>
      </c>
      <c r="U153" s="18">
        <f t="shared" si="24"/>
        <v>0</v>
      </c>
      <c r="V153" s="18">
        <f t="shared" si="25"/>
        <v>0</v>
      </c>
      <c r="W153" s="18">
        <f t="shared" si="27"/>
        <v>0</v>
      </c>
      <c r="X153" s="19">
        <f t="shared" si="26"/>
        <v>0</v>
      </c>
      <c r="Y153" s="20"/>
    </row>
    <row r="154" spans="1:25">
      <c r="A154" s="52"/>
      <c r="B154" s="53"/>
      <c r="C154" s="53"/>
      <c r="D154" s="53"/>
      <c r="E154" s="53"/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8">
        <f t="shared" si="22"/>
        <v>0</v>
      </c>
      <c r="T154" s="18">
        <f t="shared" si="23"/>
        <v>0</v>
      </c>
      <c r="U154" s="18">
        <f t="shared" si="24"/>
        <v>0</v>
      </c>
      <c r="V154" s="18">
        <f t="shared" si="25"/>
        <v>0</v>
      </c>
      <c r="W154" s="18">
        <f t="shared" si="27"/>
        <v>0</v>
      </c>
      <c r="X154" s="19">
        <f t="shared" si="26"/>
        <v>0</v>
      </c>
      <c r="Y154" s="20"/>
    </row>
    <row r="155" spans="1:25" ht="30" customHeight="1">
      <c r="A155" s="52"/>
      <c r="B155" s="53"/>
      <c r="C155" s="53"/>
      <c r="D155" s="53"/>
      <c r="E155" s="53"/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8">
        <f t="shared" si="22"/>
        <v>0</v>
      </c>
      <c r="T155" s="18">
        <f t="shared" si="23"/>
        <v>0</v>
      </c>
      <c r="U155" s="18">
        <f t="shared" si="24"/>
        <v>0</v>
      </c>
      <c r="V155" s="18">
        <f t="shared" si="25"/>
        <v>0</v>
      </c>
      <c r="W155" s="18">
        <f t="shared" si="27"/>
        <v>0</v>
      </c>
      <c r="X155" s="19">
        <f t="shared" si="26"/>
        <v>0</v>
      </c>
      <c r="Y155" s="20"/>
    </row>
    <row r="156" spans="1:25" ht="30" customHeight="1">
      <c r="A156" s="52"/>
      <c r="B156" s="53"/>
      <c r="C156" s="53"/>
      <c r="D156" s="53"/>
      <c r="E156" s="53"/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8">
        <f t="shared" si="22"/>
        <v>0</v>
      </c>
      <c r="T156" s="18">
        <f t="shared" si="23"/>
        <v>0</v>
      </c>
      <c r="U156" s="18">
        <f t="shared" si="24"/>
        <v>0</v>
      </c>
      <c r="V156" s="18">
        <f t="shared" si="25"/>
        <v>0</v>
      </c>
      <c r="W156" s="18">
        <f t="shared" si="27"/>
        <v>0</v>
      </c>
      <c r="X156" s="19">
        <f t="shared" si="26"/>
        <v>0</v>
      </c>
      <c r="Y156" s="20"/>
    </row>
    <row r="157" spans="1:25" ht="30" customHeight="1">
      <c r="A157" s="52"/>
      <c r="B157" s="53"/>
      <c r="C157" s="53"/>
      <c r="D157" s="53"/>
      <c r="E157" s="53"/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8">
        <f t="shared" si="22"/>
        <v>0</v>
      </c>
      <c r="T157" s="18">
        <f t="shared" si="23"/>
        <v>0</v>
      </c>
      <c r="U157" s="18">
        <f t="shared" si="24"/>
        <v>0</v>
      </c>
      <c r="V157" s="18">
        <f t="shared" si="25"/>
        <v>0</v>
      </c>
      <c r="W157" s="18">
        <f t="shared" si="27"/>
        <v>0</v>
      </c>
      <c r="X157" s="19">
        <f t="shared" si="26"/>
        <v>0</v>
      </c>
      <c r="Y157" s="20"/>
    </row>
    <row r="158" spans="1:25" ht="30" customHeight="1">
      <c r="A158" s="52"/>
      <c r="B158" s="53"/>
      <c r="C158" s="53"/>
      <c r="D158" s="53"/>
      <c r="E158" s="53"/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8">
        <f t="shared" si="22"/>
        <v>0</v>
      </c>
      <c r="T158" s="18">
        <f t="shared" si="23"/>
        <v>0</v>
      </c>
      <c r="U158" s="18">
        <f t="shared" si="24"/>
        <v>0</v>
      </c>
      <c r="V158" s="18">
        <f t="shared" si="25"/>
        <v>0</v>
      </c>
      <c r="W158" s="18">
        <f t="shared" si="27"/>
        <v>0</v>
      </c>
      <c r="X158" s="19">
        <f t="shared" si="26"/>
        <v>0</v>
      </c>
      <c r="Y158" s="20"/>
    </row>
    <row r="159" spans="1:25" ht="30" customHeight="1">
      <c r="A159" s="52"/>
      <c r="B159" s="53"/>
      <c r="C159" s="53"/>
      <c r="D159" s="53"/>
      <c r="E159" s="53"/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8">
        <f t="shared" si="22"/>
        <v>0</v>
      </c>
      <c r="T159" s="18">
        <f t="shared" si="23"/>
        <v>0</v>
      </c>
      <c r="U159" s="18">
        <f t="shared" si="24"/>
        <v>0</v>
      </c>
      <c r="V159" s="18">
        <f t="shared" si="25"/>
        <v>0</v>
      </c>
      <c r="W159" s="18">
        <f t="shared" si="27"/>
        <v>0</v>
      </c>
      <c r="X159" s="19">
        <f t="shared" si="26"/>
        <v>0</v>
      </c>
      <c r="Y159" s="20"/>
    </row>
    <row r="160" spans="1:25" ht="30" customHeight="1">
      <c r="A160" s="52"/>
      <c r="B160" s="53"/>
      <c r="C160" s="53"/>
      <c r="D160" s="53"/>
      <c r="E160" s="53"/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8">
        <f t="shared" si="22"/>
        <v>0</v>
      </c>
      <c r="T160" s="18">
        <f t="shared" si="23"/>
        <v>0</v>
      </c>
      <c r="U160" s="18">
        <f t="shared" si="24"/>
        <v>0</v>
      </c>
      <c r="V160" s="18">
        <f t="shared" si="25"/>
        <v>0</v>
      </c>
      <c r="W160" s="18">
        <f t="shared" si="27"/>
        <v>0</v>
      </c>
      <c r="X160" s="19">
        <f t="shared" si="26"/>
        <v>0</v>
      </c>
      <c r="Y160" s="20"/>
    </row>
    <row r="161" spans="1:25">
      <c r="A161" s="52"/>
      <c r="B161" s="53"/>
      <c r="C161" s="53"/>
      <c r="D161" s="53"/>
      <c r="E161" s="53"/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8">
        <f t="shared" ref="S161:S192" si="28">IF(SUM(F161:R161)&gt;0,1,0)</f>
        <v>0</v>
      </c>
      <c r="T161" s="18">
        <f t="shared" ref="T161:T192" si="29">IF(MAX(H161,J161,K161,L161,M161,N161,Q161)&gt;0,1,0)</f>
        <v>0</v>
      </c>
      <c r="U161" s="18">
        <f t="shared" ref="U161:U192" si="30">IF(MAX(F161,G161,I161,O161)&gt;0,1,0)</f>
        <v>0</v>
      </c>
      <c r="V161" s="18">
        <f t="shared" ref="V161:V192" si="31">IF(P161&gt;0,1,0)</f>
        <v>0</v>
      </c>
      <c r="W161" s="18">
        <f t="shared" si="27"/>
        <v>0</v>
      </c>
      <c r="X161" s="19">
        <f t="shared" ref="X161:X192" si="32">SUMPRODUCT((F161:R161=1)*0.3)+SUMPRODUCT((F161:R161=2)*0.7)+SUMPRODUCT((F161:R161=3)*1.5)</f>
        <v>0</v>
      </c>
      <c r="Y161" s="20"/>
    </row>
    <row r="162" spans="1:25" ht="30" customHeight="1">
      <c r="A162" s="52"/>
      <c r="B162" s="53"/>
      <c r="C162" s="53"/>
      <c r="D162" s="53"/>
      <c r="E162" s="53"/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8">
        <f t="shared" si="28"/>
        <v>0</v>
      </c>
      <c r="T162" s="18">
        <f t="shared" si="29"/>
        <v>0</v>
      </c>
      <c r="U162" s="18">
        <f t="shared" si="30"/>
        <v>0</v>
      </c>
      <c r="V162" s="18">
        <f t="shared" si="31"/>
        <v>0</v>
      </c>
      <c r="W162" s="18">
        <f t="shared" si="27"/>
        <v>0</v>
      </c>
      <c r="X162" s="19">
        <f t="shared" si="32"/>
        <v>0</v>
      </c>
      <c r="Y162" s="20"/>
    </row>
    <row r="163" spans="1:25" ht="30" customHeight="1">
      <c r="A163" s="52"/>
      <c r="B163" s="53"/>
      <c r="C163" s="53"/>
      <c r="D163" s="53"/>
      <c r="E163" s="53"/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8">
        <f t="shared" si="28"/>
        <v>0</v>
      </c>
      <c r="T163" s="18">
        <f t="shared" si="29"/>
        <v>0</v>
      </c>
      <c r="U163" s="18">
        <f t="shared" si="30"/>
        <v>0</v>
      </c>
      <c r="V163" s="18">
        <f t="shared" si="31"/>
        <v>0</v>
      </c>
      <c r="W163" s="18">
        <f t="shared" si="27"/>
        <v>0</v>
      </c>
      <c r="X163" s="19">
        <f t="shared" si="32"/>
        <v>0</v>
      </c>
      <c r="Y163" s="20"/>
    </row>
    <row r="164" spans="1:25">
      <c r="A164" s="52"/>
      <c r="B164" s="53"/>
      <c r="C164" s="53"/>
      <c r="D164" s="53"/>
      <c r="E164" s="53"/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8">
        <f t="shared" si="28"/>
        <v>0</v>
      </c>
      <c r="T164" s="18">
        <f t="shared" si="29"/>
        <v>0</v>
      </c>
      <c r="U164" s="18">
        <f t="shared" si="30"/>
        <v>0</v>
      </c>
      <c r="V164" s="18">
        <f t="shared" si="31"/>
        <v>0</v>
      </c>
      <c r="W164" s="18">
        <f t="shared" si="27"/>
        <v>0</v>
      </c>
      <c r="X164" s="19">
        <f t="shared" si="32"/>
        <v>0</v>
      </c>
      <c r="Y164" s="20"/>
    </row>
    <row r="165" spans="1:25" ht="30" customHeight="1">
      <c r="A165" s="52"/>
      <c r="B165" s="53"/>
      <c r="C165" s="53"/>
      <c r="D165" s="53"/>
      <c r="E165" s="53"/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8">
        <f t="shared" si="28"/>
        <v>0</v>
      </c>
      <c r="T165" s="18">
        <f t="shared" si="29"/>
        <v>0</v>
      </c>
      <c r="U165" s="18">
        <f t="shared" si="30"/>
        <v>0</v>
      </c>
      <c r="V165" s="18">
        <f t="shared" si="31"/>
        <v>0</v>
      </c>
      <c r="W165" s="18">
        <f t="shared" si="27"/>
        <v>0</v>
      </c>
      <c r="X165" s="19">
        <f t="shared" si="32"/>
        <v>0</v>
      </c>
      <c r="Y165" s="20"/>
    </row>
    <row r="166" spans="1:25" ht="30" customHeight="1">
      <c r="A166" s="52"/>
      <c r="B166" s="53"/>
      <c r="C166" s="53"/>
      <c r="D166" s="53"/>
      <c r="E166" s="53"/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8">
        <f t="shared" si="28"/>
        <v>0</v>
      </c>
      <c r="T166" s="18">
        <f t="shared" si="29"/>
        <v>0</v>
      </c>
      <c r="U166" s="18">
        <f t="shared" si="30"/>
        <v>0</v>
      </c>
      <c r="V166" s="18">
        <f t="shared" si="31"/>
        <v>0</v>
      </c>
      <c r="W166" s="18">
        <f t="shared" si="27"/>
        <v>0</v>
      </c>
      <c r="X166" s="19">
        <f t="shared" si="32"/>
        <v>0</v>
      </c>
      <c r="Y166" s="20"/>
    </row>
    <row r="167" spans="1:25" ht="30" customHeight="1">
      <c r="A167" s="52"/>
      <c r="B167" s="53"/>
      <c r="C167" s="53"/>
      <c r="D167" s="53"/>
      <c r="E167" s="53"/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8">
        <f t="shared" si="28"/>
        <v>0</v>
      </c>
      <c r="T167" s="18">
        <f t="shared" si="29"/>
        <v>0</v>
      </c>
      <c r="U167" s="18">
        <f t="shared" si="30"/>
        <v>0</v>
      </c>
      <c r="V167" s="18">
        <f t="shared" si="31"/>
        <v>0</v>
      </c>
      <c r="W167" s="18">
        <f t="shared" si="27"/>
        <v>0</v>
      </c>
      <c r="X167" s="19">
        <f t="shared" si="32"/>
        <v>0</v>
      </c>
      <c r="Y167" s="20"/>
    </row>
    <row r="168" spans="1:25" ht="30" customHeight="1">
      <c r="A168" s="52"/>
      <c r="B168" s="53"/>
      <c r="C168" s="53"/>
      <c r="D168" s="53"/>
      <c r="E168" s="53"/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8">
        <f t="shared" si="28"/>
        <v>0</v>
      </c>
      <c r="T168" s="18">
        <f t="shared" si="29"/>
        <v>0</v>
      </c>
      <c r="U168" s="18">
        <f t="shared" si="30"/>
        <v>0</v>
      </c>
      <c r="V168" s="18">
        <f t="shared" si="31"/>
        <v>0</v>
      </c>
      <c r="W168" s="18">
        <f t="shared" si="27"/>
        <v>0</v>
      </c>
      <c r="X168" s="19">
        <f t="shared" si="32"/>
        <v>0</v>
      </c>
      <c r="Y168" s="20"/>
    </row>
    <row r="169" spans="1:25" ht="30" customHeight="1">
      <c r="A169" s="52"/>
      <c r="B169" s="53"/>
      <c r="C169" s="53"/>
      <c r="D169" s="53"/>
      <c r="E169" s="53"/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8">
        <f t="shared" si="28"/>
        <v>0</v>
      </c>
      <c r="T169" s="18">
        <f t="shared" si="29"/>
        <v>0</v>
      </c>
      <c r="U169" s="18">
        <f t="shared" si="30"/>
        <v>0</v>
      </c>
      <c r="V169" s="18">
        <f t="shared" si="31"/>
        <v>0</v>
      </c>
      <c r="W169" s="18">
        <f t="shared" si="27"/>
        <v>0</v>
      </c>
      <c r="X169" s="19">
        <f t="shared" si="32"/>
        <v>0</v>
      </c>
      <c r="Y169" s="20"/>
    </row>
    <row r="170" spans="1:25">
      <c r="A170" s="52"/>
      <c r="B170" s="53"/>
      <c r="C170" s="53"/>
      <c r="D170" s="53"/>
      <c r="E170" s="53"/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8">
        <f t="shared" si="28"/>
        <v>0</v>
      </c>
      <c r="T170" s="18">
        <f t="shared" si="29"/>
        <v>0</v>
      </c>
      <c r="U170" s="18">
        <f t="shared" si="30"/>
        <v>0</v>
      </c>
      <c r="V170" s="18">
        <f t="shared" si="31"/>
        <v>0</v>
      </c>
      <c r="W170" s="18">
        <f t="shared" si="27"/>
        <v>0</v>
      </c>
      <c r="X170" s="19">
        <f t="shared" si="32"/>
        <v>0</v>
      </c>
      <c r="Y170" s="20"/>
    </row>
    <row r="171" spans="1:25">
      <c r="A171" s="52"/>
      <c r="B171" s="53"/>
      <c r="C171" s="53"/>
      <c r="D171" s="53"/>
      <c r="E171" s="53"/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8">
        <f t="shared" si="28"/>
        <v>0</v>
      </c>
      <c r="T171" s="18">
        <f t="shared" si="29"/>
        <v>0</v>
      </c>
      <c r="U171" s="18">
        <f t="shared" si="30"/>
        <v>0</v>
      </c>
      <c r="V171" s="18">
        <f t="shared" si="31"/>
        <v>0</v>
      </c>
      <c r="W171" s="18">
        <f t="shared" si="27"/>
        <v>0</v>
      </c>
      <c r="X171" s="19">
        <f t="shared" si="32"/>
        <v>0</v>
      </c>
      <c r="Y171" s="20"/>
    </row>
    <row r="172" spans="1:25">
      <c r="A172" s="52"/>
      <c r="B172" s="53"/>
      <c r="C172" s="53"/>
      <c r="D172" s="53"/>
      <c r="E172" s="53"/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8">
        <f t="shared" si="28"/>
        <v>0</v>
      </c>
      <c r="T172" s="18">
        <f t="shared" si="29"/>
        <v>0</v>
      </c>
      <c r="U172" s="18">
        <f t="shared" si="30"/>
        <v>0</v>
      </c>
      <c r="V172" s="18">
        <f t="shared" si="31"/>
        <v>0</v>
      </c>
      <c r="W172" s="18">
        <f t="shared" si="27"/>
        <v>0</v>
      </c>
      <c r="X172" s="19">
        <f t="shared" si="32"/>
        <v>0</v>
      </c>
      <c r="Y172" s="20"/>
    </row>
    <row r="173" spans="1:25">
      <c r="A173" s="52"/>
      <c r="B173" s="53"/>
      <c r="C173" s="53"/>
      <c r="D173" s="53"/>
      <c r="E173" s="53"/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8">
        <f t="shared" si="28"/>
        <v>0</v>
      </c>
      <c r="T173" s="18">
        <f t="shared" si="29"/>
        <v>0</v>
      </c>
      <c r="U173" s="18">
        <f t="shared" si="30"/>
        <v>0</v>
      </c>
      <c r="V173" s="18">
        <f t="shared" si="31"/>
        <v>0</v>
      </c>
      <c r="W173" s="18">
        <f t="shared" si="27"/>
        <v>0</v>
      </c>
      <c r="X173" s="19">
        <f t="shared" si="32"/>
        <v>0</v>
      </c>
      <c r="Y173" s="20"/>
    </row>
    <row r="174" spans="1:25" ht="30" customHeight="1">
      <c r="A174" s="52"/>
      <c r="B174" s="53"/>
      <c r="C174" s="53"/>
      <c r="D174" s="53"/>
      <c r="E174" s="53"/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8">
        <f t="shared" si="28"/>
        <v>0</v>
      </c>
      <c r="T174" s="18">
        <f t="shared" si="29"/>
        <v>0</v>
      </c>
      <c r="U174" s="18">
        <f t="shared" si="30"/>
        <v>0</v>
      </c>
      <c r="V174" s="18">
        <f t="shared" si="31"/>
        <v>0</v>
      </c>
      <c r="W174" s="18">
        <f t="shared" si="27"/>
        <v>0</v>
      </c>
      <c r="X174" s="19">
        <f t="shared" si="32"/>
        <v>0</v>
      </c>
      <c r="Y174" s="20"/>
    </row>
    <row r="175" spans="1:25" ht="30" customHeight="1">
      <c r="A175" s="52"/>
      <c r="B175" s="53"/>
      <c r="C175" s="53"/>
      <c r="D175" s="53"/>
      <c r="E175" s="53"/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8">
        <f t="shared" si="28"/>
        <v>0</v>
      </c>
      <c r="T175" s="18">
        <f t="shared" si="29"/>
        <v>0</v>
      </c>
      <c r="U175" s="18">
        <f t="shared" si="30"/>
        <v>0</v>
      </c>
      <c r="V175" s="18">
        <f t="shared" si="31"/>
        <v>0</v>
      </c>
      <c r="W175" s="18">
        <f t="shared" si="27"/>
        <v>0</v>
      </c>
      <c r="X175" s="19">
        <f t="shared" si="32"/>
        <v>0</v>
      </c>
      <c r="Y175" s="20"/>
    </row>
    <row r="176" spans="1:25" ht="30" customHeight="1">
      <c r="A176" s="52"/>
      <c r="B176" s="53"/>
      <c r="C176" s="53"/>
      <c r="D176" s="53"/>
      <c r="E176" s="53"/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8">
        <f t="shared" si="28"/>
        <v>0</v>
      </c>
      <c r="T176" s="18">
        <f t="shared" si="29"/>
        <v>0</v>
      </c>
      <c r="U176" s="18">
        <f t="shared" si="30"/>
        <v>0</v>
      </c>
      <c r="V176" s="18">
        <f t="shared" si="31"/>
        <v>0</v>
      </c>
      <c r="W176" s="18">
        <f t="shared" si="27"/>
        <v>0</v>
      </c>
      <c r="X176" s="19">
        <f t="shared" si="32"/>
        <v>0</v>
      </c>
      <c r="Y176" s="20"/>
    </row>
    <row r="177" spans="1:25" ht="30" customHeight="1">
      <c r="A177" s="52"/>
      <c r="B177" s="53"/>
      <c r="C177" s="53"/>
      <c r="D177" s="53"/>
      <c r="E177" s="53"/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8">
        <f t="shared" si="28"/>
        <v>0</v>
      </c>
      <c r="T177" s="18">
        <f t="shared" si="29"/>
        <v>0</v>
      </c>
      <c r="U177" s="18">
        <f t="shared" si="30"/>
        <v>0</v>
      </c>
      <c r="V177" s="18">
        <f t="shared" si="31"/>
        <v>0</v>
      </c>
      <c r="W177" s="18">
        <f t="shared" si="27"/>
        <v>0</v>
      </c>
      <c r="X177" s="19">
        <f t="shared" si="32"/>
        <v>0</v>
      </c>
      <c r="Y177" s="20"/>
    </row>
    <row r="178" spans="1:25" ht="30" customHeight="1">
      <c r="A178" s="52"/>
      <c r="B178" s="53"/>
      <c r="C178" s="53"/>
      <c r="D178" s="53"/>
      <c r="E178" s="53"/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8">
        <f t="shared" si="28"/>
        <v>0</v>
      </c>
      <c r="T178" s="18">
        <f t="shared" si="29"/>
        <v>0</v>
      </c>
      <c r="U178" s="18">
        <f t="shared" si="30"/>
        <v>0</v>
      </c>
      <c r="V178" s="18">
        <f t="shared" si="31"/>
        <v>0</v>
      </c>
      <c r="W178" s="18">
        <f t="shared" si="27"/>
        <v>0</v>
      </c>
      <c r="X178" s="19">
        <f t="shared" si="32"/>
        <v>0</v>
      </c>
      <c r="Y178" s="20"/>
    </row>
    <row r="179" spans="1:25" ht="30" customHeight="1">
      <c r="A179" s="52"/>
      <c r="B179" s="53"/>
      <c r="C179" s="53"/>
      <c r="D179" s="53"/>
      <c r="E179" s="53"/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8">
        <f t="shared" si="28"/>
        <v>0</v>
      </c>
      <c r="T179" s="18">
        <f t="shared" si="29"/>
        <v>0</v>
      </c>
      <c r="U179" s="18">
        <f t="shared" si="30"/>
        <v>0</v>
      </c>
      <c r="V179" s="18">
        <f t="shared" si="31"/>
        <v>0</v>
      </c>
      <c r="W179" s="18">
        <f t="shared" si="27"/>
        <v>0</v>
      </c>
      <c r="X179" s="19">
        <f t="shared" si="32"/>
        <v>0</v>
      </c>
      <c r="Y179" s="20"/>
    </row>
    <row r="180" spans="1:25" ht="30" customHeight="1">
      <c r="A180" s="52"/>
      <c r="B180" s="53"/>
      <c r="C180" s="53"/>
      <c r="D180" s="53"/>
      <c r="E180" s="53"/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8">
        <f t="shared" si="28"/>
        <v>0</v>
      </c>
      <c r="T180" s="18">
        <f t="shared" si="29"/>
        <v>0</v>
      </c>
      <c r="U180" s="18">
        <f t="shared" si="30"/>
        <v>0</v>
      </c>
      <c r="V180" s="18">
        <f t="shared" si="31"/>
        <v>0</v>
      </c>
      <c r="W180" s="18">
        <f t="shared" si="27"/>
        <v>0</v>
      </c>
      <c r="X180" s="19">
        <f t="shared" si="32"/>
        <v>0</v>
      </c>
      <c r="Y180" s="20"/>
    </row>
    <row r="181" spans="1:25" ht="30" customHeight="1">
      <c r="A181" s="52"/>
      <c r="B181" s="53"/>
      <c r="C181" s="53"/>
      <c r="D181" s="53"/>
      <c r="E181" s="53"/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8">
        <f t="shared" si="28"/>
        <v>0</v>
      </c>
      <c r="T181" s="18">
        <f t="shared" si="29"/>
        <v>0</v>
      </c>
      <c r="U181" s="18">
        <f t="shared" si="30"/>
        <v>0</v>
      </c>
      <c r="V181" s="18">
        <f t="shared" si="31"/>
        <v>0</v>
      </c>
      <c r="W181" s="18">
        <f t="shared" si="27"/>
        <v>0</v>
      </c>
      <c r="X181" s="19">
        <f t="shared" si="32"/>
        <v>0</v>
      </c>
      <c r="Y181" s="20"/>
    </row>
    <row r="182" spans="1:25" ht="30" customHeight="1">
      <c r="A182" s="52"/>
      <c r="B182" s="53"/>
      <c r="C182" s="53"/>
      <c r="D182" s="53"/>
      <c r="E182" s="53"/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8">
        <f t="shared" si="28"/>
        <v>0</v>
      </c>
      <c r="T182" s="18">
        <f t="shared" si="29"/>
        <v>0</v>
      </c>
      <c r="U182" s="18">
        <f t="shared" si="30"/>
        <v>0</v>
      </c>
      <c r="V182" s="18">
        <f t="shared" si="31"/>
        <v>0</v>
      </c>
      <c r="W182" s="18">
        <f t="shared" si="27"/>
        <v>0</v>
      </c>
      <c r="X182" s="19">
        <f t="shared" si="32"/>
        <v>0</v>
      </c>
      <c r="Y182" s="20"/>
    </row>
    <row r="183" spans="1:25">
      <c r="A183" s="52"/>
      <c r="B183" s="53"/>
      <c r="C183" s="53"/>
      <c r="D183" s="53"/>
      <c r="E183" s="53"/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8">
        <f t="shared" si="28"/>
        <v>0</v>
      </c>
      <c r="T183" s="18">
        <f t="shared" si="29"/>
        <v>0</v>
      </c>
      <c r="U183" s="18">
        <f t="shared" si="30"/>
        <v>0</v>
      </c>
      <c r="V183" s="18">
        <f t="shared" si="31"/>
        <v>0</v>
      </c>
      <c r="W183" s="18">
        <f t="shared" si="27"/>
        <v>0</v>
      </c>
      <c r="X183" s="19">
        <f t="shared" si="32"/>
        <v>0</v>
      </c>
      <c r="Y183" s="20"/>
    </row>
    <row r="184" spans="1:25" ht="30" customHeight="1">
      <c r="A184" s="52"/>
      <c r="B184" s="53"/>
      <c r="C184" s="53"/>
      <c r="D184" s="53"/>
      <c r="E184" s="53"/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8">
        <f t="shared" si="28"/>
        <v>0</v>
      </c>
      <c r="T184" s="18">
        <f t="shared" si="29"/>
        <v>0</v>
      </c>
      <c r="U184" s="18">
        <f t="shared" si="30"/>
        <v>0</v>
      </c>
      <c r="V184" s="18">
        <f t="shared" si="31"/>
        <v>0</v>
      </c>
      <c r="W184" s="18">
        <f t="shared" si="27"/>
        <v>0</v>
      </c>
      <c r="X184" s="19">
        <f t="shared" si="32"/>
        <v>0</v>
      </c>
      <c r="Y184" s="20"/>
    </row>
    <row r="185" spans="1:25">
      <c r="A185" s="52"/>
      <c r="B185" s="53"/>
      <c r="C185" s="53"/>
      <c r="D185" s="53"/>
      <c r="E185" s="53"/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8">
        <f t="shared" si="28"/>
        <v>0</v>
      </c>
      <c r="T185" s="18">
        <f t="shared" si="29"/>
        <v>0</v>
      </c>
      <c r="U185" s="18">
        <f t="shared" si="30"/>
        <v>0</v>
      </c>
      <c r="V185" s="18">
        <f t="shared" si="31"/>
        <v>0</v>
      </c>
      <c r="W185" s="18">
        <f t="shared" si="27"/>
        <v>0</v>
      </c>
      <c r="X185" s="19">
        <f t="shared" si="32"/>
        <v>0</v>
      </c>
      <c r="Y185" s="20"/>
    </row>
    <row r="186" spans="1:25">
      <c r="A186" s="52"/>
      <c r="B186" s="53"/>
      <c r="C186" s="53"/>
      <c r="D186" s="53"/>
      <c r="E186" s="53"/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8">
        <f t="shared" si="28"/>
        <v>0</v>
      </c>
      <c r="T186" s="18">
        <f t="shared" si="29"/>
        <v>0</v>
      </c>
      <c r="U186" s="18">
        <f t="shared" si="30"/>
        <v>0</v>
      </c>
      <c r="V186" s="18">
        <f t="shared" si="31"/>
        <v>0</v>
      </c>
      <c r="W186" s="18">
        <f t="shared" si="27"/>
        <v>0</v>
      </c>
      <c r="X186" s="19">
        <f t="shared" si="32"/>
        <v>0</v>
      </c>
      <c r="Y186" s="20"/>
    </row>
    <row r="187" spans="1:25">
      <c r="A187" s="52"/>
      <c r="B187" s="53"/>
      <c r="C187" s="53"/>
      <c r="D187" s="53"/>
      <c r="E187" s="53"/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8">
        <f t="shared" si="28"/>
        <v>0</v>
      </c>
      <c r="T187" s="18">
        <f t="shared" si="29"/>
        <v>0</v>
      </c>
      <c r="U187" s="18">
        <f t="shared" si="30"/>
        <v>0</v>
      </c>
      <c r="V187" s="18">
        <f t="shared" si="31"/>
        <v>0</v>
      </c>
      <c r="W187" s="18">
        <f t="shared" si="27"/>
        <v>0</v>
      </c>
      <c r="X187" s="19">
        <f t="shared" si="32"/>
        <v>0</v>
      </c>
      <c r="Y187" s="20"/>
    </row>
    <row r="188" spans="1:25">
      <c r="A188" s="52"/>
      <c r="B188" s="53"/>
      <c r="C188" s="53"/>
      <c r="D188" s="53"/>
      <c r="E188" s="53"/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8">
        <f t="shared" si="28"/>
        <v>0</v>
      </c>
      <c r="T188" s="18">
        <f t="shared" si="29"/>
        <v>0</v>
      </c>
      <c r="U188" s="18">
        <f t="shared" si="30"/>
        <v>0</v>
      </c>
      <c r="V188" s="18">
        <f t="shared" si="31"/>
        <v>0</v>
      </c>
      <c r="W188" s="18">
        <f t="shared" si="27"/>
        <v>0</v>
      </c>
      <c r="X188" s="19">
        <f t="shared" si="32"/>
        <v>0</v>
      </c>
      <c r="Y188" s="20"/>
    </row>
    <row r="189" spans="1:25">
      <c r="A189" s="52"/>
      <c r="B189" s="53"/>
      <c r="C189" s="53"/>
      <c r="D189" s="53"/>
      <c r="E189" s="53"/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8">
        <f t="shared" si="28"/>
        <v>0</v>
      </c>
      <c r="T189" s="18">
        <f t="shared" si="29"/>
        <v>0</v>
      </c>
      <c r="U189" s="18">
        <f t="shared" si="30"/>
        <v>0</v>
      </c>
      <c r="V189" s="18">
        <f t="shared" si="31"/>
        <v>0</v>
      </c>
      <c r="W189" s="18">
        <f t="shared" si="27"/>
        <v>0</v>
      </c>
      <c r="X189" s="19">
        <f t="shared" si="32"/>
        <v>0</v>
      </c>
      <c r="Y189" s="20"/>
    </row>
    <row r="190" spans="1:25">
      <c r="A190" s="52"/>
      <c r="B190" s="53"/>
      <c r="C190" s="53"/>
      <c r="D190" s="53"/>
      <c r="E190" s="53"/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8">
        <f t="shared" si="28"/>
        <v>0</v>
      </c>
      <c r="T190" s="18">
        <f t="shared" si="29"/>
        <v>0</v>
      </c>
      <c r="U190" s="18">
        <f t="shared" si="30"/>
        <v>0</v>
      </c>
      <c r="V190" s="18">
        <f t="shared" si="31"/>
        <v>0</v>
      </c>
      <c r="W190" s="18">
        <f t="shared" si="27"/>
        <v>0</v>
      </c>
      <c r="X190" s="19">
        <f t="shared" si="32"/>
        <v>0</v>
      </c>
      <c r="Y190" s="20"/>
    </row>
    <row r="191" spans="1:25" ht="30" customHeight="1">
      <c r="A191" s="52"/>
      <c r="B191" s="53"/>
      <c r="C191" s="53"/>
      <c r="D191" s="53"/>
      <c r="E191" s="53"/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8">
        <f t="shared" si="28"/>
        <v>0</v>
      </c>
      <c r="T191" s="18">
        <f t="shared" si="29"/>
        <v>0</v>
      </c>
      <c r="U191" s="18">
        <f t="shared" si="30"/>
        <v>0</v>
      </c>
      <c r="V191" s="18">
        <f t="shared" si="31"/>
        <v>0</v>
      </c>
      <c r="W191" s="18">
        <f t="shared" si="27"/>
        <v>0</v>
      </c>
      <c r="X191" s="19">
        <f t="shared" si="32"/>
        <v>0</v>
      </c>
      <c r="Y191" s="20"/>
    </row>
    <row r="192" spans="1:25" ht="30" customHeight="1">
      <c r="A192" s="52"/>
      <c r="B192" s="53"/>
      <c r="C192" s="53"/>
      <c r="D192" s="53"/>
      <c r="E192" s="53"/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8">
        <f t="shared" si="28"/>
        <v>0</v>
      </c>
      <c r="T192" s="18">
        <f t="shared" si="29"/>
        <v>0</v>
      </c>
      <c r="U192" s="18">
        <f t="shared" si="30"/>
        <v>0</v>
      </c>
      <c r="V192" s="18">
        <f t="shared" si="31"/>
        <v>0</v>
      </c>
      <c r="W192" s="18">
        <f t="shared" si="27"/>
        <v>0</v>
      </c>
      <c r="X192" s="19">
        <f t="shared" si="32"/>
        <v>0</v>
      </c>
      <c r="Y192" s="20"/>
    </row>
    <row r="193" spans="1:25" ht="30" customHeight="1">
      <c r="A193" s="52"/>
      <c r="B193" s="53"/>
      <c r="C193" s="53"/>
      <c r="D193" s="53"/>
      <c r="E193" s="53"/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8">
        <f t="shared" ref="S193:S200" si="33">IF(SUM(F193:R193)&gt;0,1,0)</f>
        <v>0</v>
      </c>
      <c r="T193" s="18">
        <f t="shared" ref="T193:T200" si="34">IF(MAX(H193,J193,K193,L193,M193,N193,Q193)&gt;0,1,0)</f>
        <v>0</v>
      </c>
      <c r="U193" s="18">
        <f t="shared" ref="U193:U200" si="35">IF(MAX(F193,G193,I193,O193)&gt;0,1,0)</f>
        <v>0</v>
      </c>
      <c r="V193" s="18">
        <f t="shared" ref="V193:V200" si="36">IF(P193&gt;0,1,0)</f>
        <v>0</v>
      </c>
      <c r="W193" s="18">
        <f t="shared" si="27"/>
        <v>0</v>
      </c>
      <c r="X193" s="19">
        <f t="shared" ref="X193:X200" si="37">SUMPRODUCT((F193:R193=1)*0.3)+SUMPRODUCT((F193:R193=2)*0.7)+SUMPRODUCT((F193:R193=3)*1.5)</f>
        <v>0</v>
      </c>
      <c r="Y193" s="20"/>
    </row>
    <row r="194" spans="1:25">
      <c r="A194" s="52"/>
      <c r="B194" s="53"/>
      <c r="C194" s="53"/>
      <c r="D194" s="53"/>
      <c r="E194" s="53"/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8">
        <f t="shared" si="33"/>
        <v>0</v>
      </c>
      <c r="T194" s="18">
        <f t="shared" si="34"/>
        <v>0</v>
      </c>
      <c r="U194" s="18">
        <f t="shared" si="35"/>
        <v>0</v>
      </c>
      <c r="V194" s="18">
        <f t="shared" si="36"/>
        <v>0</v>
      </c>
      <c r="W194" s="18">
        <f t="shared" si="27"/>
        <v>0</v>
      </c>
      <c r="X194" s="19">
        <f t="shared" si="37"/>
        <v>0</v>
      </c>
      <c r="Y194" s="20"/>
    </row>
    <row r="195" spans="1:25">
      <c r="A195" s="52"/>
      <c r="B195" s="53"/>
      <c r="C195" s="53"/>
      <c r="D195" s="53"/>
      <c r="E195" s="53"/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8">
        <f t="shared" si="33"/>
        <v>0</v>
      </c>
      <c r="T195" s="18">
        <f t="shared" si="34"/>
        <v>0</v>
      </c>
      <c r="U195" s="18">
        <f t="shared" si="35"/>
        <v>0</v>
      </c>
      <c r="V195" s="18">
        <f t="shared" si="36"/>
        <v>0</v>
      </c>
      <c r="W195" s="18">
        <f t="shared" ref="W195:W203" si="38">IF(AND(B195&lt;&gt;"",S195=0),1,0)</f>
        <v>0</v>
      </c>
      <c r="X195" s="19">
        <f t="shared" si="37"/>
        <v>0</v>
      </c>
      <c r="Y195" s="20"/>
    </row>
    <row r="196" spans="1:25">
      <c r="A196" s="52"/>
      <c r="B196" s="53"/>
      <c r="C196" s="53"/>
      <c r="D196" s="53"/>
      <c r="E196" s="53"/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8">
        <f t="shared" si="33"/>
        <v>0</v>
      </c>
      <c r="T196" s="18">
        <f t="shared" si="34"/>
        <v>0</v>
      </c>
      <c r="U196" s="18">
        <f t="shared" si="35"/>
        <v>0</v>
      </c>
      <c r="V196" s="18">
        <f t="shared" si="36"/>
        <v>0</v>
      </c>
      <c r="W196" s="18">
        <f t="shared" si="38"/>
        <v>0</v>
      </c>
      <c r="X196" s="19">
        <f t="shared" si="37"/>
        <v>0</v>
      </c>
      <c r="Y196" s="20"/>
    </row>
    <row r="197" spans="1:25" ht="30" customHeight="1">
      <c r="A197" s="52"/>
      <c r="B197" s="53"/>
      <c r="C197" s="53"/>
      <c r="D197" s="53"/>
      <c r="E197" s="53"/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8">
        <f t="shared" si="33"/>
        <v>0</v>
      </c>
      <c r="T197" s="18">
        <f t="shared" si="34"/>
        <v>0</v>
      </c>
      <c r="U197" s="18">
        <f t="shared" si="35"/>
        <v>0</v>
      </c>
      <c r="V197" s="18">
        <f t="shared" si="36"/>
        <v>0</v>
      </c>
      <c r="W197" s="18">
        <f t="shared" si="38"/>
        <v>0</v>
      </c>
      <c r="X197" s="19">
        <f t="shared" si="37"/>
        <v>0</v>
      </c>
      <c r="Y197" s="20"/>
    </row>
    <row r="198" spans="1:25" ht="30" customHeight="1">
      <c r="A198" s="52"/>
      <c r="B198" s="53"/>
      <c r="C198" s="53"/>
      <c r="D198" s="53"/>
      <c r="E198" s="53"/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8">
        <f t="shared" si="33"/>
        <v>0</v>
      </c>
      <c r="T198" s="18">
        <f t="shared" si="34"/>
        <v>0</v>
      </c>
      <c r="U198" s="18">
        <f t="shared" si="35"/>
        <v>0</v>
      </c>
      <c r="V198" s="18">
        <f t="shared" si="36"/>
        <v>0</v>
      </c>
      <c r="W198" s="18">
        <f t="shared" si="38"/>
        <v>0</v>
      </c>
      <c r="X198" s="19">
        <f t="shared" si="37"/>
        <v>0</v>
      </c>
      <c r="Y198" s="20"/>
    </row>
    <row r="199" spans="1:25" ht="30" customHeight="1">
      <c r="A199" s="52"/>
      <c r="B199" s="53"/>
      <c r="C199" s="53"/>
      <c r="D199" s="53"/>
      <c r="E199" s="53"/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8">
        <f t="shared" si="33"/>
        <v>0</v>
      </c>
      <c r="T199" s="18">
        <f t="shared" si="34"/>
        <v>0</v>
      </c>
      <c r="U199" s="18">
        <f t="shared" si="35"/>
        <v>0</v>
      </c>
      <c r="V199" s="18">
        <f t="shared" si="36"/>
        <v>0</v>
      </c>
      <c r="W199" s="18">
        <f t="shared" si="38"/>
        <v>0</v>
      </c>
      <c r="X199" s="19">
        <f t="shared" si="37"/>
        <v>0</v>
      </c>
      <c r="Y199" s="20"/>
    </row>
    <row r="200" spans="1:25" ht="30" customHeight="1">
      <c r="A200" s="52"/>
      <c r="B200" s="53"/>
      <c r="C200" s="53"/>
      <c r="D200" s="53"/>
      <c r="E200" s="53"/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8">
        <f t="shared" si="33"/>
        <v>0</v>
      </c>
      <c r="T200" s="18">
        <f t="shared" si="34"/>
        <v>0</v>
      </c>
      <c r="U200" s="18">
        <f t="shared" si="35"/>
        <v>0</v>
      </c>
      <c r="V200" s="18">
        <f t="shared" si="36"/>
        <v>0</v>
      </c>
      <c r="W200" s="18">
        <f t="shared" si="38"/>
        <v>0</v>
      </c>
      <c r="X200" s="19">
        <f t="shared" si="37"/>
        <v>0</v>
      </c>
      <c r="Y200" s="20"/>
    </row>
    <row r="201" spans="1:25">
      <c r="A201" s="52"/>
      <c r="B201" s="53"/>
      <c r="C201" s="53"/>
      <c r="D201" s="53"/>
      <c r="E201" s="53"/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8">
        <f t="shared" ref="S201:S203" si="39">IF(SUM(F201:R201)&gt;0,1,0)</f>
        <v>0</v>
      </c>
      <c r="T201" s="18">
        <f t="shared" ref="T201:T203" si="40">IF(MAX(H201,J201,K201,L201,M201,N201,Q201)&gt;0,1,0)</f>
        <v>0</v>
      </c>
      <c r="U201" s="18">
        <f t="shared" ref="U201:U203" si="41">IF(MAX(F201,G201,I201,O201)&gt;0,1,0)</f>
        <v>0</v>
      </c>
      <c r="V201" s="18">
        <f t="shared" ref="V201:V203" si="42">IF(P201&gt;0,1,0)</f>
        <v>0</v>
      </c>
      <c r="W201" s="18">
        <f t="shared" si="38"/>
        <v>0</v>
      </c>
      <c r="X201" s="19">
        <f t="shared" ref="X201:X203" si="43">SUMPRODUCT((F201:R201=1)*0.3)+SUMPRODUCT((F201:R201=2)*0.7)+SUMPRODUCT((F201:R201=3)*1.5)</f>
        <v>0</v>
      </c>
      <c r="Y201" s="20"/>
    </row>
    <row r="202" spans="1:25">
      <c r="A202" s="52"/>
      <c r="B202" s="53"/>
      <c r="C202" s="53"/>
      <c r="D202" s="53"/>
      <c r="E202" s="53"/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8">
        <f t="shared" si="39"/>
        <v>0</v>
      </c>
      <c r="T202" s="18">
        <f t="shared" si="40"/>
        <v>0</v>
      </c>
      <c r="U202" s="18">
        <f t="shared" si="41"/>
        <v>0</v>
      </c>
      <c r="V202" s="18">
        <f t="shared" si="42"/>
        <v>0</v>
      </c>
      <c r="W202" s="18">
        <f t="shared" si="38"/>
        <v>0</v>
      </c>
      <c r="X202" s="19">
        <f t="shared" si="43"/>
        <v>0</v>
      </c>
      <c r="Y202" s="20"/>
    </row>
    <row r="203" spans="1:25">
      <c r="A203" s="52"/>
      <c r="B203" s="53"/>
      <c r="C203" s="53"/>
      <c r="D203" s="53"/>
      <c r="E203" s="53"/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8">
        <f t="shared" si="39"/>
        <v>0</v>
      </c>
      <c r="T203" s="18">
        <f t="shared" si="40"/>
        <v>0</v>
      </c>
      <c r="U203" s="18">
        <f t="shared" si="41"/>
        <v>0</v>
      </c>
      <c r="V203" s="18">
        <f t="shared" si="42"/>
        <v>0</v>
      </c>
      <c r="W203" s="18">
        <f t="shared" si="38"/>
        <v>0</v>
      </c>
      <c r="X203" s="19">
        <f t="shared" si="43"/>
        <v>0</v>
      </c>
      <c r="Y203" s="20"/>
    </row>
  </sheetData>
  <mergeCells count="8">
    <mergeCell ref="F1:R1"/>
    <mergeCell ref="S1:X1"/>
    <mergeCell ref="Y1:Y2"/>
    <mergeCell ref="A1:A2"/>
    <mergeCell ref="B1:B2"/>
    <mergeCell ref="C1:C2"/>
    <mergeCell ref="D1:D2"/>
    <mergeCell ref="E1:E2"/>
  </mergeCells>
  <phoneticPr fontId="25" type="noConversion"/>
  <conditionalFormatting sqref="F3:R203">
    <cfRule type="cellIs" dxfId="25" priority="2" operator="equal">
      <formula>3</formula>
    </cfRule>
    <cfRule type="cellIs" dxfId="24" priority="3" operator="equal">
      <formula>2</formula>
    </cfRule>
    <cfRule type="cellIs" dxfId="23" priority="4" operator="equal">
      <formula>1</formula>
    </cfRule>
  </conditionalFormatting>
  <dataValidations count="1">
    <dataValidation type="list" allowBlank="1" errorTitle="강도 입력 오류" error="0, 1, 2, 3 중 하나만 입력하세요" sqref="F3:R203" xr:uid="{455802FB-05A3-AD4B-85F0-35AF05FF66BB}">
      <formula1>"0,1,2,3"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K1"/>
    </sheetView>
  </sheetViews>
  <sheetFormatPr baseColWidth="10" defaultColWidth="8.6640625" defaultRowHeight="15"/>
  <cols>
    <col min="1" max="1" width="10" customWidth="1"/>
    <col min="2" max="2" width="30" customWidth="1"/>
    <col min="3" max="7" width="12" customWidth="1"/>
    <col min="8" max="8" width="16" customWidth="1"/>
    <col min="9" max="9" width="12" customWidth="1"/>
    <col min="10" max="10" width="14" customWidth="1"/>
    <col min="11" max="11" width="24" customWidth="1"/>
  </cols>
  <sheetData>
    <row r="1" spans="1:11" ht="24" customHeight="1">
      <c r="A1" s="84" t="s">
        <v>230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ht="42" customHeight="1">
      <c r="A2" s="21" t="s">
        <v>231</v>
      </c>
      <c r="B2" s="21" t="s">
        <v>232</v>
      </c>
      <c r="C2" s="21" t="s">
        <v>233</v>
      </c>
      <c r="D2" s="21" t="s">
        <v>234</v>
      </c>
      <c r="E2" s="21" t="s">
        <v>235</v>
      </c>
      <c r="F2" s="21" t="s">
        <v>236</v>
      </c>
      <c r="G2" s="21" t="s">
        <v>237</v>
      </c>
      <c r="H2" s="21" t="s">
        <v>238</v>
      </c>
      <c r="I2" s="21" t="s">
        <v>239</v>
      </c>
      <c r="J2" s="21" t="s">
        <v>240</v>
      </c>
      <c r="K2" s="21" t="s">
        <v>210</v>
      </c>
    </row>
    <row r="3" spans="1:11" ht="21.75" customHeight="1">
      <c r="A3" s="20"/>
      <c r="B3" s="20"/>
      <c r="C3" s="22"/>
      <c r="D3" s="22"/>
      <c r="E3" s="22"/>
      <c r="F3" s="22"/>
      <c r="G3" s="22"/>
      <c r="H3" s="22"/>
      <c r="I3" s="22"/>
      <c r="J3" s="23">
        <f t="shared" ref="J3:J32" si="0">IFERROR((C3/2*3+D3/2*2+E3/2*2+F3/2*3+G3/2*3),0)</f>
        <v>0</v>
      </c>
      <c r="K3" s="15"/>
    </row>
    <row r="4" spans="1:11" ht="21.75" customHeight="1">
      <c r="A4" s="20"/>
      <c r="B4" s="20"/>
      <c r="C4" s="22"/>
      <c r="D4" s="22"/>
      <c r="E4" s="22"/>
      <c r="F4" s="22"/>
      <c r="G4" s="22"/>
      <c r="H4" s="22"/>
      <c r="I4" s="22"/>
      <c r="J4" s="23">
        <f t="shared" si="0"/>
        <v>0</v>
      </c>
      <c r="K4" s="15"/>
    </row>
    <row r="5" spans="1:11" ht="21.75" customHeight="1">
      <c r="A5" s="20"/>
      <c r="B5" s="20"/>
      <c r="C5" s="22"/>
      <c r="D5" s="22"/>
      <c r="E5" s="22"/>
      <c r="F5" s="22"/>
      <c r="G5" s="22"/>
      <c r="H5" s="22"/>
      <c r="I5" s="22"/>
      <c r="J5" s="23">
        <f t="shared" si="0"/>
        <v>0</v>
      </c>
      <c r="K5" s="15"/>
    </row>
    <row r="6" spans="1:11" ht="21.75" customHeight="1">
      <c r="A6" s="20"/>
      <c r="B6" s="20"/>
      <c r="C6" s="22"/>
      <c r="D6" s="22"/>
      <c r="E6" s="22"/>
      <c r="F6" s="22"/>
      <c r="G6" s="22"/>
      <c r="H6" s="22"/>
      <c r="I6" s="22"/>
      <c r="J6" s="23">
        <f t="shared" si="0"/>
        <v>0</v>
      </c>
      <c r="K6" s="15"/>
    </row>
    <row r="7" spans="1:11" ht="21.75" customHeight="1">
      <c r="A7" s="20"/>
      <c r="B7" s="20"/>
      <c r="C7" s="22"/>
      <c r="D7" s="22"/>
      <c r="E7" s="22"/>
      <c r="F7" s="22"/>
      <c r="G7" s="22"/>
      <c r="H7" s="22"/>
      <c r="I7" s="22"/>
      <c r="J7" s="23">
        <f t="shared" si="0"/>
        <v>0</v>
      </c>
      <c r="K7" s="15"/>
    </row>
    <row r="8" spans="1:11" ht="21.75" customHeight="1">
      <c r="A8" s="20"/>
      <c r="B8" s="20"/>
      <c r="C8" s="22"/>
      <c r="D8" s="22"/>
      <c r="E8" s="22"/>
      <c r="F8" s="22"/>
      <c r="G8" s="22"/>
      <c r="H8" s="22"/>
      <c r="I8" s="22"/>
      <c r="J8" s="23">
        <f t="shared" si="0"/>
        <v>0</v>
      </c>
      <c r="K8" s="15"/>
    </row>
    <row r="9" spans="1:11" ht="21.75" customHeight="1">
      <c r="A9" s="20"/>
      <c r="B9" s="20"/>
      <c r="C9" s="22"/>
      <c r="D9" s="22"/>
      <c r="E9" s="22"/>
      <c r="F9" s="22"/>
      <c r="G9" s="22"/>
      <c r="H9" s="22"/>
      <c r="I9" s="22"/>
      <c r="J9" s="23">
        <f t="shared" si="0"/>
        <v>0</v>
      </c>
      <c r="K9" s="15"/>
    </row>
    <row r="10" spans="1:11" ht="21.75" customHeight="1">
      <c r="A10" s="20"/>
      <c r="B10" s="20"/>
      <c r="C10" s="22"/>
      <c r="D10" s="22"/>
      <c r="E10" s="22"/>
      <c r="F10" s="22"/>
      <c r="G10" s="22"/>
      <c r="H10" s="22"/>
      <c r="I10" s="22"/>
      <c r="J10" s="23">
        <f t="shared" si="0"/>
        <v>0</v>
      </c>
      <c r="K10" s="15"/>
    </row>
    <row r="11" spans="1:11" ht="21.75" customHeight="1">
      <c r="A11" s="20"/>
      <c r="B11" s="20"/>
      <c r="C11" s="22"/>
      <c r="D11" s="22"/>
      <c r="E11" s="22"/>
      <c r="F11" s="22"/>
      <c r="G11" s="22"/>
      <c r="H11" s="22"/>
      <c r="I11" s="22"/>
      <c r="J11" s="23">
        <f t="shared" si="0"/>
        <v>0</v>
      </c>
      <c r="K11" s="15"/>
    </row>
    <row r="12" spans="1:11" ht="21.75" customHeight="1">
      <c r="A12" s="20"/>
      <c r="B12" s="20"/>
      <c r="C12" s="22"/>
      <c r="D12" s="22"/>
      <c r="E12" s="22"/>
      <c r="F12" s="22"/>
      <c r="G12" s="22"/>
      <c r="H12" s="22"/>
      <c r="I12" s="22"/>
      <c r="J12" s="23">
        <f t="shared" si="0"/>
        <v>0</v>
      </c>
      <c r="K12" s="15"/>
    </row>
    <row r="13" spans="1:11" ht="21.75" customHeight="1">
      <c r="A13" s="20"/>
      <c r="B13" s="20"/>
      <c r="C13" s="22"/>
      <c r="D13" s="22"/>
      <c r="E13" s="22"/>
      <c r="F13" s="22"/>
      <c r="G13" s="22"/>
      <c r="H13" s="22"/>
      <c r="I13" s="22"/>
      <c r="J13" s="23">
        <f t="shared" si="0"/>
        <v>0</v>
      </c>
      <c r="K13" s="15"/>
    </row>
    <row r="14" spans="1:11" ht="21.75" customHeight="1">
      <c r="A14" s="20"/>
      <c r="B14" s="20"/>
      <c r="C14" s="22"/>
      <c r="D14" s="22"/>
      <c r="E14" s="22"/>
      <c r="F14" s="22"/>
      <c r="G14" s="22"/>
      <c r="H14" s="22"/>
      <c r="I14" s="22"/>
      <c r="J14" s="23">
        <f t="shared" si="0"/>
        <v>0</v>
      </c>
      <c r="K14" s="15"/>
    </row>
    <row r="15" spans="1:11" ht="21.75" customHeight="1">
      <c r="A15" s="20"/>
      <c r="B15" s="20"/>
      <c r="C15" s="22"/>
      <c r="D15" s="22"/>
      <c r="E15" s="22"/>
      <c r="F15" s="22"/>
      <c r="G15" s="22"/>
      <c r="H15" s="22"/>
      <c r="I15" s="22"/>
      <c r="J15" s="23">
        <f t="shared" si="0"/>
        <v>0</v>
      </c>
      <c r="K15" s="15"/>
    </row>
    <row r="16" spans="1:11" ht="21.75" customHeight="1">
      <c r="A16" s="20"/>
      <c r="B16" s="20"/>
      <c r="C16" s="22"/>
      <c r="D16" s="22"/>
      <c r="E16" s="22"/>
      <c r="F16" s="22"/>
      <c r="G16" s="22"/>
      <c r="H16" s="22"/>
      <c r="I16" s="22"/>
      <c r="J16" s="23">
        <f t="shared" si="0"/>
        <v>0</v>
      </c>
      <c r="K16" s="15"/>
    </row>
    <row r="17" spans="1:11" ht="21.75" customHeight="1">
      <c r="A17" s="20"/>
      <c r="B17" s="20"/>
      <c r="C17" s="22"/>
      <c r="D17" s="22"/>
      <c r="E17" s="22"/>
      <c r="F17" s="22"/>
      <c r="G17" s="22"/>
      <c r="H17" s="22"/>
      <c r="I17" s="22"/>
      <c r="J17" s="23">
        <f t="shared" si="0"/>
        <v>0</v>
      </c>
      <c r="K17" s="15"/>
    </row>
    <row r="18" spans="1:11" ht="21.75" customHeight="1">
      <c r="A18" s="20"/>
      <c r="B18" s="20"/>
      <c r="C18" s="22"/>
      <c r="D18" s="22"/>
      <c r="E18" s="22"/>
      <c r="F18" s="22"/>
      <c r="G18" s="22"/>
      <c r="H18" s="22"/>
      <c r="I18" s="22"/>
      <c r="J18" s="23">
        <f t="shared" si="0"/>
        <v>0</v>
      </c>
      <c r="K18" s="15"/>
    </row>
    <row r="19" spans="1:11" ht="21.75" customHeight="1">
      <c r="A19" s="20"/>
      <c r="B19" s="20"/>
      <c r="C19" s="22"/>
      <c r="D19" s="22"/>
      <c r="E19" s="22"/>
      <c r="F19" s="22"/>
      <c r="G19" s="22"/>
      <c r="H19" s="22"/>
      <c r="I19" s="22"/>
      <c r="J19" s="23">
        <f t="shared" si="0"/>
        <v>0</v>
      </c>
      <c r="K19" s="15"/>
    </row>
    <row r="20" spans="1:11" ht="21.75" customHeight="1">
      <c r="A20" s="20"/>
      <c r="B20" s="20"/>
      <c r="C20" s="22"/>
      <c r="D20" s="22"/>
      <c r="E20" s="22"/>
      <c r="F20" s="22"/>
      <c r="G20" s="22"/>
      <c r="H20" s="22"/>
      <c r="I20" s="22"/>
      <c r="J20" s="23">
        <f t="shared" si="0"/>
        <v>0</v>
      </c>
      <c r="K20" s="15"/>
    </row>
    <row r="21" spans="1:11" ht="21.75" customHeight="1">
      <c r="A21" s="20"/>
      <c r="B21" s="20"/>
      <c r="C21" s="22"/>
      <c r="D21" s="22"/>
      <c r="E21" s="22"/>
      <c r="F21" s="22"/>
      <c r="G21" s="22"/>
      <c r="H21" s="22"/>
      <c r="I21" s="22"/>
      <c r="J21" s="23">
        <f t="shared" si="0"/>
        <v>0</v>
      </c>
      <c r="K21" s="15"/>
    </row>
    <row r="22" spans="1:11" ht="21.75" customHeight="1">
      <c r="A22" s="20"/>
      <c r="B22" s="20"/>
      <c r="C22" s="22"/>
      <c r="D22" s="22"/>
      <c r="E22" s="22"/>
      <c r="F22" s="22"/>
      <c r="G22" s="22"/>
      <c r="H22" s="22"/>
      <c r="I22" s="22"/>
      <c r="J22" s="23">
        <f t="shared" si="0"/>
        <v>0</v>
      </c>
      <c r="K22" s="15"/>
    </row>
    <row r="23" spans="1:11" ht="21.75" customHeight="1">
      <c r="A23" s="20"/>
      <c r="B23" s="20"/>
      <c r="C23" s="22"/>
      <c r="D23" s="22"/>
      <c r="E23" s="22"/>
      <c r="F23" s="22"/>
      <c r="G23" s="22"/>
      <c r="H23" s="22"/>
      <c r="I23" s="22"/>
      <c r="J23" s="23">
        <f t="shared" si="0"/>
        <v>0</v>
      </c>
      <c r="K23" s="15"/>
    </row>
    <row r="24" spans="1:11" ht="21.75" customHeight="1">
      <c r="A24" s="20"/>
      <c r="B24" s="20"/>
      <c r="C24" s="22"/>
      <c r="D24" s="22"/>
      <c r="E24" s="22"/>
      <c r="F24" s="22"/>
      <c r="G24" s="22"/>
      <c r="H24" s="22"/>
      <c r="I24" s="22"/>
      <c r="J24" s="23">
        <f t="shared" si="0"/>
        <v>0</v>
      </c>
      <c r="K24" s="15"/>
    </row>
    <row r="25" spans="1:11" ht="21.75" customHeight="1">
      <c r="A25" s="20"/>
      <c r="B25" s="20"/>
      <c r="C25" s="22"/>
      <c r="D25" s="22"/>
      <c r="E25" s="22"/>
      <c r="F25" s="22"/>
      <c r="G25" s="22"/>
      <c r="H25" s="22"/>
      <c r="I25" s="22"/>
      <c r="J25" s="23">
        <f t="shared" si="0"/>
        <v>0</v>
      </c>
      <c r="K25" s="15"/>
    </row>
    <row r="26" spans="1:11" ht="21.75" customHeight="1">
      <c r="A26" s="20"/>
      <c r="B26" s="20"/>
      <c r="C26" s="22"/>
      <c r="D26" s="22"/>
      <c r="E26" s="22"/>
      <c r="F26" s="22"/>
      <c r="G26" s="22"/>
      <c r="H26" s="22"/>
      <c r="I26" s="22"/>
      <c r="J26" s="23">
        <f t="shared" si="0"/>
        <v>0</v>
      </c>
      <c r="K26" s="15"/>
    </row>
    <row r="27" spans="1:11" ht="21.75" customHeight="1">
      <c r="A27" s="20"/>
      <c r="B27" s="20"/>
      <c r="C27" s="22"/>
      <c r="D27" s="22"/>
      <c r="E27" s="22"/>
      <c r="F27" s="22"/>
      <c r="G27" s="22"/>
      <c r="H27" s="22"/>
      <c r="I27" s="22"/>
      <c r="J27" s="23">
        <f t="shared" si="0"/>
        <v>0</v>
      </c>
      <c r="K27" s="15"/>
    </row>
    <row r="28" spans="1:11" ht="21.75" customHeight="1">
      <c r="A28" s="20"/>
      <c r="B28" s="20"/>
      <c r="C28" s="22"/>
      <c r="D28" s="22"/>
      <c r="E28" s="22"/>
      <c r="F28" s="22"/>
      <c r="G28" s="22"/>
      <c r="H28" s="22"/>
      <c r="I28" s="22"/>
      <c r="J28" s="23">
        <f t="shared" si="0"/>
        <v>0</v>
      </c>
      <c r="K28" s="15"/>
    </row>
    <row r="29" spans="1:11" ht="21.75" customHeight="1">
      <c r="A29" s="20"/>
      <c r="B29" s="20"/>
      <c r="C29" s="22"/>
      <c r="D29" s="22"/>
      <c r="E29" s="22"/>
      <c r="F29" s="22"/>
      <c r="G29" s="22"/>
      <c r="H29" s="22"/>
      <c r="I29" s="22"/>
      <c r="J29" s="23">
        <f t="shared" si="0"/>
        <v>0</v>
      </c>
      <c r="K29" s="15"/>
    </row>
    <row r="30" spans="1:11" ht="21.75" customHeight="1">
      <c r="A30" s="20"/>
      <c r="B30" s="20"/>
      <c r="C30" s="22"/>
      <c r="D30" s="22"/>
      <c r="E30" s="22"/>
      <c r="F30" s="22"/>
      <c r="G30" s="22"/>
      <c r="H30" s="22"/>
      <c r="I30" s="22"/>
      <c r="J30" s="23">
        <f t="shared" si="0"/>
        <v>0</v>
      </c>
      <c r="K30" s="15"/>
    </row>
    <row r="31" spans="1:11" ht="21.75" customHeight="1">
      <c r="A31" s="20"/>
      <c r="B31" s="20"/>
      <c r="C31" s="22"/>
      <c r="D31" s="22"/>
      <c r="E31" s="22"/>
      <c r="F31" s="22"/>
      <c r="G31" s="22"/>
      <c r="H31" s="22"/>
      <c r="I31" s="22"/>
      <c r="J31" s="23">
        <f t="shared" si="0"/>
        <v>0</v>
      </c>
      <c r="K31" s="15"/>
    </row>
    <row r="32" spans="1:11" ht="21.75" customHeight="1">
      <c r="A32" s="20"/>
      <c r="B32" s="20"/>
      <c r="C32" s="22"/>
      <c r="D32" s="22"/>
      <c r="E32" s="22"/>
      <c r="F32" s="22"/>
      <c r="G32" s="22"/>
      <c r="H32" s="22"/>
      <c r="I32" s="22"/>
      <c r="J32" s="23">
        <f t="shared" si="0"/>
        <v>0</v>
      </c>
      <c r="K32" s="15"/>
    </row>
    <row r="34" spans="1:11" ht="15" customHeight="1">
      <c r="A34" s="14" t="s">
        <v>241</v>
      </c>
      <c r="B34" s="24"/>
      <c r="C34" s="25">
        <f t="shared" ref="C34:J34" si="1">IFERROR(AVERAGE(C3:C32),0)</f>
        <v>0</v>
      </c>
      <c r="D34" s="25">
        <f t="shared" si="1"/>
        <v>0</v>
      </c>
      <c r="E34" s="25">
        <f t="shared" si="1"/>
        <v>0</v>
      </c>
      <c r="F34" s="25">
        <f t="shared" si="1"/>
        <v>0</v>
      </c>
      <c r="G34" s="25">
        <f t="shared" si="1"/>
        <v>0</v>
      </c>
      <c r="H34" s="25">
        <f t="shared" si="1"/>
        <v>0</v>
      </c>
      <c r="I34" s="25">
        <f t="shared" si="1"/>
        <v>0</v>
      </c>
      <c r="J34" s="25">
        <f t="shared" si="1"/>
        <v>0</v>
      </c>
      <c r="K34" s="26"/>
    </row>
  </sheetData>
  <mergeCells count="1">
    <mergeCell ref="A1:K1"/>
  </mergeCells>
  <phoneticPr fontId="25" type="noConversion"/>
  <dataValidations count="2">
    <dataValidation type="list" allowBlank="1" sqref="C3:G32" xr:uid="{00000000-0002-0000-0300-000000000000}">
      <formula1>"0,1,2"</formula1>
      <formula2>0</formula2>
    </dataValidation>
    <dataValidation type="list" allowBlank="1" sqref="H3:H32" xr:uid="{00000000-0002-0000-0300-000001000000}">
      <formula1>"0,1,2,3,4,5"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topLeftCell="A5" zoomScaleNormal="100" workbookViewId="0">
      <selection activeCell="E45" sqref="E45"/>
    </sheetView>
  </sheetViews>
  <sheetFormatPr baseColWidth="10" defaultColWidth="8.6640625" defaultRowHeight="15"/>
  <cols>
    <col min="1" max="1" width="28" customWidth="1"/>
    <col min="2" max="2" width="18" customWidth="1"/>
    <col min="3" max="3" width="16" customWidth="1"/>
    <col min="4" max="4" width="14" customWidth="1"/>
    <col min="5" max="5" width="28" customWidth="1"/>
  </cols>
  <sheetData>
    <row r="1" spans="1:5" ht="27.75" customHeight="1">
      <c r="A1" s="87" t="s">
        <v>242</v>
      </c>
      <c r="B1" s="87"/>
      <c r="C1" s="87"/>
      <c r="D1" s="87"/>
      <c r="E1" s="87"/>
    </row>
    <row r="2" spans="1:5" ht="13.5" customHeight="1">
      <c r="A2" s="61" t="s">
        <v>243</v>
      </c>
      <c r="B2" s="61"/>
      <c r="C2" s="61"/>
      <c r="D2" s="61"/>
      <c r="E2" s="61"/>
    </row>
    <row r="4" spans="1:5" ht="15" customHeight="1">
      <c r="A4" s="14" t="s">
        <v>244</v>
      </c>
      <c r="B4" s="17" t="s">
        <v>245</v>
      </c>
      <c r="C4" s="14" t="s">
        <v>246</v>
      </c>
      <c r="D4" s="15"/>
    </row>
    <row r="6" spans="1:5" ht="21.75" customHeight="1">
      <c r="A6" s="62" t="s">
        <v>247</v>
      </c>
      <c r="B6" s="62"/>
      <c r="C6" s="62"/>
      <c r="D6" s="62"/>
      <c r="E6" s="62"/>
    </row>
    <row r="7" spans="1:5" ht="24" customHeight="1">
      <c r="A7" s="1" t="s">
        <v>248</v>
      </c>
      <c r="B7" s="27" t="s">
        <v>249</v>
      </c>
      <c r="C7" s="1" t="s">
        <v>250</v>
      </c>
      <c r="D7" s="1" t="s">
        <v>251</v>
      </c>
      <c r="E7" s="1" t="s">
        <v>210</v>
      </c>
    </row>
    <row r="8" spans="1:5" ht="15" customHeight="1">
      <c r="A8" s="14" t="s">
        <v>252</v>
      </c>
      <c r="B8" s="11" t="s">
        <v>253</v>
      </c>
      <c r="C8" s="28">
        <f>IFERROR(SUM('③ 평가 입력'!S3:S200)/COUNTA('③ 평가 입력'!B3:B203)*100,0)</f>
        <v>0</v>
      </c>
      <c r="D8" s="29" t="str">
        <f>IF(C8="","",IF(C8&lt;=45,"통과","미달"))</f>
        <v>통과</v>
      </c>
      <c r="E8" s="22"/>
    </row>
    <row r="9" spans="1:5" ht="15" customHeight="1">
      <c r="A9" s="14" t="s">
        <v>254</v>
      </c>
      <c r="B9" s="11" t="s">
        <v>255</v>
      </c>
      <c r="C9" s="28">
        <f>IFERROR(SUM('③ 평가 입력'!T3:T200)/COUNTA('③ 평가 입력'!B3:B203)*100,0)</f>
        <v>0</v>
      </c>
      <c r="D9" s="29" t="str">
        <f>IF(C9="","",IF(C9&lt;=17,"통과","미달"))</f>
        <v>통과</v>
      </c>
      <c r="E9" s="22"/>
    </row>
    <row r="10" spans="1:5" ht="15" customHeight="1">
      <c r="A10" s="14" t="s">
        <v>256</v>
      </c>
      <c r="B10" s="11" t="s">
        <v>257</v>
      </c>
      <c r="C10" s="28">
        <f>IFERROR(SUM('③ 평가 입력'!U3:U200)/COUNTA('③ 평가 입력'!B3:B203)*100,0)</f>
        <v>0</v>
      </c>
      <c r="D10" s="29" t="str">
        <f>IF(C10="","",IF(C10&lt;=12,"통과","미달"))</f>
        <v>통과</v>
      </c>
      <c r="E10" s="22"/>
    </row>
    <row r="11" spans="1:5" ht="15" customHeight="1">
      <c r="A11" s="14" t="s">
        <v>258</v>
      </c>
      <c r="B11" s="11" t="s">
        <v>259</v>
      </c>
      <c r="C11" s="28">
        <f>IFERROR(SUM('③ 평가 입력'!V3:V200)/COUNTA('③ 평가 입력'!B3:B203)*100,0)</f>
        <v>0</v>
      </c>
      <c r="D11" s="29" t="str">
        <f>IF(C11="","",IF(C11&lt;=8,"통과","미달"))</f>
        <v>통과</v>
      </c>
      <c r="E11" s="22"/>
    </row>
    <row r="12" spans="1:5" ht="15" customHeight="1">
      <c r="A12" s="14" t="s">
        <v>260</v>
      </c>
      <c r="B12" s="11" t="s">
        <v>261</v>
      </c>
      <c r="C12" s="28">
        <f>IFERROR(SUM('③ 평가 입력'!W3:W200)/COUNTA('③ 평가 입력'!B3:B203)*100,0)</f>
        <v>0</v>
      </c>
      <c r="D12" s="29" t="str">
        <f>IF(C12="","",IF(C12&gt;=35,"통과","미달"))</f>
        <v>미달</v>
      </c>
      <c r="E12" s="22"/>
    </row>
    <row r="14" spans="1:5" ht="21.75" customHeight="1">
      <c r="A14" s="62" t="s">
        <v>262</v>
      </c>
      <c r="B14" s="62"/>
      <c r="C14" s="62"/>
      <c r="D14" s="62"/>
      <c r="E14" s="62"/>
    </row>
    <row r="15" spans="1:5" ht="21.75" customHeight="1">
      <c r="A15" s="27" t="s">
        <v>86</v>
      </c>
      <c r="B15" s="1" t="s">
        <v>87</v>
      </c>
      <c r="C15" s="1" t="s">
        <v>263</v>
      </c>
      <c r="D15" s="1" t="s">
        <v>264</v>
      </c>
      <c r="E15" s="1" t="s">
        <v>210</v>
      </c>
    </row>
    <row r="16" spans="1:5" ht="15" customHeight="1">
      <c r="A16" s="12">
        <v>1</v>
      </c>
      <c r="B16" s="30" t="s">
        <v>265</v>
      </c>
      <c r="C16" s="12">
        <f>COUNTIF('③ 평가 입력'!F3:F200,"&gt;=1")</f>
        <v>0</v>
      </c>
      <c r="D16" s="28">
        <f>IFERROR(C16/COUNTA('③ 평가 입력'!B3:B203)*100,0)</f>
        <v>0</v>
      </c>
      <c r="E16" s="17"/>
    </row>
    <row r="17" spans="1:5" ht="15" customHeight="1">
      <c r="A17" s="12">
        <v>2</v>
      </c>
      <c r="B17" s="30" t="s">
        <v>266</v>
      </c>
      <c r="C17" s="12">
        <f>COUNTIF('③ 평가 입력'!G3:G200,"&gt;=1")</f>
        <v>0</v>
      </c>
      <c r="D17" s="28">
        <f>IFERROR(C17/COUNTA('③ 평가 입력'!B3:B203)*100,0)</f>
        <v>0</v>
      </c>
      <c r="E17" s="17"/>
    </row>
    <row r="18" spans="1:5" ht="15" customHeight="1">
      <c r="A18" s="12">
        <v>3</v>
      </c>
      <c r="B18" s="30" t="s">
        <v>110</v>
      </c>
      <c r="C18" s="12">
        <f>COUNTIF('③ 평가 입력'!H3:H200,"&gt;=1")</f>
        <v>0</v>
      </c>
      <c r="D18" s="28">
        <f>IFERROR(C18/COUNTA('③ 평가 입력'!B3:B203)*100,0)</f>
        <v>0</v>
      </c>
      <c r="E18" s="17"/>
    </row>
    <row r="19" spans="1:5" ht="15" customHeight="1">
      <c r="A19" s="12">
        <v>4</v>
      </c>
      <c r="B19" s="30" t="s">
        <v>62</v>
      </c>
      <c r="C19" s="12">
        <f>COUNTIF('③ 평가 입력'!I3:I200,"&gt;=1")</f>
        <v>0</v>
      </c>
      <c r="D19" s="28">
        <f>IFERROR(C19/COUNTA('③ 평가 입력'!B3:B203)*100,0)</f>
        <v>0</v>
      </c>
      <c r="E19" s="17"/>
    </row>
    <row r="20" spans="1:5" ht="15" customHeight="1">
      <c r="A20" s="12">
        <v>5</v>
      </c>
      <c r="B20" s="30" t="s">
        <v>267</v>
      </c>
      <c r="C20" s="12">
        <f>COUNTIF('③ 평가 입력'!J3:J200,"&gt;=1")</f>
        <v>0</v>
      </c>
      <c r="D20" s="28">
        <f>IFERROR(C20/COUNTA('③ 평가 입력'!B3:B203)*100,0)</f>
        <v>0</v>
      </c>
      <c r="E20" s="17"/>
    </row>
    <row r="21" spans="1:5" ht="15" customHeight="1">
      <c r="A21" s="12">
        <v>6</v>
      </c>
      <c r="B21" s="31" t="s">
        <v>66</v>
      </c>
      <c r="C21" s="12">
        <f>COUNTIF('③ 평가 입력'!K3:K200,"&gt;=1")</f>
        <v>0</v>
      </c>
      <c r="D21" s="28">
        <f>IFERROR(C21/COUNTA('③ 평가 입력'!B3:B203)*100,0)</f>
        <v>0</v>
      </c>
      <c r="E21" s="17"/>
    </row>
    <row r="22" spans="1:5" ht="15" customHeight="1">
      <c r="A22" s="12">
        <v>7</v>
      </c>
      <c r="B22" s="30" t="s">
        <v>70</v>
      </c>
      <c r="C22" s="12">
        <f>COUNTIF('③ 평가 입력'!L3:L200,"&gt;=1")</f>
        <v>0</v>
      </c>
      <c r="D22" s="28">
        <f>IFERROR(C22/COUNTA('③ 평가 입력'!B3:B203)*100,0)</f>
        <v>0</v>
      </c>
      <c r="E22" s="17"/>
    </row>
    <row r="23" spans="1:5" ht="15" customHeight="1">
      <c r="A23" s="12">
        <v>8</v>
      </c>
      <c r="B23" s="30" t="s">
        <v>268</v>
      </c>
      <c r="C23" s="12">
        <f>COUNTIF('③ 평가 입력'!M3:M200,"&gt;=1")</f>
        <v>0</v>
      </c>
      <c r="D23" s="28">
        <f>IFERROR(C23/COUNTA('③ 평가 입력'!B3:B203)*100,0)</f>
        <v>0</v>
      </c>
      <c r="E23" s="17"/>
    </row>
    <row r="24" spans="1:5" ht="15" customHeight="1">
      <c r="A24" s="12">
        <v>9</v>
      </c>
      <c r="B24" s="30" t="s">
        <v>269</v>
      </c>
      <c r="C24" s="12">
        <f>COUNTIF('③ 평가 입력'!N3:N200,"&gt;=1")</f>
        <v>0</v>
      </c>
      <c r="D24" s="28">
        <f>IFERROR(C24/COUNTA('③ 평가 입력'!B3:B203)*100,0)</f>
        <v>0</v>
      </c>
      <c r="E24" s="17"/>
    </row>
    <row r="25" spans="1:5" ht="15" customHeight="1">
      <c r="A25" s="12">
        <v>10</v>
      </c>
      <c r="B25" s="30" t="s">
        <v>270</v>
      </c>
      <c r="C25" s="12">
        <f>COUNTIF('③ 평가 입력'!O3:O200,"&gt;=1")</f>
        <v>0</v>
      </c>
      <c r="D25" s="28">
        <f>IFERROR(C25/COUNTA('③ 평가 입력'!B3:B203)*100,0)</f>
        <v>0</v>
      </c>
      <c r="E25" s="17"/>
    </row>
    <row r="26" spans="1:5" ht="15" customHeight="1">
      <c r="A26" s="12">
        <v>11</v>
      </c>
      <c r="B26" s="30" t="s">
        <v>271</v>
      </c>
      <c r="C26" s="12">
        <f>COUNTIF('③ 평가 입력'!P3:P200,"&gt;=1")</f>
        <v>0</v>
      </c>
      <c r="D26" s="28">
        <f>IFERROR(C26/COUNTA('③ 평가 입력'!B3:B203)*100,0)</f>
        <v>0</v>
      </c>
      <c r="E26" s="17"/>
    </row>
    <row r="27" spans="1:5" ht="15" customHeight="1">
      <c r="A27" s="12">
        <v>12</v>
      </c>
      <c r="B27" s="30" t="s">
        <v>272</v>
      </c>
      <c r="C27" s="12">
        <f>COUNTIF('③ 평가 입력'!Q3:Q200,"&gt;=1")</f>
        <v>0</v>
      </c>
      <c r="D27" s="28">
        <f>IFERROR(C27/COUNTA('③ 평가 입력'!B3:B203)*100,0)</f>
        <v>0</v>
      </c>
      <c r="E27" s="17"/>
    </row>
    <row r="28" spans="1:5" ht="15" customHeight="1">
      <c r="A28" s="12">
        <v>13</v>
      </c>
      <c r="B28" s="30" t="s">
        <v>182</v>
      </c>
      <c r="C28" s="12">
        <f>COUNTIF('③ 평가 입력'!R3:R200,"&gt;=1")</f>
        <v>0</v>
      </c>
      <c r="D28" s="28">
        <f>IFERROR(C28/COUNTA('③ 평가 입력'!B3:B203)*100,0)</f>
        <v>0</v>
      </c>
      <c r="E28" s="17"/>
    </row>
    <row r="30" spans="1:5" ht="21.75" customHeight="1">
      <c r="A30" s="62" t="s">
        <v>273</v>
      </c>
      <c r="B30" s="62"/>
      <c r="C30" s="62"/>
      <c r="D30" s="62"/>
      <c r="E30" s="62"/>
    </row>
    <row r="31" spans="1:5" ht="15" customHeight="1">
      <c r="A31" s="32" t="s">
        <v>274</v>
      </c>
      <c r="B31" s="19">
        <f>'④ 정성 평가'!J34</f>
        <v>0</v>
      </c>
      <c r="C31" s="32" t="s">
        <v>275</v>
      </c>
      <c r="D31" s="33">
        <f>MAX(0,C8-B31)</f>
        <v>0</v>
      </c>
      <c r="E31" s="12"/>
    </row>
    <row r="33" spans="1:5" ht="21.75" customHeight="1">
      <c r="A33" s="85" t="s">
        <v>276</v>
      </c>
      <c r="B33" s="85"/>
      <c r="C33" s="85"/>
      <c r="D33" s="85"/>
      <c r="E33" s="85"/>
    </row>
    <row r="34" spans="1:5" ht="27.75" customHeight="1">
      <c r="A34" s="14" t="s">
        <v>251</v>
      </c>
      <c r="B34" s="86" t="str">
        <f>IF(COUNTIF(D8:D12,"미달")=0,"✅ 통과",IF(AND(COUNTIF(D8:D12,"미달")=1,D31&lt;=45,C9&gt;17=FALSE()),"⚠ 조건부 통과",IF(OR(COUNTIF(D8:D12,"미달")&gt;=2,C9&gt;17=TRUE()),"❌ 실패","⚠ 조건부 통과")))</f>
        <v>⚠ 조건부 통과</v>
      </c>
      <c r="C34" s="86"/>
      <c r="D34" s="86"/>
      <c r="E34" s="86"/>
    </row>
  </sheetData>
  <mergeCells count="7">
    <mergeCell ref="A33:E33"/>
    <mergeCell ref="B34:E34"/>
    <mergeCell ref="A1:E1"/>
    <mergeCell ref="A2:E2"/>
    <mergeCell ref="A6:E6"/>
    <mergeCell ref="A14:E14"/>
    <mergeCell ref="A30:E30"/>
  </mergeCells>
  <phoneticPr fontId="25" type="noConversion"/>
  <conditionalFormatting sqref="D8:D12">
    <cfRule type="cellIs" dxfId="22" priority="2" operator="equal">
      <formula>"통과"</formula>
    </cfRule>
    <cfRule type="cellIs" dxfId="21" priority="3" operator="equal">
      <formula>"미달"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zoomScaleNormal="100" workbookViewId="0">
      <selection sqref="A1:H1"/>
    </sheetView>
  </sheetViews>
  <sheetFormatPr baseColWidth="10" defaultColWidth="8.6640625" defaultRowHeight="15"/>
  <cols>
    <col min="1" max="1" width="26" customWidth="1"/>
    <col min="2" max="7" width="14" customWidth="1"/>
    <col min="8" max="8" width="24" customWidth="1"/>
  </cols>
  <sheetData>
    <row r="1" spans="1:8" ht="25.5" customHeight="1">
      <c r="A1" s="60" t="s">
        <v>277</v>
      </c>
      <c r="B1" s="60"/>
      <c r="C1" s="60"/>
      <c r="D1" s="60"/>
      <c r="E1" s="60"/>
      <c r="F1" s="60"/>
      <c r="G1" s="60"/>
      <c r="H1" s="60"/>
    </row>
    <row r="2" spans="1:8" ht="13.5" customHeight="1">
      <c r="A2" s="61" t="s">
        <v>278</v>
      </c>
      <c r="B2" s="61"/>
      <c r="C2" s="61"/>
      <c r="D2" s="61"/>
      <c r="E2" s="61"/>
      <c r="F2" s="61"/>
      <c r="G2" s="61"/>
      <c r="H2" s="61"/>
    </row>
    <row r="4" spans="1:8" ht="24" customHeight="1">
      <c r="A4" s="10" t="s">
        <v>248</v>
      </c>
      <c r="B4" s="9" t="s">
        <v>279</v>
      </c>
      <c r="C4" s="9" t="s">
        <v>280</v>
      </c>
      <c r="D4" s="10" t="s">
        <v>281</v>
      </c>
      <c r="E4" s="10" t="s">
        <v>282</v>
      </c>
      <c r="F4" s="10" t="s">
        <v>283</v>
      </c>
      <c r="G4" s="9" t="s">
        <v>249</v>
      </c>
      <c r="H4" s="10" t="s">
        <v>251</v>
      </c>
    </row>
    <row r="5" spans="1:8" ht="15" customHeight="1">
      <c r="A5" s="34" t="s">
        <v>252</v>
      </c>
      <c r="B5" s="17"/>
      <c r="C5" s="17"/>
      <c r="D5" s="35">
        <f>IFERROR(C5-B5,"")</f>
        <v>0</v>
      </c>
      <c r="E5" s="36" t="str">
        <f>IF(D5="","",IF(D5&lt;0,"개선",IF(D5&gt;0,"악화","유지")))</f>
        <v>유지</v>
      </c>
      <c r="F5" s="37" t="str">
        <f>IF(D5="","",IF(D5&gt;=2,"⚠ 나빠짐",""))</f>
        <v/>
      </c>
      <c r="G5" s="11" t="s">
        <v>253</v>
      </c>
      <c r="H5" s="12" t="str">
        <f>IF(C5="","",IF(C5&lt;=VALUE(SUBSTITUTE(G5,"≤ ","")),"통과","미달"))</f>
        <v/>
      </c>
    </row>
    <row r="6" spans="1:8" ht="15" customHeight="1">
      <c r="A6" s="34" t="s">
        <v>254</v>
      </c>
      <c r="B6" s="17"/>
      <c r="C6" s="17"/>
      <c r="D6" s="35">
        <f>IFERROR(C6-B6,"")</f>
        <v>0</v>
      </c>
      <c r="E6" s="36" t="str">
        <f>IF(D6="","",IF(D6&lt;0,"개선",IF(D6&gt;0,"악화","유지")))</f>
        <v>유지</v>
      </c>
      <c r="F6" s="37" t="str">
        <f>IF(D6="","",IF(D6&gt;=2,"⚠ 나빠짐",""))</f>
        <v/>
      </c>
      <c r="G6" s="11" t="s">
        <v>255</v>
      </c>
      <c r="H6" s="12" t="str">
        <f>IF(C6="","",IF(C6&lt;=VALUE(SUBSTITUTE(G6,"≤ ","")),"통과","미달"))</f>
        <v/>
      </c>
    </row>
    <row r="7" spans="1:8" ht="15" customHeight="1">
      <c r="A7" s="34" t="s">
        <v>256</v>
      </c>
      <c r="B7" s="17"/>
      <c r="C7" s="17"/>
      <c r="D7" s="35">
        <f>IFERROR(C7-B7,"")</f>
        <v>0</v>
      </c>
      <c r="E7" s="36" t="str">
        <f>IF(D7="","",IF(D7&lt;0,"개선",IF(D7&gt;0,"악화","유지")))</f>
        <v>유지</v>
      </c>
      <c r="F7" s="37" t="str">
        <f>IF(D7="","",IF(D7&gt;=2,"⚠ 나빠짐",""))</f>
        <v/>
      </c>
      <c r="G7" s="11" t="s">
        <v>257</v>
      </c>
      <c r="H7" s="12" t="str">
        <f>IF(C7="","",IF(C7&lt;=VALUE(SUBSTITUTE(G7,"≤ ","")),"통과","미달"))</f>
        <v/>
      </c>
    </row>
    <row r="8" spans="1:8" ht="15" customHeight="1">
      <c r="A8" s="34" t="s">
        <v>258</v>
      </c>
      <c r="B8" s="17"/>
      <c r="C8" s="17"/>
      <c r="D8" s="35">
        <f>IFERROR(C8-B8,"")</f>
        <v>0</v>
      </c>
      <c r="E8" s="36" t="str">
        <f>IF(D8="","",IF(D8&lt;0,"개선",IF(D8&gt;0,"악화","유지")))</f>
        <v>유지</v>
      </c>
      <c r="F8" s="37" t="str">
        <f>IF(D8="","",IF(D8&gt;=2,"⚠ 나빠짐",""))</f>
        <v/>
      </c>
      <c r="G8" s="11" t="s">
        <v>259</v>
      </c>
      <c r="H8" s="12" t="str">
        <f>IF(C8="","",IF(C8&lt;=VALUE(SUBSTITUTE(G8,"≤ ","")),"통과","미달"))</f>
        <v/>
      </c>
    </row>
    <row r="9" spans="1:8" ht="15" customHeight="1">
      <c r="A9" s="34" t="s">
        <v>284</v>
      </c>
      <c r="B9" s="17"/>
      <c r="C9" s="17"/>
      <c r="D9" s="35">
        <f>IFERROR(C9-B9,"")</f>
        <v>0</v>
      </c>
      <c r="E9" s="36" t="str">
        <f>IF(D9="","",IF(D9&gt;0,"개선",IF(D9&lt;0,"악화","유지")))</f>
        <v>유지</v>
      </c>
      <c r="F9" s="37" t="str">
        <f>IF(D9="","",IF(D9&lt;=-2,"⚠ 나빠짐",""))</f>
        <v/>
      </c>
      <c r="G9" s="11" t="s">
        <v>261</v>
      </c>
      <c r="H9" s="12" t="str">
        <f>IF(C9="","",IF(C9&gt;=VALUE(SUBSTITUTE(G9,"≥ ","")),"통과","미달"))</f>
        <v/>
      </c>
    </row>
    <row r="11" spans="1:8" ht="21.75" customHeight="1">
      <c r="A11" s="62" t="s">
        <v>285</v>
      </c>
      <c r="B11" s="62"/>
      <c r="C11" s="62"/>
      <c r="D11" s="62"/>
      <c r="E11" s="62"/>
      <c r="F11" s="62"/>
      <c r="G11" s="62"/>
      <c r="H11" s="62"/>
    </row>
    <row r="12" spans="1:8" ht="21.75" customHeight="1">
      <c r="A12" s="27" t="s">
        <v>86</v>
      </c>
      <c r="B12" s="1" t="s">
        <v>87</v>
      </c>
      <c r="C12" s="27" t="s">
        <v>286</v>
      </c>
      <c r="D12" s="27" t="s">
        <v>287</v>
      </c>
      <c r="E12" s="1" t="s">
        <v>288</v>
      </c>
      <c r="F12" s="1" t="s">
        <v>282</v>
      </c>
      <c r="G12" s="1" t="s">
        <v>289</v>
      </c>
      <c r="H12" s="1" t="s">
        <v>210</v>
      </c>
    </row>
    <row r="13" spans="1:8" ht="15" customHeight="1">
      <c r="A13" s="12">
        <v>1</v>
      </c>
      <c r="B13" s="30" t="s">
        <v>265</v>
      </c>
      <c r="C13" s="17"/>
      <c r="D13" s="17"/>
      <c r="E13" s="35">
        <f t="shared" ref="E13:E25" si="0">IFERROR(D13-C13,"")</f>
        <v>0</v>
      </c>
      <c r="F13" s="36" t="str">
        <f t="shared" ref="F13:F25" si="1">IF(E13="","",IF(E13&lt;0,"개선",IF(E13&gt;0,"악화","유지")))</f>
        <v>유지</v>
      </c>
      <c r="G13" s="37" t="str">
        <f t="shared" ref="G13:G25" si="2">IF(E13="","",IF(E13&gt;=2,"⚠ 나빠짐",""))</f>
        <v/>
      </c>
      <c r="H13" s="17"/>
    </row>
    <row r="14" spans="1:8" ht="15" customHeight="1">
      <c r="A14" s="12">
        <v>2</v>
      </c>
      <c r="B14" s="30" t="s">
        <v>266</v>
      </c>
      <c r="C14" s="17"/>
      <c r="D14" s="17"/>
      <c r="E14" s="35">
        <f t="shared" si="0"/>
        <v>0</v>
      </c>
      <c r="F14" s="36" t="str">
        <f t="shared" si="1"/>
        <v>유지</v>
      </c>
      <c r="G14" s="37" t="str">
        <f t="shared" si="2"/>
        <v/>
      </c>
      <c r="H14" s="17"/>
    </row>
    <row r="15" spans="1:8" ht="15" customHeight="1">
      <c r="A15" s="12">
        <v>3</v>
      </c>
      <c r="B15" s="30" t="s">
        <v>110</v>
      </c>
      <c r="C15" s="17"/>
      <c r="D15" s="17"/>
      <c r="E15" s="35">
        <f t="shared" si="0"/>
        <v>0</v>
      </c>
      <c r="F15" s="36" t="str">
        <f t="shared" si="1"/>
        <v>유지</v>
      </c>
      <c r="G15" s="37" t="str">
        <f t="shared" si="2"/>
        <v/>
      </c>
      <c r="H15" s="17"/>
    </row>
    <row r="16" spans="1:8" ht="15" customHeight="1">
      <c r="A16" s="12">
        <v>4</v>
      </c>
      <c r="B16" s="30" t="s">
        <v>62</v>
      </c>
      <c r="C16" s="17"/>
      <c r="D16" s="17"/>
      <c r="E16" s="35">
        <f t="shared" si="0"/>
        <v>0</v>
      </c>
      <c r="F16" s="36" t="str">
        <f t="shared" si="1"/>
        <v>유지</v>
      </c>
      <c r="G16" s="37" t="str">
        <f t="shared" si="2"/>
        <v/>
      </c>
      <c r="H16" s="17"/>
    </row>
    <row r="17" spans="1:8" ht="15" customHeight="1">
      <c r="A17" s="12">
        <v>5</v>
      </c>
      <c r="B17" s="30" t="s">
        <v>267</v>
      </c>
      <c r="C17" s="17"/>
      <c r="D17" s="17"/>
      <c r="E17" s="35">
        <f t="shared" si="0"/>
        <v>0</v>
      </c>
      <c r="F17" s="36" t="str">
        <f t="shared" si="1"/>
        <v>유지</v>
      </c>
      <c r="G17" s="37" t="str">
        <f t="shared" si="2"/>
        <v/>
      </c>
      <c r="H17" s="17"/>
    </row>
    <row r="18" spans="1:8" ht="15" customHeight="1">
      <c r="A18" s="12">
        <v>6</v>
      </c>
      <c r="B18" s="31" t="s">
        <v>66</v>
      </c>
      <c r="C18" s="17"/>
      <c r="D18" s="17"/>
      <c r="E18" s="35">
        <f t="shared" si="0"/>
        <v>0</v>
      </c>
      <c r="F18" s="36" t="str">
        <f t="shared" si="1"/>
        <v>유지</v>
      </c>
      <c r="G18" s="37" t="str">
        <f t="shared" si="2"/>
        <v/>
      </c>
      <c r="H18" s="17"/>
    </row>
    <row r="19" spans="1:8" ht="15" customHeight="1">
      <c r="A19" s="12">
        <v>7</v>
      </c>
      <c r="B19" s="30" t="s">
        <v>70</v>
      </c>
      <c r="C19" s="17"/>
      <c r="D19" s="17"/>
      <c r="E19" s="35">
        <f t="shared" si="0"/>
        <v>0</v>
      </c>
      <c r="F19" s="36" t="str">
        <f t="shared" si="1"/>
        <v>유지</v>
      </c>
      <c r="G19" s="37" t="str">
        <f t="shared" si="2"/>
        <v/>
      </c>
      <c r="H19" s="17"/>
    </row>
    <row r="20" spans="1:8" ht="15" customHeight="1">
      <c r="A20" s="12">
        <v>8</v>
      </c>
      <c r="B20" s="30" t="s">
        <v>268</v>
      </c>
      <c r="C20" s="17"/>
      <c r="D20" s="17"/>
      <c r="E20" s="35">
        <f t="shared" si="0"/>
        <v>0</v>
      </c>
      <c r="F20" s="36" t="str">
        <f t="shared" si="1"/>
        <v>유지</v>
      </c>
      <c r="G20" s="37" t="str">
        <f t="shared" si="2"/>
        <v/>
      </c>
      <c r="H20" s="17"/>
    </row>
    <row r="21" spans="1:8" ht="15" customHeight="1">
      <c r="A21" s="12">
        <v>9</v>
      </c>
      <c r="B21" s="30" t="s">
        <v>269</v>
      </c>
      <c r="C21" s="17"/>
      <c r="D21" s="17"/>
      <c r="E21" s="35">
        <f t="shared" si="0"/>
        <v>0</v>
      </c>
      <c r="F21" s="36" t="str">
        <f t="shared" si="1"/>
        <v>유지</v>
      </c>
      <c r="G21" s="37" t="str">
        <f t="shared" si="2"/>
        <v/>
      </c>
      <c r="H21" s="17"/>
    </row>
    <row r="22" spans="1:8" ht="15" customHeight="1">
      <c r="A22" s="12">
        <v>10</v>
      </c>
      <c r="B22" s="30" t="s">
        <v>270</v>
      </c>
      <c r="C22" s="17"/>
      <c r="D22" s="17"/>
      <c r="E22" s="35">
        <f t="shared" si="0"/>
        <v>0</v>
      </c>
      <c r="F22" s="36" t="str">
        <f t="shared" si="1"/>
        <v>유지</v>
      </c>
      <c r="G22" s="37" t="str">
        <f t="shared" si="2"/>
        <v/>
      </c>
      <c r="H22" s="17"/>
    </row>
    <row r="23" spans="1:8" ht="15" customHeight="1">
      <c r="A23" s="12">
        <v>11</v>
      </c>
      <c r="B23" s="30" t="s">
        <v>271</v>
      </c>
      <c r="C23" s="17"/>
      <c r="D23" s="17"/>
      <c r="E23" s="35">
        <f t="shared" si="0"/>
        <v>0</v>
      </c>
      <c r="F23" s="36" t="str">
        <f t="shared" si="1"/>
        <v>유지</v>
      </c>
      <c r="G23" s="37" t="str">
        <f t="shared" si="2"/>
        <v/>
      </c>
      <c r="H23" s="17"/>
    </row>
    <row r="24" spans="1:8" ht="15" customHeight="1">
      <c r="A24" s="12">
        <v>12</v>
      </c>
      <c r="B24" s="30" t="s">
        <v>272</v>
      </c>
      <c r="C24" s="17"/>
      <c r="D24" s="17"/>
      <c r="E24" s="35">
        <f t="shared" si="0"/>
        <v>0</v>
      </c>
      <c r="F24" s="36" t="str">
        <f t="shared" si="1"/>
        <v>유지</v>
      </c>
      <c r="G24" s="37" t="str">
        <f t="shared" si="2"/>
        <v/>
      </c>
      <c r="H24" s="17"/>
    </row>
    <row r="25" spans="1:8" ht="15" customHeight="1">
      <c r="A25" s="12">
        <v>13</v>
      </c>
      <c r="B25" s="30" t="s">
        <v>182</v>
      </c>
      <c r="C25" s="17"/>
      <c r="D25" s="17"/>
      <c r="E25" s="35">
        <f t="shared" si="0"/>
        <v>0</v>
      </c>
      <c r="F25" s="36" t="str">
        <f t="shared" si="1"/>
        <v>유지</v>
      </c>
      <c r="G25" s="37" t="str">
        <f t="shared" si="2"/>
        <v/>
      </c>
      <c r="H25" s="17"/>
    </row>
  </sheetData>
  <mergeCells count="3">
    <mergeCell ref="A1:H1"/>
    <mergeCell ref="A2:H2"/>
    <mergeCell ref="A11:H11"/>
  </mergeCells>
  <phoneticPr fontId="25" type="noConversion"/>
  <conditionalFormatting sqref="E5:E9">
    <cfRule type="cellIs" dxfId="20" priority="2" operator="equal">
      <formula>"악화"</formula>
    </cfRule>
    <cfRule type="cellIs" dxfId="19" priority="3" operator="equal">
      <formula>"개선"</formula>
    </cfRule>
  </conditionalFormatting>
  <conditionalFormatting sqref="F5:F9">
    <cfRule type="cellIs" dxfId="18" priority="6" operator="equal">
      <formula>"⚠ 나빠짐"</formula>
    </cfRule>
  </conditionalFormatting>
  <conditionalFormatting sqref="F13:F25">
    <cfRule type="cellIs" dxfId="17" priority="4" operator="equal">
      <formula>"악화"</formula>
    </cfRule>
    <cfRule type="cellIs" dxfId="16" priority="5" operator="equal">
      <formula>"개선"</formula>
    </cfRule>
  </conditionalFormatting>
  <conditionalFormatting sqref="G13:G25">
    <cfRule type="cellIs" dxfId="15" priority="7" operator="equal">
      <formula>"⚠ 나빠짐"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3"/>
  <sheetViews>
    <sheetView zoomScaleNormal="100" workbookViewId="0">
      <selection sqref="A1:F1"/>
    </sheetView>
  </sheetViews>
  <sheetFormatPr baseColWidth="10" defaultColWidth="8.6640625" defaultRowHeight="15"/>
  <cols>
    <col min="1" max="1" width="12" customWidth="1"/>
    <col min="2" max="2" width="10" customWidth="1"/>
    <col min="3" max="4" width="32" customWidth="1"/>
    <col min="5" max="5" width="28" customWidth="1"/>
    <col min="6" max="6" width="16" customWidth="1"/>
  </cols>
  <sheetData>
    <row r="1" spans="1:6" ht="25.5" customHeight="1">
      <c r="A1" s="88" t="s">
        <v>290</v>
      </c>
      <c r="B1" s="88"/>
      <c r="C1" s="88"/>
      <c r="D1" s="88"/>
      <c r="E1" s="88"/>
      <c r="F1" s="88"/>
    </row>
    <row r="2" spans="1:6" ht="13.5" customHeight="1">
      <c r="A2" s="61" t="s">
        <v>291</v>
      </c>
      <c r="B2" s="61"/>
      <c r="C2" s="61"/>
      <c r="D2" s="61"/>
      <c r="E2" s="61"/>
      <c r="F2" s="61"/>
    </row>
    <row r="3" spans="1:6" ht="25.5" customHeight="1">
      <c r="A3" s="10" t="s">
        <v>292</v>
      </c>
      <c r="B3" s="10" t="s">
        <v>293</v>
      </c>
      <c r="C3" s="10" t="s">
        <v>294</v>
      </c>
      <c r="D3" s="9" t="s">
        <v>295</v>
      </c>
      <c r="E3" s="10" t="s">
        <v>296</v>
      </c>
      <c r="F3" s="10" t="s">
        <v>297</v>
      </c>
    </row>
    <row r="4" spans="1:6" ht="30" customHeight="1">
      <c r="A4" s="16"/>
      <c r="B4" s="16"/>
      <c r="C4" s="16"/>
      <c r="D4" s="16"/>
      <c r="E4" s="16"/>
      <c r="F4" s="16"/>
    </row>
    <row r="5" spans="1:6" ht="30" customHeight="1">
      <c r="A5" s="16"/>
      <c r="B5" s="16"/>
      <c r="C5" s="16"/>
      <c r="D5" s="16"/>
      <c r="E5" s="16"/>
      <c r="F5" s="16"/>
    </row>
    <row r="6" spans="1:6" ht="30" customHeight="1">
      <c r="A6" s="16"/>
      <c r="B6" s="16"/>
      <c r="C6" s="16"/>
      <c r="D6" s="16"/>
      <c r="E6" s="16"/>
      <c r="F6" s="16"/>
    </row>
    <row r="7" spans="1:6" ht="30" customHeight="1">
      <c r="A7" s="16"/>
      <c r="B7" s="16"/>
      <c r="C7" s="16"/>
      <c r="D7" s="16"/>
      <c r="E7" s="16"/>
      <c r="F7" s="16"/>
    </row>
    <row r="8" spans="1:6" ht="30" customHeight="1">
      <c r="A8" s="16"/>
      <c r="B8" s="16"/>
      <c r="C8" s="16"/>
      <c r="D8" s="16"/>
      <c r="E8" s="16"/>
      <c r="F8" s="16"/>
    </row>
    <row r="9" spans="1:6" ht="30" customHeight="1">
      <c r="A9" s="16"/>
      <c r="B9" s="16"/>
      <c r="C9" s="16"/>
      <c r="D9" s="16"/>
      <c r="E9" s="16"/>
      <c r="F9" s="16"/>
    </row>
    <row r="10" spans="1:6" ht="30" customHeight="1">
      <c r="A10" s="16"/>
      <c r="B10" s="16"/>
      <c r="C10" s="16"/>
      <c r="D10" s="16"/>
      <c r="E10" s="16"/>
      <c r="F10" s="16"/>
    </row>
    <row r="11" spans="1:6" ht="30" customHeight="1">
      <c r="A11" s="16"/>
      <c r="B11" s="16"/>
      <c r="C11" s="16"/>
      <c r="D11" s="16"/>
      <c r="E11" s="16"/>
      <c r="F11" s="16"/>
    </row>
    <row r="12" spans="1:6" ht="30" customHeight="1">
      <c r="A12" s="16"/>
      <c r="B12" s="16"/>
      <c r="C12" s="16"/>
      <c r="D12" s="16"/>
      <c r="E12" s="16"/>
      <c r="F12" s="16"/>
    </row>
    <row r="13" spans="1:6" ht="30" customHeight="1">
      <c r="A13" s="16"/>
      <c r="B13" s="16"/>
      <c r="C13" s="16"/>
      <c r="D13" s="16"/>
      <c r="E13" s="16"/>
      <c r="F13" s="16"/>
    </row>
    <row r="14" spans="1:6" ht="30" customHeight="1">
      <c r="A14" s="16"/>
      <c r="B14" s="16"/>
      <c r="C14" s="16"/>
      <c r="D14" s="16"/>
      <c r="E14" s="16"/>
      <c r="F14" s="16"/>
    </row>
    <row r="15" spans="1:6" ht="30" customHeight="1">
      <c r="A15" s="16"/>
      <c r="B15" s="16"/>
      <c r="C15" s="16"/>
      <c r="D15" s="16"/>
      <c r="E15" s="16"/>
      <c r="F15" s="16"/>
    </row>
    <row r="16" spans="1:6" ht="30" customHeight="1">
      <c r="A16" s="16"/>
      <c r="B16" s="16"/>
      <c r="C16" s="16"/>
      <c r="D16" s="16"/>
      <c r="E16" s="16"/>
      <c r="F16" s="16"/>
    </row>
    <row r="17" spans="1:6" ht="30" customHeight="1">
      <c r="A17" s="16"/>
      <c r="B17" s="16"/>
      <c r="C17" s="16"/>
      <c r="D17" s="16"/>
      <c r="E17" s="16"/>
      <c r="F17" s="16"/>
    </row>
    <row r="18" spans="1:6" ht="30" customHeight="1">
      <c r="A18" s="16"/>
      <c r="B18" s="16"/>
      <c r="C18" s="16"/>
      <c r="D18" s="16"/>
      <c r="E18" s="16"/>
      <c r="F18" s="16"/>
    </row>
    <row r="19" spans="1:6" ht="30" customHeight="1">
      <c r="A19" s="16"/>
      <c r="B19" s="16"/>
      <c r="C19" s="16"/>
      <c r="D19" s="16"/>
      <c r="E19" s="16"/>
      <c r="F19" s="16"/>
    </row>
    <row r="20" spans="1:6" ht="30" customHeight="1">
      <c r="A20" s="16"/>
      <c r="B20" s="16"/>
      <c r="C20" s="16"/>
      <c r="D20" s="16"/>
      <c r="E20" s="16"/>
      <c r="F20" s="16"/>
    </row>
    <row r="21" spans="1:6" ht="30" customHeight="1">
      <c r="A21" s="16"/>
      <c r="B21" s="16"/>
      <c r="C21" s="16"/>
      <c r="D21" s="16"/>
      <c r="E21" s="16"/>
      <c r="F21" s="16"/>
    </row>
    <row r="22" spans="1:6" ht="30" customHeight="1">
      <c r="A22" s="16"/>
      <c r="B22" s="16"/>
      <c r="C22" s="16"/>
      <c r="D22" s="16"/>
      <c r="E22" s="16"/>
      <c r="F22" s="16"/>
    </row>
    <row r="23" spans="1:6" ht="30" customHeight="1">
      <c r="A23" s="16"/>
      <c r="B23" s="16"/>
      <c r="C23" s="16"/>
      <c r="D23" s="16"/>
      <c r="E23" s="16"/>
      <c r="F23" s="16"/>
    </row>
    <row r="24" spans="1:6" ht="30" customHeight="1">
      <c r="A24" s="16"/>
      <c r="B24" s="16"/>
      <c r="C24" s="16"/>
      <c r="D24" s="16"/>
      <c r="E24" s="16"/>
      <c r="F24" s="16"/>
    </row>
    <row r="25" spans="1:6" ht="30" customHeight="1">
      <c r="A25" s="16"/>
      <c r="B25" s="16"/>
      <c r="C25" s="16"/>
      <c r="D25" s="16"/>
      <c r="E25" s="16"/>
      <c r="F25" s="16"/>
    </row>
    <row r="26" spans="1:6" ht="30" customHeight="1">
      <c r="A26" s="16"/>
      <c r="B26" s="16"/>
      <c r="C26" s="16"/>
      <c r="D26" s="16"/>
      <c r="E26" s="16"/>
      <c r="F26" s="16"/>
    </row>
    <row r="27" spans="1:6" ht="30" customHeight="1">
      <c r="A27" s="16"/>
      <c r="B27" s="16"/>
      <c r="C27" s="16"/>
      <c r="D27" s="16"/>
      <c r="E27" s="16"/>
      <c r="F27" s="16"/>
    </row>
    <row r="28" spans="1:6" ht="30" customHeight="1">
      <c r="A28" s="16"/>
      <c r="B28" s="16"/>
      <c r="C28" s="16"/>
      <c r="D28" s="16"/>
      <c r="E28" s="16"/>
      <c r="F28" s="16"/>
    </row>
    <row r="29" spans="1:6" ht="30" customHeight="1">
      <c r="A29" s="16"/>
      <c r="B29" s="16"/>
      <c r="C29" s="16"/>
      <c r="D29" s="16"/>
      <c r="E29" s="16"/>
      <c r="F29" s="16"/>
    </row>
    <row r="30" spans="1:6" ht="30" customHeight="1">
      <c r="A30" s="16"/>
      <c r="B30" s="16"/>
      <c r="C30" s="16"/>
      <c r="D30" s="16"/>
      <c r="E30" s="16"/>
      <c r="F30" s="16"/>
    </row>
    <row r="31" spans="1:6" ht="30" customHeight="1">
      <c r="A31" s="16"/>
      <c r="B31" s="16"/>
      <c r="C31" s="16"/>
      <c r="D31" s="16"/>
      <c r="E31" s="16"/>
      <c r="F31" s="16"/>
    </row>
    <row r="32" spans="1:6" ht="30" customHeight="1">
      <c r="A32" s="16"/>
      <c r="B32" s="16"/>
      <c r="C32" s="16"/>
      <c r="D32" s="16"/>
      <c r="E32" s="16"/>
      <c r="F32" s="16"/>
    </row>
    <row r="33" spans="1:6" ht="30" customHeight="1">
      <c r="A33" s="16"/>
      <c r="B33" s="16"/>
      <c r="C33" s="16"/>
      <c r="D33" s="16"/>
      <c r="E33" s="16"/>
      <c r="F33" s="16"/>
    </row>
    <row r="34" spans="1:6" ht="30" customHeight="1">
      <c r="A34" s="16"/>
      <c r="B34" s="16"/>
      <c r="C34" s="16"/>
      <c r="D34" s="16"/>
      <c r="E34" s="16"/>
      <c r="F34" s="16"/>
    </row>
    <row r="35" spans="1:6" ht="30" customHeight="1">
      <c r="A35" s="16"/>
      <c r="B35" s="16"/>
      <c r="C35" s="16"/>
      <c r="D35" s="16"/>
      <c r="E35" s="16"/>
      <c r="F35" s="16"/>
    </row>
    <row r="36" spans="1:6" ht="30" customHeight="1">
      <c r="A36" s="16"/>
      <c r="B36" s="16"/>
      <c r="C36" s="16"/>
      <c r="D36" s="16"/>
      <c r="E36" s="16"/>
      <c r="F36" s="16"/>
    </row>
    <row r="37" spans="1:6" ht="30" customHeight="1">
      <c r="A37" s="16"/>
      <c r="B37" s="16"/>
      <c r="C37" s="16"/>
      <c r="D37" s="16"/>
      <c r="E37" s="16"/>
      <c r="F37" s="16"/>
    </row>
    <row r="38" spans="1:6" ht="30" customHeight="1">
      <c r="A38" s="16"/>
      <c r="B38" s="16"/>
      <c r="C38" s="16"/>
      <c r="D38" s="16"/>
      <c r="E38" s="16"/>
      <c r="F38" s="16"/>
    </row>
    <row r="39" spans="1:6" ht="30" customHeight="1">
      <c r="A39" s="16"/>
      <c r="B39" s="16"/>
      <c r="C39" s="16"/>
      <c r="D39" s="16"/>
      <c r="E39" s="16"/>
      <c r="F39" s="16"/>
    </row>
    <row r="40" spans="1:6" ht="30" customHeight="1">
      <c r="A40" s="16"/>
      <c r="B40" s="16"/>
      <c r="C40" s="16"/>
      <c r="D40" s="16"/>
      <c r="E40" s="16"/>
      <c r="F40" s="16"/>
    </row>
    <row r="41" spans="1:6" ht="30" customHeight="1">
      <c r="A41" s="16"/>
      <c r="B41" s="16"/>
      <c r="C41" s="16"/>
      <c r="D41" s="16"/>
      <c r="E41" s="16"/>
      <c r="F41" s="16"/>
    </row>
    <row r="42" spans="1:6" ht="30" customHeight="1">
      <c r="A42" s="16"/>
      <c r="B42" s="16"/>
      <c r="C42" s="16"/>
      <c r="D42" s="16"/>
      <c r="E42" s="16"/>
      <c r="F42" s="16"/>
    </row>
    <row r="43" spans="1:6" ht="30" customHeight="1">
      <c r="A43" s="16"/>
      <c r="B43" s="16"/>
      <c r="C43" s="16"/>
      <c r="D43" s="16"/>
      <c r="E43" s="16"/>
      <c r="F43" s="16"/>
    </row>
    <row r="44" spans="1:6" ht="30" customHeight="1">
      <c r="A44" s="16"/>
      <c r="B44" s="16"/>
      <c r="C44" s="16"/>
      <c r="D44" s="16"/>
      <c r="E44" s="16"/>
      <c r="F44" s="16"/>
    </row>
    <row r="45" spans="1:6" ht="30" customHeight="1">
      <c r="A45" s="16"/>
      <c r="B45" s="16"/>
      <c r="C45" s="16"/>
      <c r="D45" s="16"/>
      <c r="E45" s="16"/>
      <c r="F45" s="16"/>
    </row>
    <row r="46" spans="1:6" ht="30" customHeight="1">
      <c r="A46" s="16"/>
      <c r="B46" s="16"/>
      <c r="C46" s="16"/>
      <c r="D46" s="16"/>
      <c r="E46" s="16"/>
      <c r="F46" s="16"/>
    </row>
    <row r="47" spans="1:6" ht="30" customHeight="1">
      <c r="A47" s="16"/>
      <c r="B47" s="16"/>
      <c r="C47" s="16"/>
      <c r="D47" s="16"/>
      <c r="E47" s="16"/>
      <c r="F47" s="16"/>
    </row>
    <row r="48" spans="1:6" ht="30" customHeight="1">
      <c r="A48" s="16"/>
      <c r="B48" s="16"/>
      <c r="C48" s="16"/>
      <c r="D48" s="16"/>
      <c r="E48" s="16"/>
      <c r="F48" s="16"/>
    </row>
    <row r="49" spans="1:6" ht="30" customHeight="1">
      <c r="A49" s="16"/>
      <c r="B49" s="16"/>
      <c r="C49" s="16"/>
      <c r="D49" s="16"/>
      <c r="E49" s="16"/>
      <c r="F49" s="16"/>
    </row>
    <row r="50" spans="1:6" ht="30" customHeight="1">
      <c r="A50" s="16"/>
      <c r="B50" s="16"/>
      <c r="C50" s="16"/>
      <c r="D50" s="16"/>
      <c r="E50" s="16"/>
      <c r="F50" s="16"/>
    </row>
    <row r="51" spans="1:6" ht="30" customHeight="1">
      <c r="A51" s="16"/>
      <c r="B51" s="16"/>
      <c r="C51" s="16"/>
      <c r="D51" s="16"/>
      <c r="E51" s="16"/>
      <c r="F51" s="16"/>
    </row>
    <row r="52" spans="1:6" ht="30" customHeight="1">
      <c r="A52" s="16"/>
      <c r="B52" s="16"/>
      <c r="C52" s="16"/>
      <c r="D52" s="16"/>
      <c r="E52" s="16"/>
      <c r="F52" s="16"/>
    </row>
    <row r="53" spans="1:6" ht="30" customHeight="1">
      <c r="A53" s="16"/>
      <c r="B53" s="16"/>
      <c r="C53" s="16"/>
      <c r="D53" s="16"/>
      <c r="E53" s="16"/>
      <c r="F53" s="16"/>
    </row>
    <row r="54" spans="1:6" ht="30" customHeight="1">
      <c r="A54" s="16"/>
      <c r="B54" s="16"/>
      <c r="C54" s="16"/>
      <c r="D54" s="16"/>
      <c r="E54" s="16"/>
      <c r="F54" s="16"/>
    </row>
    <row r="55" spans="1:6" ht="30" customHeight="1">
      <c r="A55" s="16"/>
      <c r="B55" s="16"/>
      <c r="C55" s="16"/>
      <c r="D55" s="16"/>
      <c r="E55" s="16"/>
      <c r="F55" s="16"/>
    </row>
    <row r="56" spans="1:6" ht="30" customHeight="1">
      <c r="A56" s="16"/>
      <c r="B56" s="16"/>
      <c r="C56" s="16"/>
      <c r="D56" s="16"/>
      <c r="E56" s="16"/>
      <c r="F56" s="16"/>
    </row>
    <row r="57" spans="1:6" ht="30" customHeight="1">
      <c r="A57" s="16"/>
      <c r="B57" s="16"/>
      <c r="C57" s="16"/>
      <c r="D57" s="16"/>
      <c r="E57" s="16"/>
      <c r="F57" s="16"/>
    </row>
    <row r="58" spans="1:6" ht="30" customHeight="1">
      <c r="A58" s="16"/>
      <c r="B58" s="16"/>
      <c r="C58" s="16"/>
      <c r="D58" s="16"/>
      <c r="E58" s="16"/>
      <c r="F58" s="16"/>
    </row>
    <row r="59" spans="1:6" ht="30" customHeight="1">
      <c r="A59" s="16"/>
      <c r="B59" s="16"/>
      <c r="C59" s="16"/>
      <c r="D59" s="16"/>
      <c r="E59" s="16"/>
      <c r="F59" s="16"/>
    </row>
    <row r="60" spans="1:6" ht="30" customHeight="1">
      <c r="A60" s="16"/>
      <c r="B60" s="16"/>
      <c r="C60" s="16"/>
      <c r="D60" s="16"/>
      <c r="E60" s="16"/>
      <c r="F60" s="16"/>
    </row>
    <row r="61" spans="1:6" ht="30" customHeight="1">
      <c r="A61" s="16"/>
      <c r="B61" s="16"/>
      <c r="C61" s="16"/>
      <c r="D61" s="16"/>
      <c r="E61" s="16"/>
      <c r="F61" s="16"/>
    </row>
    <row r="62" spans="1:6" ht="30" customHeight="1">
      <c r="A62" s="16"/>
      <c r="B62" s="16"/>
      <c r="C62" s="16"/>
      <c r="D62" s="16"/>
      <c r="E62" s="16"/>
      <c r="F62" s="16"/>
    </row>
    <row r="63" spans="1:6" ht="30" customHeight="1">
      <c r="A63" s="16"/>
      <c r="B63" s="16"/>
      <c r="C63" s="16"/>
      <c r="D63" s="16"/>
      <c r="E63" s="16"/>
      <c r="F63" s="16"/>
    </row>
  </sheetData>
  <mergeCells count="2">
    <mergeCell ref="A1:F1"/>
    <mergeCell ref="A2:F2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4"/>
  <sheetViews>
    <sheetView zoomScale="85" zoomScaleNormal="85" workbookViewId="0">
      <pane xSplit="3" ySplit="16" topLeftCell="D67" activePane="bottomRight" state="frozen"/>
      <selection pane="topRight" activeCell="D1" sqref="D1"/>
      <selection pane="bottomLeft" activeCell="A17" sqref="A17"/>
      <selection pane="bottomRight" activeCell="B26" sqref="B26:E66"/>
    </sheetView>
  </sheetViews>
  <sheetFormatPr baseColWidth="10" defaultColWidth="8.6640625" defaultRowHeight="15"/>
  <cols>
    <col min="1" max="1" width="8" customWidth="1"/>
    <col min="2" max="3" width="32" customWidth="1"/>
    <col min="4" max="4" width="11" customWidth="1"/>
    <col min="5" max="5" width="8" customWidth="1"/>
    <col min="6" max="6" width="11" customWidth="1"/>
    <col min="7" max="7" width="8" customWidth="1"/>
    <col min="8" max="8" width="11" customWidth="1"/>
    <col min="9" max="9" width="8" customWidth="1"/>
    <col min="10" max="10" width="12" customWidth="1"/>
    <col min="11" max="11" width="10" customWidth="1"/>
    <col min="12" max="12" width="24" customWidth="1"/>
  </cols>
  <sheetData>
    <row r="1" spans="1:14" ht="25.5" customHeight="1">
      <c r="A1" s="60" t="s">
        <v>298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 ht="30" customHeight="1">
      <c r="A2" s="61" t="s">
        <v>299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4" spans="1:14" ht="21.75" customHeight="1">
      <c r="A4" s="62" t="s">
        <v>300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</row>
    <row r="5" spans="1:14" ht="21.75" customHeight="1">
      <c r="A5" s="13" t="s">
        <v>94</v>
      </c>
      <c r="B5" s="63" t="s">
        <v>301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</row>
    <row r="6" spans="1:14" ht="21.75" customHeight="1">
      <c r="A6" s="13" t="s">
        <v>102</v>
      </c>
      <c r="B6" s="63" t="s">
        <v>302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</row>
    <row r="7" spans="1:14" ht="21.75" customHeight="1">
      <c r="A7" s="13" t="s">
        <v>109</v>
      </c>
      <c r="B7" s="63" t="s">
        <v>303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</row>
    <row r="8" spans="1:14" ht="21.75" customHeight="1">
      <c r="A8" s="13" t="s">
        <v>117</v>
      </c>
      <c r="B8" s="63" t="s">
        <v>304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</row>
    <row r="9" spans="1:14" ht="21.75" customHeight="1">
      <c r="A9" s="13" t="s">
        <v>124</v>
      </c>
      <c r="B9" s="63" t="s">
        <v>305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</row>
    <row r="10" spans="1:14" ht="21.75" customHeight="1">
      <c r="A10" s="13" t="s">
        <v>131</v>
      </c>
      <c r="B10" s="64" t="s">
        <v>306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2" spans="1:14" ht="21.75" customHeight="1">
      <c r="A12" s="62" t="s">
        <v>307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</row>
    <row r="13" spans="1:14" ht="40.5" customHeight="1">
      <c r="A13" s="14" t="s">
        <v>308</v>
      </c>
      <c r="B13" s="17"/>
      <c r="C13" s="14" t="s">
        <v>309</v>
      </c>
      <c r="D13" s="17"/>
      <c r="E13" s="14" t="s">
        <v>310</v>
      </c>
      <c r="F13" s="17"/>
      <c r="G13" s="14" t="s">
        <v>311</v>
      </c>
      <c r="H13" s="17"/>
    </row>
    <row r="14" spans="1:14" ht="41" customHeight="1">
      <c r="B14" s="59"/>
      <c r="C14" s="59"/>
      <c r="D14" s="59"/>
      <c r="E14" s="59"/>
      <c r="F14" s="59"/>
      <c r="G14" s="5"/>
      <c r="H14" s="59"/>
      <c r="I14" s="59"/>
      <c r="J14" s="59"/>
      <c r="K14" s="59"/>
      <c r="L14" s="59"/>
      <c r="M14" s="59"/>
    </row>
    <row r="15" spans="1:14" ht="25.5" customHeight="1">
      <c r="A15" s="65" t="s">
        <v>312</v>
      </c>
      <c r="B15" s="65" t="s">
        <v>206</v>
      </c>
      <c r="C15" s="66" t="s">
        <v>207</v>
      </c>
      <c r="D15" s="67" t="s">
        <v>313</v>
      </c>
      <c r="E15" s="67"/>
      <c r="F15" s="68" t="s">
        <v>314</v>
      </c>
      <c r="G15" s="68"/>
      <c r="H15" s="69" t="s">
        <v>315</v>
      </c>
      <c r="I15" s="69"/>
      <c r="J15" s="65" t="s">
        <v>316</v>
      </c>
      <c r="K15" s="65" t="s">
        <v>317</v>
      </c>
      <c r="L15" s="65" t="s">
        <v>318</v>
      </c>
    </row>
    <row r="16" spans="1:14" ht="21.75" customHeight="1">
      <c r="A16" s="65"/>
      <c r="B16" s="65"/>
      <c r="C16" s="65"/>
      <c r="D16" s="14" t="s">
        <v>87</v>
      </c>
      <c r="E16" s="14" t="s">
        <v>319</v>
      </c>
      <c r="F16" s="14" t="s">
        <v>87</v>
      </c>
      <c r="G16" s="14" t="s">
        <v>319</v>
      </c>
      <c r="H16" s="14" t="s">
        <v>87</v>
      </c>
      <c r="I16" s="14" t="s">
        <v>319</v>
      </c>
      <c r="J16" s="65"/>
      <c r="K16" s="65"/>
      <c r="L16" s="65"/>
    </row>
    <row r="17" spans="1:12" ht="51">
      <c r="A17" s="37">
        <v>1</v>
      </c>
      <c r="B17" s="58" t="s">
        <v>411</v>
      </c>
      <c r="C17" s="58" t="s">
        <v>402</v>
      </c>
      <c r="D17" s="38">
        <v>3</v>
      </c>
      <c r="E17" s="38">
        <v>1</v>
      </c>
      <c r="F17" s="39"/>
      <c r="G17" s="39"/>
      <c r="H17" s="40"/>
      <c r="I17" s="40"/>
      <c r="J17" s="37" t="str">
        <f t="shared" ref="J17:J66" si="0">IF(OR(D17="",F17=""),"",IF(H17="",IF(D17=F17,"○","✗"),IF(AND(D17=F17,F17=H17),"○","✗")))</f>
        <v/>
      </c>
      <c r="K17" s="37" t="str">
        <f t="shared" ref="K17:K66" si="1">IF(J17="✗","✗",IF(OR(E17="",G17=""),"",IF(I17="",IF(E17=G17,"○","✗"),IF(AND(E17=G17,G17=I17),"○","✗"))))</f>
        <v/>
      </c>
      <c r="L17" s="20"/>
    </row>
    <row r="18" spans="1:12" ht="68">
      <c r="A18" s="37">
        <v>2</v>
      </c>
      <c r="B18" s="58" t="s">
        <v>412</v>
      </c>
      <c r="C18" s="58" t="s">
        <v>403</v>
      </c>
      <c r="D18" s="38">
        <v>9</v>
      </c>
      <c r="E18" s="38">
        <v>1</v>
      </c>
      <c r="F18" s="39"/>
      <c r="G18" s="39"/>
      <c r="H18" s="40"/>
      <c r="I18" s="40"/>
      <c r="J18" s="37" t="str">
        <f t="shared" si="0"/>
        <v/>
      </c>
      <c r="K18" s="37" t="str">
        <f t="shared" si="1"/>
        <v/>
      </c>
      <c r="L18" s="20"/>
    </row>
    <row r="19" spans="1:12" ht="34">
      <c r="A19" s="37">
        <v>3</v>
      </c>
      <c r="B19" s="58" t="s">
        <v>413</v>
      </c>
      <c r="C19" s="58" t="s">
        <v>404</v>
      </c>
      <c r="D19" s="38">
        <v>9</v>
      </c>
      <c r="E19" s="38">
        <v>1</v>
      </c>
      <c r="F19" s="39"/>
      <c r="G19" s="39"/>
      <c r="H19" s="40"/>
      <c r="I19" s="40"/>
      <c r="J19" s="37" t="str">
        <f t="shared" si="0"/>
        <v/>
      </c>
      <c r="K19" s="37" t="str">
        <f t="shared" si="1"/>
        <v/>
      </c>
      <c r="L19" s="20"/>
    </row>
    <row r="20" spans="1:12" ht="72">
      <c r="A20" s="37">
        <v>4</v>
      </c>
      <c r="B20" s="58" t="s">
        <v>414</v>
      </c>
      <c r="C20" s="58" t="s">
        <v>410</v>
      </c>
      <c r="D20" s="38">
        <v>9</v>
      </c>
      <c r="E20" s="38">
        <v>2</v>
      </c>
      <c r="F20" s="39"/>
      <c r="G20" s="39"/>
      <c r="H20" s="40"/>
      <c r="I20" s="40"/>
      <c r="J20" s="37" t="str">
        <f t="shared" si="0"/>
        <v/>
      </c>
      <c r="K20" s="37" t="str">
        <f t="shared" si="1"/>
        <v/>
      </c>
      <c r="L20" s="20"/>
    </row>
    <row r="21" spans="1:12" ht="34">
      <c r="A21" s="37">
        <v>5</v>
      </c>
      <c r="B21" s="58" t="s">
        <v>415</v>
      </c>
      <c r="C21" s="58" t="s">
        <v>405</v>
      </c>
      <c r="D21" s="38">
        <v>9</v>
      </c>
      <c r="E21" s="38">
        <v>1</v>
      </c>
      <c r="F21" s="39"/>
      <c r="G21" s="39"/>
      <c r="H21" s="40"/>
      <c r="I21" s="40"/>
      <c r="J21" s="37" t="str">
        <f t="shared" si="0"/>
        <v/>
      </c>
      <c r="K21" s="37" t="str">
        <f t="shared" si="1"/>
        <v/>
      </c>
      <c r="L21" s="20"/>
    </row>
    <row r="22" spans="1:12" ht="34">
      <c r="A22" s="37">
        <v>6</v>
      </c>
      <c r="B22" s="58" t="s">
        <v>416</v>
      </c>
      <c r="C22" s="58" t="s">
        <v>406</v>
      </c>
      <c r="D22" s="38">
        <v>9</v>
      </c>
      <c r="E22" s="38">
        <v>1</v>
      </c>
      <c r="F22" s="39"/>
      <c r="G22" s="39"/>
      <c r="H22" s="40"/>
      <c r="I22" s="40"/>
      <c r="J22" s="37" t="str">
        <f t="shared" si="0"/>
        <v/>
      </c>
      <c r="K22" s="37" t="str">
        <f t="shared" si="1"/>
        <v/>
      </c>
      <c r="L22" s="20"/>
    </row>
    <row r="23" spans="1:12" ht="34">
      <c r="A23" s="37">
        <v>7</v>
      </c>
      <c r="B23" s="58" t="s">
        <v>417</v>
      </c>
      <c r="C23" s="58" t="s">
        <v>407</v>
      </c>
      <c r="D23" s="38">
        <v>9</v>
      </c>
      <c r="E23" s="38">
        <v>1</v>
      </c>
      <c r="F23" s="39"/>
      <c r="G23" s="39"/>
      <c r="H23" s="40"/>
      <c r="I23" s="40"/>
      <c r="J23" s="37" t="str">
        <f t="shared" si="0"/>
        <v/>
      </c>
      <c r="K23" s="37" t="str">
        <f t="shared" si="1"/>
        <v/>
      </c>
      <c r="L23" s="20"/>
    </row>
    <row r="24" spans="1:12" ht="34">
      <c r="A24" s="37">
        <v>8</v>
      </c>
      <c r="B24" s="58" t="s">
        <v>418</v>
      </c>
      <c r="C24" s="58" t="s">
        <v>408</v>
      </c>
      <c r="D24" s="38">
        <v>9</v>
      </c>
      <c r="E24" s="38">
        <v>1</v>
      </c>
      <c r="F24" s="39"/>
      <c r="G24" s="39"/>
      <c r="H24" s="40"/>
      <c r="I24" s="40"/>
      <c r="J24" s="37" t="str">
        <f t="shared" si="0"/>
        <v/>
      </c>
      <c r="K24" s="37" t="str">
        <f t="shared" si="1"/>
        <v/>
      </c>
      <c r="L24" s="20"/>
    </row>
    <row r="25" spans="1:12" ht="34">
      <c r="A25" s="37">
        <v>9</v>
      </c>
      <c r="B25" s="58" t="s">
        <v>419</v>
      </c>
      <c r="C25" s="58" t="s">
        <v>409</v>
      </c>
      <c r="D25" s="38">
        <v>9</v>
      </c>
      <c r="E25" s="38">
        <v>2</v>
      </c>
      <c r="F25" s="39"/>
      <c r="G25" s="39"/>
      <c r="H25" s="40"/>
      <c r="I25" s="40"/>
      <c r="J25" s="37" t="str">
        <f t="shared" si="0"/>
        <v/>
      </c>
      <c r="K25" s="37" t="str">
        <f t="shared" si="1"/>
        <v/>
      </c>
      <c r="L25" s="20"/>
    </row>
    <row r="26" spans="1:12" ht="16">
      <c r="A26" s="37">
        <v>10</v>
      </c>
      <c r="B26" s="58"/>
      <c r="C26" s="58"/>
      <c r="D26" s="38"/>
      <c r="E26" s="38"/>
      <c r="F26" s="39"/>
      <c r="G26" s="39"/>
      <c r="H26" s="40"/>
      <c r="I26" s="40"/>
      <c r="J26" s="37" t="str">
        <f t="shared" si="0"/>
        <v/>
      </c>
      <c r="K26" s="37" t="str">
        <f t="shared" si="1"/>
        <v/>
      </c>
      <c r="L26" s="20"/>
    </row>
    <row r="27" spans="1:12" ht="16">
      <c r="A27" s="37">
        <v>11</v>
      </c>
      <c r="B27" s="58"/>
      <c r="C27" s="58"/>
      <c r="D27" s="38"/>
      <c r="E27" s="38"/>
      <c r="F27" s="39"/>
      <c r="G27" s="39"/>
      <c r="H27" s="40"/>
      <c r="I27" s="40"/>
      <c r="J27" s="37" t="str">
        <f t="shared" si="0"/>
        <v/>
      </c>
      <c r="K27" s="37" t="str">
        <f t="shared" si="1"/>
        <v/>
      </c>
      <c r="L27" s="20"/>
    </row>
    <row r="28" spans="1:12" ht="16">
      <c r="A28" s="37">
        <v>12</v>
      </c>
      <c r="B28" s="58"/>
      <c r="C28" s="58"/>
      <c r="D28" s="38"/>
      <c r="E28" s="38"/>
      <c r="F28" s="39"/>
      <c r="G28" s="39"/>
      <c r="H28" s="40"/>
      <c r="I28" s="40"/>
      <c r="J28" s="37" t="str">
        <f t="shared" si="0"/>
        <v/>
      </c>
      <c r="K28" s="37" t="str">
        <f t="shared" si="1"/>
        <v/>
      </c>
      <c r="L28" s="20"/>
    </row>
    <row r="29" spans="1:12" ht="16">
      <c r="A29" s="37">
        <v>13</v>
      </c>
      <c r="B29" s="58"/>
      <c r="C29" s="58"/>
      <c r="D29" s="38"/>
      <c r="E29" s="38"/>
      <c r="F29" s="39"/>
      <c r="G29" s="39"/>
      <c r="H29" s="40"/>
      <c r="I29" s="40"/>
      <c r="J29" s="37" t="str">
        <f t="shared" si="0"/>
        <v/>
      </c>
      <c r="K29" s="37" t="str">
        <f t="shared" si="1"/>
        <v/>
      </c>
      <c r="L29" s="20"/>
    </row>
    <row r="30" spans="1:12" ht="16">
      <c r="A30" s="37">
        <v>14</v>
      </c>
      <c r="B30" s="58"/>
      <c r="C30" s="58"/>
      <c r="D30" s="38"/>
      <c r="E30" s="38"/>
      <c r="F30" s="39"/>
      <c r="G30" s="39"/>
      <c r="H30" s="40"/>
      <c r="I30" s="40"/>
      <c r="J30" s="37" t="str">
        <f t="shared" si="0"/>
        <v/>
      </c>
      <c r="K30" s="37" t="str">
        <f t="shared" si="1"/>
        <v/>
      </c>
      <c r="L30" s="20"/>
    </row>
    <row r="31" spans="1:12" ht="16">
      <c r="A31" s="37">
        <v>15</v>
      </c>
      <c r="B31" s="58"/>
      <c r="C31" s="58"/>
      <c r="D31" s="38"/>
      <c r="E31" s="38"/>
      <c r="F31" s="39"/>
      <c r="G31" s="39"/>
      <c r="H31" s="40"/>
      <c r="I31" s="40"/>
      <c r="J31" s="37" t="str">
        <f t="shared" si="0"/>
        <v/>
      </c>
      <c r="K31" s="37" t="str">
        <f t="shared" si="1"/>
        <v/>
      </c>
      <c r="L31" s="20"/>
    </row>
    <row r="32" spans="1:12" ht="16">
      <c r="A32" s="37">
        <v>16</v>
      </c>
      <c r="B32" s="58"/>
      <c r="C32" s="58"/>
      <c r="D32" s="38"/>
      <c r="E32" s="38"/>
      <c r="F32" s="39"/>
      <c r="G32" s="39"/>
      <c r="H32" s="40"/>
      <c r="I32" s="40"/>
      <c r="J32" s="37" t="str">
        <f t="shared" si="0"/>
        <v/>
      </c>
      <c r="K32" s="37" t="str">
        <f t="shared" si="1"/>
        <v/>
      </c>
      <c r="L32" s="20"/>
    </row>
    <row r="33" spans="1:12" ht="16">
      <c r="A33" s="37">
        <v>17</v>
      </c>
      <c r="B33" s="58"/>
      <c r="C33" s="58"/>
      <c r="D33" s="38"/>
      <c r="E33" s="38"/>
      <c r="F33" s="39"/>
      <c r="G33" s="39"/>
      <c r="H33" s="40"/>
      <c r="I33" s="40"/>
      <c r="J33" s="37" t="str">
        <f t="shared" si="0"/>
        <v/>
      </c>
      <c r="K33" s="37" t="str">
        <f t="shared" si="1"/>
        <v/>
      </c>
      <c r="L33" s="20"/>
    </row>
    <row r="34" spans="1:12" ht="16">
      <c r="A34" s="37">
        <v>18</v>
      </c>
      <c r="B34" s="58"/>
      <c r="C34" s="58"/>
      <c r="D34" s="38"/>
      <c r="E34" s="38"/>
      <c r="F34" s="39"/>
      <c r="G34" s="39"/>
      <c r="H34" s="40"/>
      <c r="I34" s="40"/>
      <c r="J34" s="37" t="str">
        <f t="shared" si="0"/>
        <v/>
      </c>
      <c r="K34" s="37" t="str">
        <f t="shared" si="1"/>
        <v/>
      </c>
      <c r="L34" s="20"/>
    </row>
    <row r="35" spans="1:12" ht="16">
      <c r="A35" s="37">
        <v>19</v>
      </c>
      <c r="B35" s="58"/>
      <c r="C35" s="58"/>
      <c r="D35" s="38"/>
      <c r="E35" s="38"/>
      <c r="F35" s="39"/>
      <c r="G35" s="39"/>
      <c r="H35" s="40"/>
      <c r="I35" s="40"/>
      <c r="J35" s="37" t="str">
        <f t="shared" si="0"/>
        <v/>
      </c>
      <c r="K35" s="37" t="str">
        <f t="shared" si="1"/>
        <v/>
      </c>
      <c r="L35" s="20"/>
    </row>
    <row r="36" spans="1:12" ht="16">
      <c r="A36" s="37">
        <v>20</v>
      </c>
      <c r="B36" s="58"/>
      <c r="C36" s="58"/>
      <c r="D36" s="38"/>
      <c r="E36" s="38"/>
      <c r="F36" s="39"/>
      <c r="G36" s="39"/>
      <c r="H36" s="40"/>
      <c r="I36" s="40"/>
      <c r="J36" s="37" t="str">
        <f t="shared" si="0"/>
        <v/>
      </c>
      <c r="K36" s="37" t="str">
        <f t="shared" si="1"/>
        <v/>
      </c>
      <c r="L36" s="20"/>
    </row>
    <row r="37" spans="1:12" ht="16">
      <c r="A37" s="37">
        <v>21</v>
      </c>
      <c r="B37" s="58"/>
      <c r="C37" s="58"/>
      <c r="D37" s="38"/>
      <c r="E37" s="38"/>
      <c r="F37" s="39"/>
      <c r="G37" s="39"/>
      <c r="H37" s="40"/>
      <c r="I37" s="40"/>
      <c r="J37" s="37" t="str">
        <f t="shared" si="0"/>
        <v/>
      </c>
      <c r="K37" s="37" t="str">
        <f t="shared" si="1"/>
        <v/>
      </c>
      <c r="L37" s="20"/>
    </row>
    <row r="38" spans="1:12" ht="16">
      <c r="A38" s="37">
        <v>22</v>
      </c>
      <c r="B38" s="58"/>
      <c r="C38" s="58"/>
      <c r="D38" s="38"/>
      <c r="E38" s="38"/>
      <c r="F38" s="39"/>
      <c r="G38" s="39"/>
      <c r="H38" s="40"/>
      <c r="I38" s="40"/>
      <c r="J38" s="37" t="str">
        <f t="shared" si="0"/>
        <v/>
      </c>
      <c r="K38" s="37" t="str">
        <f t="shared" si="1"/>
        <v/>
      </c>
      <c r="L38" s="20"/>
    </row>
    <row r="39" spans="1:12" ht="16">
      <c r="A39" s="37">
        <v>23</v>
      </c>
      <c r="B39" s="58"/>
      <c r="C39" s="58"/>
      <c r="D39" s="38"/>
      <c r="E39" s="38"/>
      <c r="F39" s="39"/>
      <c r="G39" s="39"/>
      <c r="H39" s="40"/>
      <c r="I39" s="40"/>
      <c r="J39" s="37" t="str">
        <f t="shared" si="0"/>
        <v/>
      </c>
      <c r="K39" s="37" t="str">
        <f t="shared" si="1"/>
        <v/>
      </c>
      <c r="L39" s="20"/>
    </row>
    <row r="40" spans="1:12" ht="16">
      <c r="A40" s="37">
        <v>24</v>
      </c>
      <c r="B40" s="58"/>
      <c r="C40" s="58"/>
      <c r="D40" s="38"/>
      <c r="E40" s="38"/>
      <c r="F40" s="39"/>
      <c r="G40" s="39"/>
      <c r="H40" s="40"/>
      <c r="I40" s="40"/>
      <c r="J40" s="37" t="str">
        <f t="shared" si="0"/>
        <v/>
      </c>
      <c r="K40" s="37" t="str">
        <f t="shared" si="1"/>
        <v/>
      </c>
      <c r="L40" s="20"/>
    </row>
    <row r="41" spans="1:12" ht="16">
      <c r="A41" s="37">
        <v>25</v>
      </c>
      <c r="B41" s="58"/>
      <c r="C41" s="58"/>
      <c r="D41" s="38"/>
      <c r="E41" s="38"/>
      <c r="F41" s="39"/>
      <c r="G41" s="39"/>
      <c r="H41" s="40"/>
      <c r="I41" s="40"/>
      <c r="J41" s="37" t="str">
        <f t="shared" si="0"/>
        <v/>
      </c>
      <c r="K41" s="37" t="str">
        <f t="shared" si="1"/>
        <v/>
      </c>
      <c r="L41" s="20"/>
    </row>
    <row r="42" spans="1:12" ht="16">
      <c r="A42" s="37">
        <v>26</v>
      </c>
      <c r="B42" s="58"/>
      <c r="C42" s="58"/>
      <c r="D42" s="38"/>
      <c r="E42" s="38"/>
      <c r="F42" s="39"/>
      <c r="G42" s="39"/>
      <c r="H42" s="40"/>
      <c r="I42" s="40"/>
      <c r="J42" s="37" t="str">
        <f t="shared" si="0"/>
        <v/>
      </c>
      <c r="K42" s="37" t="str">
        <f t="shared" si="1"/>
        <v/>
      </c>
      <c r="L42" s="20"/>
    </row>
    <row r="43" spans="1:12" ht="16">
      <c r="A43" s="37">
        <v>27</v>
      </c>
      <c r="B43" s="58"/>
      <c r="C43" s="58"/>
      <c r="D43" s="38"/>
      <c r="E43" s="38"/>
      <c r="F43" s="39"/>
      <c r="G43" s="39"/>
      <c r="H43" s="40"/>
      <c r="I43" s="40"/>
      <c r="J43" s="37" t="str">
        <f t="shared" si="0"/>
        <v/>
      </c>
      <c r="K43" s="37" t="str">
        <f t="shared" si="1"/>
        <v/>
      </c>
      <c r="L43" s="20"/>
    </row>
    <row r="44" spans="1:12" ht="16">
      <c r="A44" s="37">
        <v>28</v>
      </c>
      <c r="B44" s="58"/>
      <c r="C44" s="58"/>
      <c r="D44" s="38"/>
      <c r="E44" s="38"/>
      <c r="F44" s="39"/>
      <c r="G44" s="39"/>
      <c r="H44" s="40"/>
      <c r="I44" s="40"/>
      <c r="J44" s="37" t="str">
        <f t="shared" si="0"/>
        <v/>
      </c>
      <c r="K44" s="37" t="str">
        <f t="shared" si="1"/>
        <v/>
      </c>
      <c r="L44" s="20"/>
    </row>
    <row r="45" spans="1:12" ht="16">
      <c r="A45" s="37">
        <v>29</v>
      </c>
      <c r="B45" s="58"/>
      <c r="C45" s="58"/>
      <c r="D45" s="38"/>
      <c r="E45" s="38"/>
      <c r="F45" s="39"/>
      <c r="G45" s="39"/>
      <c r="H45" s="40"/>
      <c r="I45" s="40"/>
      <c r="J45" s="37" t="str">
        <f t="shared" si="0"/>
        <v/>
      </c>
      <c r="K45" s="37" t="str">
        <f t="shared" si="1"/>
        <v/>
      </c>
      <c r="L45" s="20"/>
    </row>
    <row r="46" spans="1:12" ht="16">
      <c r="A46" s="37">
        <v>30</v>
      </c>
      <c r="B46" s="58"/>
      <c r="C46" s="58"/>
      <c r="D46" s="38"/>
      <c r="E46" s="38"/>
      <c r="F46" s="39"/>
      <c r="G46" s="39"/>
      <c r="H46" s="40"/>
      <c r="I46" s="40"/>
      <c r="J46" s="37" t="str">
        <f t="shared" si="0"/>
        <v/>
      </c>
      <c r="K46" s="37" t="str">
        <f t="shared" si="1"/>
        <v/>
      </c>
      <c r="L46" s="20"/>
    </row>
    <row r="47" spans="1:12" ht="16">
      <c r="A47" s="37">
        <v>31</v>
      </c>
      <c r="B47" s="58"/>
      <c r="C47" s="58"/>
      <c r="D47" s="38"/>
      <c r="E47" s="38"/>
      <c r="F47" s="39"/>
      <c r="G47" s="39"/>
      <c r="H47" s="40"/>
      <c r="I47" s="40"/>
      <c r="J47" s="37" t="str">
        <f t="shared" si="0"/>
        <v/>
      </c>
      <c r="K47" s="37" t="str">
        <f t="shared" si="1"/>
        <v/>
      </c>
      <c r="L47" s="20"/>
    </row>
    <row r="48" spans="1:12" ht="16">
      <c r="A48" s="37">
        <v>32</v>
      </c>
      <c r="B48" s="58"/>
      <c r="C48" s="58"/>
      <c r="D48" s="38"/>
      <c r="E48" s="38"/>
      <c r="F48" s="39"/>
      <c r="G48" s="39"/>
      <c r="H48" s="40"/>
      <c r="I48" s="40"/>
      <c r="J48" s="37" t="str">
        <f t="shared" si="0"/>
        <v/>
      </c>
      <c r="K48" s="37" t="str">
        <f t="shared" si="1"/>
        <v/>
      </c>
      <c r="L48" s="20"/>
    </row>
    <row r="49" spans="1:12" ht="16">
      <c r="A49" s="37">
        <v>33</v>
      </c>
      <c r="B49" s="58"/>
      <c r="C49" s="58"/>
      <c r="D49" s="38"/>
      <c r="E49" s="38"/>
      <c r="F49" s="39"/>
      <c r="G49" s="39"/>
      <c r="H49" s="40"/>
      <c r="I49" s="40"/>
      <c r="J49" s="37" t="str">
        <f t="shared" si="0"/>
        <v/>
      </c>
      <c r="K49" s="37" t="str">
        <f t="shared" si="1"/>
        <v/>
      </c>
      <c r="L49" s="20"/>
    </row>
    <row r="50" spans="1:12" ht="16">
      <c r="A50" s="37">
        <v>34</v>
      </c>
      <c r="B50" s="58"/>
      <c r="C50" s="58"/>
      <c r="D50" s="38"/>
      <c r="E50" s="38"/>
      <c r="F50" s="39"/>
      <c r="G50" s="39"/>
      <c r="H50" s="40"/>
      <c r="I50" s="40"/>
      <c r="J50" s="37" t="str">
        <f t="shared" si="0"/>
        <v/>
      </c>
      <c r="K50" s="37" t="str">
        <f t="shared" si="1"/>
        <v/>
      </c>
      <c r="L50" s="20"/>
    </row>
    <row r="51" spans="1:12" ht="16">
      <c r="A51" s="37">
        <v>35</v>
      </c>
      <c r="B51" s="58"/>
      <c r="C51" s="58"/>
      <c r="D51" s="38"/>
      <c r="E51" s="38"/>
      <c r="F51" s="39"/>
      <c r="G51" s="39"/>
      <c r="H51" s="40"/>
      <c r="I51" s="40"/>
      <c r="J51" s="37" t="str">
        <f t="shared" si="0"/>
        <v/>
      </c>
      <c r="K51" s="37" t="str">
        <f t="shared" si="1"/>
        <v/>
      </c>
      <c r="L51" s="20"/>
    </row>
    <row r="52" spans="1:12" ht="16">
      <c r="A52" s="37">
        <v>36</v>
      </c>
      <c r="B52" s="58"/>
      <c r="C52" s="58"/>
      <c r="D52" s="38"/>
      <c r="E52" s="38"/>
      <c r="F52" s="39"/>
      <c r="G52" s="39"/>
      <c r="H52" s="40"/>
      <c r="I52" s="40"/>
      <c r="J52" s="37" t="str">
        <f t="shared" si="0"/>
        <v/>
      </c>
      <c r="K52" s="37" t="str">
        <f t="shared" si="1"/>
        <v/>
      </c>
      <c r="L52" s="20"/>
    </row>
    <row r="53" spans="1:12" ht="16">
      <c r="A53" s="37">
        <v>37</v>
      </c>
      <c r="B53" s="58"/>
      <c r="C53" s="58"/>
      <c r="D53" s="38"/>
      <c r="E53" s="38"/>
      <c r="F53" s="39"/>
      <c r="G53" s="39"/>
      <c r="H53" s="40"/>
      <c r="I53" s="40"/>
      <c r="J53" s="37" t="str">
        <f t="shared" si="0"/>
        <v/>
      </c>
      <c r="K53" s="37" t="str">
        <f t="shared" si="1"/>
        <v/>
      </c>
      <c r="L53" s="20"/>
    </row>
    <row r="54" spans="1:12" ht="16">
      <c r="A54" s="37">
        <v>38</v>
      </c>
      <c r="B54" s="58"/>
      <c r="C54" s="58"/>
      <c r="D54" s="38"/>
      <c r="E54" s="38"/>
      <c r="F54" s="39"/>
      <c r="G54" s="39"/>
      <c r="H54" s="40"/>
      <c r="I54" s="40"/>
      <c r="J54" s="37" t="str">
        <f t="shared" si="0"/>
        <v/>
      </c>
      <c r="K54" s="37" t="str">
        <f t="shared" si="1"/>
        <v/>
      </c>
      <c r="L54" s="20"/>
    </row>
    <row r="55" spans="1:12" ht="16">
      <c r="A55" s="37">
        <v>39</v>
      </c>
      <c r="B55" s="58"/>
      <c r="C55" s="58"/>
      <c r="D55" s="38"/>
      <c r="E55" s="38"/>
      <c r="F55" s="39"/>
      <c r="G55" s="39"/>
      <c r="H55" s="40"/>
      <c r="I55" s="40"/>
      <c r="J55" s="37" t="str">
        <f t="shared" si="0"/>
        <v/>
      </c>
      <c r="K55" s="37" t="str">
        <f t="shared" si="1"/>
        <v/>
      </c>
      <c r="L55" s="20"/>
    </row>
    <row r="56" spans="1:12" ht="16">
      <c r="A56" s="37">
        <v>40</v>
      </c>
      <c r="B56" s="58"/>
      <c r="C56" s="58"/>
      <c r="D56" s="38"/>
      <c r="E56" s="38"/>
      <c r="F56" s="39"/>
      <c r="G56" s="39"/>
      <c r="H56" s="40"/>
      <c r="I56" s="40"/>
      <c r="J56" s="37" t="str">
        <f t="shared" si="0"/>
        <v/>
      </c>
      <c r="K56" s="37" t="str">
        <f t="shared" si="1"/>
        <v/>
      </c>
      <c r="L56" s="20"/>
    </row>
    <row r="57" spans="1:12" ht="16">
      <c r="A57" s="37">
        <v>41</v>
      </c>
      <c r="B57" s="58"/>
      <c r="C57" s="58"/>
      <c r="D57" s="38"/>
      <c r="E57" s="38"/>
      <c r="F57" s="39"/>
      <c r="G57" s="39"/>
      <c r="H57" s="40"/>
      <c r="I57" s="40"/>
      <c r="J57" s="37" t="str">
        <f t="shared" si="0"/>
        <v/>
      </c>
      <c r="K57" s="37" t="str">
        <f t="shared" si="1"/>
        <v/>
      </c>
      <c r="L57" s="20"/>
    </row>
    <row r="58" spans="1:12" ht="16">
      <c r="A58" s="37">
        <v>42</v>
      </c>
      <c r="B58" s="58"/>
      <c r="C58" s="58"/>
      <c r="D58" s="38"/>
      <c r="E58" s="38"/>
      <c r="F58" s="39"/>
      <c r="G58" s="39"/>
      <c r="H58" s="40"/>
      <c r="I58" s="40"/>
      <c r="J58" s="37" t="str">
        <f t="shared" si="0"/>
        <v/>
      </c>
      <c r="K58" s="37" t="str">
        <f t="shared" si="1"/>
        <v/>
      </c>
      <c r="L58" s="20"/>
    </row>
    <row r="59" spans="1:12" ht="16">
      <c r="A59" s="37">
        <v>43</v>
      </c>
      <c r="B59" s="58"/>
      <c r="C59" s="58"/>
      <c r="D59" s="38"/>
      <c r="E59" s="38"/>
      <c r="F59" s="39"/>
      <c r="G59" s="39"/>
      <c r="H59" s="40"/>
      <c r="I59" s="40"/>
      <c r="J59" s="37" t="str">
        <f t="shared" si="0"/>
        <v/>
      </c>
      <c r="K59" s="37" t="str">
        <f t="shared" si="1"/>
        <v/>
      </c>
      <c r="L59" s="20"/>
    </row>
    <row r="60" spans="1:12" ht="16">
      <c r="A60" s="37">
        <v>44</v>
      </c>
      <c r="B60" s="58"/>
      <c r="C60" s="58"/>
      <c r="D60" s="38"/>
      <c r="E60" s="38"/>
      <c r="F60" s="39"/>
      <c r="G60" s="39"/>
      <c r="H60" s="40"/>
      <c r="I60" s="40"/>
      <c r="J60" s="37" t="str">
        <f t="shared" si="0"/>
        <v/>
      </c>
      <c r="K60" s="37" t="str">
        <f t="shared" si="1"/>
        <v/>
      </c>
      <c r="L60" s="20"/>
    </row>
    <row r="61" spans="1:12" ht="16">
      <c r="A61" s="37">
        <v>45</v>
      </c>
      <c r="B61" s="58"/>
      <c r="C61" s="58"/>
      <c r="D61" s="38"/>
      <c r="E61" s="38"/>
      <c r="F61" s="39"/>
      <c r="G61" s="39"/>
      <c r="H61" s="40"/>
      <c r="I61" s="40"/>
      <c r="J61" s="37" t="str">
        <f t="shared" si="0"/>
        <v/>
      </c>
      <c r="K61" s="37" t="str">
        <f t="shared" si="1"/>
        <v/>
      </c>
      <c r="L61" s="20"/>
    </row>
    <row r="62" spans="1:12" ht="16">
      <c r="A62" s="37">
        <v>46</v>
      </c>
      <c r="B62" s="58"/>
      <c r="C62" s="58"/>
      <c r="D62" s="38"/>
      <c r="E62" s="38"/>
      <c r="F62" s="39"/>
      <c r="G62" s="39"/>
      <c r="H62" s="40"/>
      <c r="I62" s="40"/>
      <c r="J62" s="37" t="str">
        <f t="shared" si="0"/>
        <v/>
      </c>
      <c r="K62" s="37" t="str">
        <f t="shared" si="1"/>
        <v/>
      </c>
      <c r="L62" s="20"/>
    </row>
    <row r="63" spans="1:12" ht="16">
      <c r="A63" s="37">
        <v>47</v>
      </c>
      <c r="B63" s="58"/>
      <c r="C63" s="58"/>
      <c r="D63" s="38"/>
      <c r="E63" s="38"/>
      <c r="F63" s="39"/>
      <c r="G63" s="39"/>
      <c r="H63" s="40"/>
      <c r="I63" s="40"/>
      <c r="J63" s="37" t="str">
        <f t="shared" si="0"/>
        <v/>
      </c>
      <c r="K63" s="37" t="str">
        <f t="shared" si="1"/>
        <v/>
      </c>
      <c r="L63" s="20"/>
    </row>
    <row r="64" spans="1:12" ht="16">
      <c r="A64" s="37">
        <v>48</v>
      </c>
      <c r="B64" s="58"/>
      <c r="C64" s="58"/>
      <c r="D64" s="38"/>
      <c r="E64" s="38"/>
      <c r="F64" s="39"/>
      <c r="G64" s="39"/>
      <c r="H64" s="40"/>
      <c r="I64" s="40"/>
      <c r="J64" s="37" t="str">
        <f t="shared" si="0"/>
        <v/>
      </c>
      <c r="K64" s="37" t="str">
        <f t="shared" si="1"/>
        <v/>
      </c>
      <c r="L64" s="20"/>
    </row>
    <row r="65" spans="1:12" ht="16">
      <c r="A65" s="37">
        <v>49</v>
      </c>
      <c r="B65" s="58"/>
      <c r="C65" s="58"/>
      <c r="D65" s="38"/>
      <c r="E65" s="38"/>
      <c r="F65" s="39"/>
      <c r="G65" s="39"/>
      <c r="H65" s="40"/>
      <c r="I65" s="40"/>
      <c r="J65" s="37" t="str">
        <f t="shared" si="0"/>
        <v/>
      </c>
      <c r="K65" s="37" t="str">
        <f t="shared" si="1"/>
        <v/>
      </c>
      <c r="L65" s="20"/>
    </row>
    <row r="66" spans="1:12" ht="16">
      <c r="A66" s="37">
        <v>50</v>
      </c>
      <c r="B66" s="58"/>
      <c r="C66" s="58"/>
      <c r="D66" s="38"/>
      <c r="E66" s="38"/>
      <c r="F66" s="39"/>
      <c r="G66" s="39"/>
      <c r="H66" s="40"/>
      <c r="I66" s="40"/>
      <c r="J66" s="37" t="str">
        <f t="shared" si="0"/>
        <v/>
      </c>
      <c r="K66" s="37" t="str">
        <f t="shared" si="1"/>
        <v/>
      </c>
      <c r="L66" s="20"/>
    </row>
    <row r="68" spans="1:12" ht="21.75" customHeight="1">
      <c r="A68" s="50" t="s">
        <v>320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</row>
    <row r="69" spans="1:12" ht="24" customHeight="1">
      <c r="A69" s="1" t="s">
        <v>321</v>
      </c>
      <c r="B69" s="1" t="s">
        <v>322</v>
      </c>
      <c r="C69" s="1" t="s">
        <v>250</v>
      </c>
      <c r="D69" s="1" t="s">
        <v>251</v>
      </c>
      <c r="E69" s="67" t="s">
        <v>323</v>
      </c>
      <c r="F69" s="67"/>
      <c r="G69" s="67"/>
      <c r="H69" s="67"/>
      <c r="I69" s="67"/>
      <c r="J69" s="67"/>
      <c r="K69" s="67"/>
      <c r="L69" s="67"/>
    </row>
    <row r="70" spans="1:12" ht="29.25" customHeight="1">
      <c r="A70" s="14" t="s">
        <v>324</v>
      </c>
      <c r="B70" s="11" t="s">
        <v>325</v>
      </c>
      <c r="C70" s="37">
        <f>COUNTIF(J17:J66,"○")+COUNTIF(J17:J66,"✗")</f>
        <v>0</v>
      </c>
      <c r="D70" s="41" t="s">
        <v>326</v>
      </c>
      <c r="E70" s="64" t="s">
        <v>327</v>
      </c>
      <c r="F70" s="64"/>
      <c r="G70" s="64"/>
      <c r="H70" s="64"/>
      <c r="I70" s="64"/>
      <c r="J70" s="64"/>
      <c r="K70" s="64"/>
      <c r="L70" s="64"/>
    </row>
    <row r="71" spans="1:12" ht="40.5" customHeight="1">
      <c r="A71" s="14" t="s">
        <v>328</v>
      </c>
      <c r="B71" s="11" t="s">
        <v>329</v>
      </c>
      <c r="C71" s="23">
        <f>IFERROR(COUNTIF(J17:J66,"○")/(COUNTIF(J17:J66,"○")+COUNTIF(J17:J66,"✗"))*100,0)</f>
        <v>0</v>
      </c>
      <c r="D71" s="41" t="str">
        <f>IF(C71="","",IF(C71&gt;=70,"✅ 본 평가 진입 가능",IF(C71&gt;=50,"⚠ 합의 부족 - 보강 후 재측정","❌ 평가 불가 - 정의 재검토")))</f>
        <v>❌ 평가 불가 - 정의 재검토</v>
      </c>
      <c r="E71" s="63" t="s">
        <v>330</v>
      </c>
      <c r="F71" s="63"/>
      <c r="G71" s="63"/>
      <c r="H71" s="63"/>
      <c r="I71" s="63"/>
      <c r="J71" s="63"/>
      <c r="K71" s="63"/>
      <c r="L71" s="63"/>
    </row>
    <row r="72" spans="1:12" ht="57.75" customHeight="1">
      <c r="A72" s="14" t="s">
        <v>331</v>
      </c>
      <c r="B72" s="11" t="s">
        <v>332</v>
      </c>
      <c r="C72" s="23">
        <f>IFERROR(COUNTIF(K17:K66,"○")/(COUNTIF(K17:K66,"○")+COUNTIF(K17:K66,"✗"))*100,0)</f>
        <v>0</v>
      </c>
      <c r="D72" s="41" t="str">
        <f>IF(C72="","",IF(C72&gt;=60,"✅ 충분","⚠ 강도 합의 부족 - 본 평가 영향 미미하나 보강 권장"))</f>
        <v>⚠ 강도 합의 부족 - 본 평가 영향 미미하나 보강 권장</v>
      </c>
      <c r="E72" s="63" t="s">
        <v>333</v>
      </c>
      <c r="F72" s="63"/>
      <c r="G72" s="63"/>
      <c r="H72" s="63"/>
      <c r="I72" s="63"/>
      <c r="J72" s="63"/>
      <c r="K72" s="63"/>
      <c r="L72" s="63"/>
    </row>
    <row r="74" spans="1:12" ht="21.75" customHeight="1">
      <c r="A74" s="50" t="s">
        <v>334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</row>
    <row r="75" spans="1:12" ht="21.75" customHeight="1">
      <c r="A75" s="27" t="s">
        <v>86</v>
      </c>
      <c r="B75" s="1" t="s">
        <v>87</v>
      </c>
      <c r="C75" s="1" t="s">
        <v>335</v>
      </c>
      <c r="D75" s="1" t="s">
        <v>336</v>
      </c>
      <c r="E75" s="1" t="s">
        <v>337</v>
      </c>
      <c r="F75" s="67" t="s">
        <v>210</v>
      </c>
      <c r="G75" s="67"/>
      <c r="H75" s="67"/>
      <c r="I75" s="67"/>
      <c r="J75" s="67"/>
      <c r="K75" s="67"/>
      <c r="L75" s="67"/>
    </row>
    <row r="76" spans="1:12" ht="21.75" customHeight="1">
      <c r="A76" s="11">
        <v>1</v>
      </c>
      <c r="B76" s="31" t="s">
        <v>338</v>
      </c>
      <c r="C76" s="37">
        <f>COUNTIF(D17:D66,1)</f>
        <v>0</v>
      </c>
      <c r="D76" s="37">
        <f>COUNTIF(F17:F66,1)</f>
        <v>0</v>
      </c>
      <c r="E76" s="37">
        <f>COUNTIF(H17:H66,1)</f>
        <v>0</v>
      </c>
      <c r="F76" s="70"/>
      <c r="G76" s="70"/>
      <c r="H76" s="70"/>
      <c r="I76" s="70"/>
      <c r="J76" s="70"/>
      <c r="K76" s="70"/>
      <c r="L76" s="70"/>
    </row>
    <row r="77" spans="1:12" ht="21.75" customHeight="1">
      <c r="A77" s="11">
        <v>2</v>
      </c>
      <c r="B77" s="31" t="s">
        <v>339</v>
      </c>
      <c r="C77" s="37">
        <f>COUNTIF(D17:D66,2)</f>
        <v>0</v>
      </c>
      <c r="D77" s="37">
        <f>COUNTIF(F17:F66,2)</f>
        <v>0</v>
      </c>
      <c r="E77" s="37">
        <f>COUNTIF(H17:H66,2)</f>
        <v>0</v>
      </c>
      <c r="F77" s="70"/>
      <c r="G77" s="70"/>
      <c r="H77" s="70"/>
      <c r="I77" s="70"/>
      <c r="J77" s="70"/>
      <c r="K77" s="70"/>
      <c r="L77" s="70"/>
    </row>
    <row r="78" spans="1:12" ht="21.75" customHeight="1">
      <c r="A78" s="11">
        <v>3</v>
      </c>
      <c r="B78" s="31" t="s">
        <v>340</v>
      </c>
      <c r="C78" s="37">
        <f>COUNTIF(D17:D66,3)</f>
        <v>1</v>
      </c>
      <c r="D78" s="37">
        <f>COUNTIF(F17:F66,3)</f>
        <v>0</v>
      </c>
      <c r="E78" s="37">
        <f>COUNTIF(H17:H66,3)</f>
        <v>0</v>
      </c>
      <c r="F78" s="70"/>
      <c r="G78" s="70"/>
      <c r="H78" s="70"/>
      <c r="I78" s="70"/>
      <c r="J78" s="70"/>
      <c r="K78" s="70"/>
      <c r="L78" s="70"/>
    </row>
    <row r="79" spans="1:12" ht="21.75" customHeight="1">
      <c r="A79" s="11">
        <v>4</v>
      </c>
      <c r="B79" s="31" t="s">
        <v>341</v>
      </c>
      <c r="C79" s="37">
        <f>COUNTIF(D17:D66,4)</f>
        <v>0</v>
      </c>
      <c r="D79" s="37">
        <f>COUNTIF(F17:F66,4)</f>
        <v>0</v>
      </c>
      <c r="E79" s="37">
        <f>COUNTIF(H17:H66,4)</f>
        <v>0</v>
      </c>
      <c r="F79" s="70"/>
      <c r="G79" s="70"/>
      <c r="H79" s="70"/>
      <c r="I79" s="70"/>
      <c r="J79" s="70"/>
      <c r="K79" s="70"/>
      <c r="L79" s="70"/>
    </row>
    <row r="80" spans="1:12" ht="21.75" customHeight="1">
      <c r="A80" s="11">
        <v>5</v>
      </c>
      <c r="B80" s="31" t="s">
        <v>342</v>
      </c>
      <c r="C80" s="37">
        <f>COUNTIF(D17:D66,5)</f>
        <v>0</v>
      </c>
      <c r="D80" s="37">
        <f>COUNTIF(F17:F66,5)</f>
        <v>0</v>
      </c>
      <c r="E80" s="37">
        <f>COUNTIF(H17:H66,5)</f>
        <v>0</v>
      </c>
      <c r="F80" s="70"/>
      <c r="G80" s="70"/>
      <c r="H80" s="70"/>
      <c r="I80" s="70"/>
      <c r="J80" s="70"/>
      <c r="K80" s="70"/>
      <c r="L80" s="70"/>
    </row>
    <row r="81" spans="1:12" ht="21.75" customHeight="1">
      <c r="A81" s="11">
        <v>6</v>
      </c>
      <c r="B81" s="31" t="s">
        <v>343</v>
      </c>
      <c r="C81" s="37">
        <f>COUNTIF(D17:D66,6)</f>
        <v>0</v>
      </c>
      <c r="D81" s="37">
        <f>COUNTIF(F17:F66,6)</f>
        <v>0</v>
      </c>
      <c r="E81" s="37">
        <f>COUNTIF(H17:H66,6)</f>
        <v>0</v>
      </c>
      <c r="F81" s="70"/>
      <c r="G81" s="70"/>
      <c r="H81" s="70"/>
      <c r="I81" s="70"/>
      <c r="J81" s="70"/>
      <c r="K81" s="70"/>
      <c r="L81" s="70"/>
    </row>
    <row r="82" spans="1:12" ht="21.75" customHeight="1">
      <c r="A82" s="11">
        <v>7</v>
      </c>
      <c r="B82" s="31" t="s">
        <v>344</v>
      </c>
      <c r="C82" s="37">
        <f>COUNTIF(D17:D66,7)</f>
        <v>0</v>
      </c>
      <c r="D82" s="37">
        <f>COUNTIF(F17:F66,7)</f>
        <v>0</v>
      </c>
      <c r="E82" s="37">
        <f>COUNTIF(H17:H66,7)</f>
        <v>0</v>
      </c>
      <c r="F82" s="70"/>
      <c r="G82" s="70"/>
      <c r="H82" s="70"/>
      <c r="I82" s="70"/>
      <c r="J82" s="70"/>
      <c r="K82" s="70"/>
      <c r="L82" s="70"/>
    </row>
    <row r="83" spans="1:12" ht="21.75" customHeight="1">
      <c r="A83" s="11">
        <v>8</v>
      </c>
      <c r="B83" s="31" t="s">
        <v>345</v>
      </c>
      <c r="C83" s="37">
        <f>COUNTIF(D17:D66,8)</f>
        <v>0</v>
      </c>
      <c r="D83" s="37">
        <f>COUNTIF(F17:F66,8)</f>
        <v>0</v>
      </c>
      <c r="E83" s="37">
        <f>COUNTIF(H17:H66,8)</f>
        <v>0</v>
      </c>
      <c r="F83" s="70"/>
      <c r="G83" s="70"/>
      <c r="H83" s="70"/>
      <c r="I83" s="70"/>
      <c r="J83" s="70"/>
      <c r="K83" s="70"/>
      <c r="L83" s="70"/>
    </row>
    <row r="84" spans="1:12" ht="21.75" customHeight="1">
      <c r="A84" s="11">
        <v>9</v>
      </c>
      <c r="B84" s="31" t="s">
        <v>346</v>
      </c>
      <c r="C84" s="37">
        <f>COUNTIF(D17:D66,9)</f>
        <v>8</v>
      </c>
      <c r="D84" s="37">
        <f>COUNTIF(F17:F66,9)</f>
        <v>0</v>
      </c>
      <c r="E84" s="37">
        <f>COUNTIF(H17:H66,9)</f>
        <v>0</v>
      </c>
      <c r="F84" s="70"/>
      <c r="G84" s="70"/>
      <c r="H84" s="70"/>
      <c r="I84" s="70"/>
      <c r="J84" s="70"/>
      <c r="K84" s="70"/>
      <c r="L84" s="70"/>
    </row>
    <row r="85" spans="1:12" ht="21.75" customHeight="1">
      <c r="A85" s="11">
        <v>10</v>
      </c>
      <c r="B85" s="31" t="s">
        <v>347</v>
      </c>
      <c r="C85" s="37">
        <f>COUNTIF(D17:D66,10)</f>
        <v>0</v>
      </c>
      <c r="D85" s="37">
        <f>COUNTIF(F17:F66,10)</f>
        <v>0</v>
      </c>
      <c r="E85" s="37">
        <f>COUNTIF(H17:H66,10)</f>
        <v>0</v>
      </c>
      <c r="F85" s="70"/>
      <c r="G85" s="70"/>
      <c r="H85" s="70"/>
      <c r="I85" s="70"/>
      <c r="J85" s="70"/>
      <c r="K85" s="70"/>
      <c r="L85" s="70"/>
    </row>
    <row r="86" spans="1:12" ht="21.75" customHeight="1">
      <c r="A86" s="11">
        <v>11</v>
      </c>
      <c r="B86" s="31" t="s">
        <v>348</v>
      </c>
      <c r="C86" s="37">
        <f>COUNTIF(D17:D66,11)</f>
        <v>0</v>
      </c>
      <c r="D86" s="37">
        <f>COUNTIF(F17:F66,11)</f>
        <v>0</v>
      </c>
      <c r="E86" s="37">
        <f>COUNTIF(H17:H66,11)</f>
        <v>0</v>
      </c>
      <c r="F86" s="70"/>
      <c r="G86" s="70"/>
      <c r="H86" s="70"/>
      <c r="I86" s="70"/>
      <c r="J86" s="70"/>
      <c r="K86" s="70"/>
      <c r="L86" s="70"/>
    </row>
    <row r="87" spans="1:12" ht="21.75" customHeight="1">
      <c r="A87" s="11">
        <v>12</v>
      </c>
      <c r="B87" s="31" t="s">
        <v>349</v>
      </c>
      <c r="C87" s="37">
        <f>COUNTIF(D17:D66,12)</f>
        <v>0</v>
      </c>
      <c r="D87" s="37">
        <f>COUNTIF(F17:F66,12)</f>
        <v>0</v>
      </c>
      <c r="E87" s="37">
        <f>COUNTIF(H17:H66,12)</f>
        <v>0</v>
      </c>
      <c r="F87" s="70"/>
      <c r="G87" s="70"/>
      <c r="H87" s="70"/>
      <c r="I87" s="70"/>
      <c r="J87" s="70"/>
      <c r="K87" s="70"/>
      <c r="L87" s="70"/>
    </row>
    <row r="88" spans="1:12" ht="21.75" customHeight="1">
      <c r="A88" s="11">
        <v>13</v>
      </c>
      <c r="B88" s="31" t="s">
        <v>350</v>
      </c>
      <c r="C88" s="37">
        <f>COUNTIF(D17:D66,13)</f>
        <v>0</v>
      </c>
      <c r="D88" s="37">
        <f>COUNTIF(F17:F66,13)</f>
        <v>0</v>
      </c>
      <c r="E88" s="37">
        <f>COUNTIF(H17:H66,13)</f>
        <v>0</v>
      </c>
      <c r="F88" s="70"/>
      <c r="G88" s="70"/>
      <c r="H88" s="70"/>
      <c r="I88" s="70"/>
      <c r="J88" s="70"/>
      <c r="K88" s="70"/>
      <c r="L88" s="70"/>
    </row>
    <row r="89" spans="1:12" ht="21.75" customHeight="1">
      <c r="A89" s="11" t="s">
        <v>193</v>
      </c>
      <c r="B89" s="30" t="s">
        <v>351</v>
      </c>
      <c r="C89" s="37">
        <f>COUNTIF(D17:D66,0)</f>
        <v>0</v>
      </c>
      <c r="D89" s="37">
        <f>COUNTIF(F17:F66,0)</f>
        <v>0</v>
      </c>
      <c r="E89" s="37">
        <f>COUNTIF(H17:H66,0)</f>
        <v>0</v>
      </c>
      <c r="F89" s="73" t="s">
        <v>352</v>
      </c>
      <c r="G89" s="73"/>
      <c r="H89" s="73"/>
      <c r="I89" s="73"/>
      <c r="J89" s="73"/>
      <c r="K89" s="73"/>
      <c r="L89" s="73"/>
    </row>
    <row r="91" spans="1:12" ht="21.75" customHeight="1">
      <c r="A91" s="51" t="s">
        <v>353</v>
      </c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</row>
    <row r="92" spans="1:12" ht="36" customHeight="1">
      <c r="A92" s="3" t="s">
        <v>354</v>
      </c>
      <c r="B92" s="3"/>
      <c r="C92" s="3"/>
      <c r="D92" s="71" t="s">
        <v>355</v>
      </c>
      <c r="E92" s="71"/>
      <c r="F92" s="71"/>
      <c r="G92" s="71"/>
      <c r="H92" s="71"/>
      <c r="I92" s="71"/>
      <c r="J92" s="71"/>
      <c r="K92" s="71"/>
      <c r="L92" s="71"/>
    </row>
    <row r="93" spans="1:12" ht="36" customHeight="1">
      <c r="A93" s="3" t="s">
        <v>356</v>
      </c>
      <c r="B93" s="3"/>
      <c r="C93" s="3"/>
      <c r="D93" s="72" t="s">
        <v>357</v>
      </c>
      <c r="E93" s="72"/>
      <c r="F93" s="72"/>
      <c r="G93" s="72"/>
      <c r="H93" s="72"/>
      <c r="I93" s="72"/>
      <c r="J93" s="72"/>
      <c r="K93" s="72"/>
      <c r="L93" s="72"/>
    </row>
    <row r="94" spans="1:12" ht="36" customHeight="1">
      <c r="A94" s="3" t="s">
        <v>358</v>
      </c>
      <c r="B94" s="3"/>
      <c r="C94" s="3"/>
      <c r="D94" s="71" t="s">
        <v>359</v>
      </c>
      <c r="E94" s="71"/>
      <c r="F94" s="71"/>
      <c r="G94" s="71"/>
      <c r="H94" s="71"/>
      <c r="I94" s="71"/>
      <c r="J94" s="71"/>
      <c r="K94" s="71"/>
      <c r="L94" s="71"/>
    </row>
  </sheetData>
  <mergeCells count="41">
    <mergeCell ref="D94:L94"/>
    <mergeCell ref="D92:L92"/>
    <mergeCell ref="D93:L93"/>
    <mergeCell ref="F85:L85"/>
    <mergeCell ref="F86:L86"/>
    <mergeCell ref="F87:L87"/>
    <mergeCell ref="F88:L88"/>
    <mergeCell ref="F89:L89"/>
    <mergeCell ref="F80:L80"/>
    <mergeCell ref="F81:L81"/>
    <mergeCell ref="F82:L82"/>
    <mergeCell ref="F83:L83"/>
    <mergeCell ref="F84:L84"/>
    <mergeCell ref="F75:L75"/>
    <mergeCell ref="F76:L76"/>
    <mergeCell ref="F77:L77"/>
    <mergeCell ref="F78:L78"/>
    <mergeCell ref="F79:L79"/>
    <mergeCell ref="E69:L69"/>
    <mergeCell ref="E70:L70"/>
    <mergeCell ref="E71:L71"/>
    <mergeCell ref="E72:L72"/>
    <mergeCell ref="H15:I15"/>
    <mergeCell ref="J15:J16"/>
    <mergeCell ref="K15:K16"/>
    <mergeCell ref="L15:L16"/>
    <mergeCell ref="A15:A16"/>
    <mergeCell ref="B15:B16"/>
    <mergeCell ref="C15:C16"/>
    <mergeCell ref="D15:E15"/>
    <mergeCell ref="F15:G15"/>
    <mergeCell ref="B7:N7"/>
    <mergeCell ref="B8:N8"/>
    <mergeCell ref="B9:N9"/>
    <mergeCell ref="B10:N10"/>
    <mergeCell ref="A12:N12"/>
    <mergeCell ref="A1:N1"/>
    <mergeCell ref="A2:N2"/>
    <mergeCell ref="A4:N4"/>
    <mergeCell ref="B5:N5"/>
    <mergeCell ref="B6:N6"/>
  </mergeCells>
  <phoneticPr fontId="25" type="noConversion"/>
  <conditionalFormatting sqref="D71">
    <cfRule type="cellIs" dxfId="14" priority="4" operator="equal">
      <formula>"✅ 본 평가 진입 가능"</formula>
    </cfRule>
    <cfRule type="cellIs" dxfId="13" priority="5" operator="equal">
      <formula>"⚠ 합의 부족 - 보강 후 재측정"</formula>
    </cfRule>
    <cfRule type="cellIs" dxfId="12" priority="6" operator="equal">
      <formula>"❌ 평가 불가 - 정의 재검토"</formula>
    </cfRule>
  </conditionalFormatting>
  <conditionalFormatting sqref="J17:K66">
    <cfRule type="cellIs" dxfId="11" priority="2" operator="equal">
      <formula>"○"</formula>
    </cfRule>
    <cfRule type="cellIs" dxfId="10" priority="3" operator="equal">
      <formula>"✗"</formula>
    </cfRule>
  </conditionalFormatting>
  <dataValidations count="2">
    <dataValidation type="list" allowBlank="1" errorTitle="카테고리 입력 오류" error="0~13 중 하나만 입력하세요 (0=문제 없음)" sqref="H17:H66 F17:F66 D17:D66" xr:uid="{00000000-0002-0000-0700-000000000000}">
      <formula1>"0,1,2,3,4,5,6,7,8,9,10,11,12,13"</formula1>
      <formula2>0</formula2>
    </dataValidation>
    <dataValidation type="list" allowBlank="1" errorTitle="강도 입력 오류" error="0~3 중 하나만 입력하세요" sqref="I17:I66 G17:G66 E17:E66" xr:uid="{00000000-0002-0000-0700-000001000000}">
      <formula1>"0,1,2,3"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42"/>
  <sheetViews>
    <sheetView zoomScaleNormal="10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sqref="A1:AC1"/>
    </sheetView>
  </sheetViews>
  <sheetFormatPr baseColWidth="10" defaultColWidth="8.6640625" defaultRowHeight="15"/>
  <cols>
    <col min="1" max="1" width="7" customWidth="1"/>
    <col min="2" max="4" width="28" customWidth="1"/>
    <col min="5" max="30" width="6.5" customWidth="1"/>
    <col min="31" max="31" width="11" customWidth="1"/>
    <col min="32" max="32" width="10" customWidth="1"/>
    <col min="33" max="33" width="14" customWidth="1"/>
    <col min="34" max="34" width="24" customWidth="1"/>
  </cols>
  <sheetData>
    <row r="1" spans="1:34" ht="25.5" customHeight="1">
      <c r="A1" s="89" t="s">
        <v>360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</row>
    <row r="2" spans="1:34" ht="30" customHeight="1">
      <c r="A2" s="90" t="s">
        <v>361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</row>
    <row r="4" spans="1:34" ht="21.75" customHeight="1">
      <c r="A4" s="91" t="s">
        <v>300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</row>
    <row r="5" spans="1:34" ht="21.75" customHeight="1">
      <c r="A5" s="13" t="s">
        <v>94</v>
      </c>
      <c r="B5" s="92" t="s">
        <v>362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</row>
    <row r="6" spans="1:34" ht="21.75" customHeight="1">
      <c r="A6" s="13" t="s">
        <v>102</v>
      </c>
      <c r="B6" s="92" t="s">
        <v>363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</row>
    <row r="7" spans="1:34" ht="21.75" customHeight="1">
      <c r="A7" s="13" t="s">
        <v>109</v>
      </c>
      <c r="B7" s="92" t="s">
        <v>364</v>
      </c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</row>
    <row r="8" spans="1:34" ht="21.75" customHeight="1">
      <c r="A8" s="13" t="s">
        <v>117</v>
      </c>
      <c r="B8" s="64" t="s">
        <v>365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</row>
    <row r="9" spans="1:34" ht="21.75" customHeight="1">
      <c r="A9" s="13" t="s">
        <v>124</v>
      </c>
      <c r="B9" s="64" t="s">
        <v>366</v>
      </c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 spans="1:34" ht="21.75" customHeight="1">
      <c r="A10" s="13" t="s">
        <v>131</v>
      </c>
      <c r="B10" s="92" t="s">
        <v>367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</row>
    <row r="12" spans="1:34" ht="24" customHeight="1">
      <c r="A12" s="93" t="s">
        <v>368</v>
      </c>
      <c r="B12" s="93" t="s">
        <v>369</v>
      </c>
      <c r="C12" s="66" t="s">
        <v>207</v>
      </c>
      <c r="D12" s="93" t="s">
        <v>370</v>
      </c>
      <c r="E12" s="94" t="s">
        <v>371</v>
      </c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5" t="s">
        <v>372</v>
      </c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6" t="s">
        <v>316</v>
      </c>
      <c r="AF12" s="96" t="s">
        <v>317</v>
      </c>
      <c r="AG12" s="97" t="s">
        <v>373</v>
      </c>
      <c r="AH12" s="97" t="s">
        <v>374</v>
      </c>
    </row>
    <row r="13" spans="1:34" ht="21.75" customHeight="1">
      <c r="A13" s="93"/>
      <c r="B13" s="93"/>
      <c r="C13" s="93"/>
      <c r="D13" s="93"/>
      <c r="E13" s="43" t="s">
        <v>211</v>
      </c>
      <c r="F13" s="43" t="s">
        <v>212</v>
      </c>
      <c r="G13" s="43" t="s">
        <v>213</v>
      </c>
      <c r="H13" s="43" t="s">
        <v>214</v>
      </c>
      <c r="I13" s="43" t="s">
        <v>215</v>
      </c>
      <c r="J13" s="43" t="s">
        <v>216</v>
      </c>
      <c r="K13" s="43" t="s">
        <v>217</v>
      </c>
      <c r="L13" s="43" t="s">
        <v>218</v>
      </c>
      <c r="M13" s="43" t="s">
        <v>219</v>
      </c>
      <c r="N13" s="43" t="s">
        <v>220</v>
      </c>
      <c r="O13" s="43" t="s">
        <v>221</v>
      </c>
      <c r="P13" s="43" t="s">
        <v>222</v>
      </c>
      <c r="Q13" s="43" t="s">
        <v>223</v>
      </c>
      <c r="R13" s="44" t="s">
        <v>211</v>
      </c>
      <c r="S13" s="44" t="s">
        <v>212</v>
      </c>
      <c r="T13" s="44" t="s">
        <v>213</v>
      </c>
      <c r="U13" s="44" t="s">
        <v>214</v>
      </c>
      <c r="V13" s="44" t="s">
        <v>215</v>
      </c>
      <c r="W13" s="44" t="s">
        <v>216</v>
      </c>
      <c r="X13" s="44" t="s">
        <v>217</v>
      </c>
      <c r="Y13" s="44" t="s">
        <v>218</v>
      </c>
      <c r="Z13" s="44" t="s">
        <v>219</v>
      </c>
      <c r="AA13" s="44" t="s">
        <v>220</v>
      </c>
      <c r="AB13" s="44" t="s">
        <v>221</v>
      </c>
      <c r="AC13" s="44" t="s">
        <v>222</v>
      </c>
      <c r="AD13" s="44" t="s">
        <v>223</v>
      </c>
      <c r="AE13" s="96"/>
      <c r="AF13" s="96"/>
      <c r="AG13" s="96"/>
      <c r="AH13" s="96"/>
    </row>
    <row r="14" spans="1:34" ht="27.75" customHeight="1">
      <c r="A14" s="37">
        <v>1</v>
      </c>
      <c r="B14" s="16"/>
      <c r="C14" s="16"/>
      <c r="D14" s="16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7" t="str">
        <f t="shared" ref="AE14:AE45" si="0">IF(AND(B14="",E14="",R14=""),"",IF(SUMPRODUCT(((E14:Q14&gt;=1)&lt;&gt;(R14:AD14&gt;=1))*1)=0,"○","✗"))</f>
        <v/>
      </c>
      <c r="AF14" s="37" t="str">
        <f t="shared" ref="AF14:AF45" si="1">IF(AE14="","",IF(AE14="✗","✗",IF(SUMPRODUCT((E14:Q14&lt;&gt;R14:AD14)*1)=0,"○","✗")))</f>
        <v/>
      </c>
      <c r="AG14" s="45">
        <f t="shared" ref="AG14:AG45" si="2">IF(AND(SUM(E14:Q14)=0,SUM(R14:AD14)=0),0,(SUM(E14:Q14)+SUM(R14:AD14))/2)</f>
        <v>0</v>
      </c>
      <c r="AH14" s="20"/>
    </row>
    <row r="15" spans="1:34" ht="27.75" customHeight="1">
      <c r="A15" s="37">
        <v>2</v>
      </c>
      <c r="B15" s="16"/>
      <c r="C15" s="16"/>
      <c r="D15" s="16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7" t="str">
        <f t="shared" si="0"/>
        <v/>
      </c>
      <c r="AF15" s="37" t="str">
        <f t="shared" si="1"/>
        <v/>
      </c>
      <c r="AG15" s="45">
        <f t="shared" si="2"/>
        <v>0</v>
      </c>
      <c r="AH15" s="20"/>
    </row>
    <row r="16" spans="1:34" ht="27.75" customHeight="1">
      <c r="A16" s="37">
        <v>3</v>
      </c>
      <c r="B16" s="16"/>
      <c r="C16" s="16"/>
      <c r="D16" s="16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7" t="str">
        <f t="shared" si="0"/>
        <v/>
      </c>
      <c r="AF16" s="37" t="str">
        <f t="shared" si="1"/>
        <v/>
      </c>
      <c r="AG16" s="45">
        <f t="shared" si="2"/>
        <v>0</v>
      </c>
      <c r="AH16" s="20"/>
    </row>
    <row r="17" spans="1:34" ht="27.75" customHeight="1">
      <c r="A17" s="37">
        <v>4</v>
      </c>
      <c r="B17" s="16"/>
      <c r="C17" s="16"/>
      <c r="D17" s="16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7" t="str">
        <f t="shared" si="0"/>
        <v/>
      </c>
      <c r="AF17" s="37" t="str">
        <f t="shared" si="1"/>
        <v/>
      </c>
      <c r="AG17" s="45">
        <f t="shared" si="2"/>
        <v>0</v>
      </c>
      <c r="AH17" s="20"/>
    </row>
    <row r="18" spans="1:34" ht="27.75" customHeight="1">
      <c r="A18" s="37">
        <v>5</v>
      </c>
      <c r="B18" s="16"/>
      <c r="C18" s="16"/>
      <c r="D18" s="16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7" t="str">
        <f t="shared" si="0"/>
        <v/>
      </c>
      <c r="AF18" s="37" t="str">
        <f t="shared" si="1"/>
        <v/>
      </c>
      <c r="AG18" s="45">
        <f t="shared" si="2"/>
        <v>0</v>
      </c>
      <c r="AH18" s="20"/>
    </row>
    <row r="19" spans="1:34" ht="27.75" customHeight="1">
      <c r="A19" s="37">
        <v>6</v>
      </c>
      <c r="B19" s="16"/>
      <c r="C19" s="16"/>
      <c r="D19" s="16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7" t="str">
        <f t="shared" si="0"/>
        <v/>
      </c>
      <c r="AF19" s="37" t="str">
        <f t="shared" si="1"/>
        <v/>
      </c>
      <c r="AG19" s="45">
        <f t="shared" si="2"/>
        <v>0</v>
      </c>
      <c r="AH19" s="20"/>
    </row>
    <row r="20" spans="1:34" ht="27.75" customHeight="1">
      <c r="A20" s="37">
        <v>7</v>
      </c>
      <c r="B20" s="16"/>
      <c r="C20" s="16"/>
      <c r="D20" s="16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7" t="str">
        <f t="shared" si="0"/>
        <v/>
      </c>
      <c r="AF20" s="37" t="str">
        <f t="shared" si="1"/>
        <v/>
      </c>
      <c r="AG20" s="45">
        <f t="shared" si="2"/>
        <v>0</v>
      </c>
      <c r="AH20" s="20"/>
    </row>
    <row r="21" spans="1:34" ht="27.75" customHeight="1">
      <c r="A21" s="37">
        <v>8</v>
      </c>
      <c r="B21" s="16"/>
      <c r="C21" s="16"/>
      <c r="D21" s="16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7" t="str">
        <f t="shared" si="0"/>
        <v/>
      </c>
      <c r="AF21" s="37" t="str">
        <f t="shared" si="1"/>
        <v/>
      </c>
      <c r="AG21" s="45">
        <f t="shared" si="2"/>
        <v>0</v>
      </c>
      <c r="AH21" s="20"/>
    </row>
    <row r="22" spans="1:34" ht="27.75" customHeight="1">
      <c r="A22" s="37">
        <v>9</v>
      </c>
      <c r="B22" s="16"/>
      <c r="C22" s="16"/>
      <c r="D22" s="16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7" t="str">
        <f t="shared" si="0"/>
        <v/>
      </c>
      <c r="AF22" s="37" t="str">
        <f t="shared" si="1"/>
        <v/>
      </c>
      <c r="AG22" s="45">
        <f t="shared" si="2"/>
        <v>0</v>
      </c>
      <c r="AH22" s="20"/>
    </row>
    <row r="23" spans="1:34" ht="27.75" customHeight="1">
      <c r="A23" s="37">
        <v>10</v>
      </c>
      <c r="B23" s="16"/>
      <c r="C23" s="16"/>
      <c r="D23" s="16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7" t="str">
        <f t="shared" si="0"/>
        <v/>
      </c>
      <c r="AF23" s="37" t="str">
        <f t="shared" si="1"/>
        <v/>
      </c>
      <c r="AG23" s="45">
        <f t="shared" si="2"/>
        <v>0</v>
      </c>
      <c r="AH23" s="20"/>
    </row>
    <row r="24" spans="1:34" ht="27.75" customHeight="1">
      <c r="A24" s="37">
        <v>11</v>
      </c>
      <c r="B24" s="16"/>
      <c r="C24" s="16"/>
      <c r="D24" s="16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7" t="str">
        <f t="shared" si="0"/>
        <v/>
      </c>
      <c r="AF24" s="37" t="str">
        <f t="shared" si="1"/>
        <v/>
      </c>
      <c r="AG24" s="45">
        <f t="shared" si="2"/>
        <v>0</v>
      </c>
      <c r="AH24" s="20"/>
    </row>
    <row r="25" spans="1:34" ht="27.75" customHeight="1">
      <c r="A25" s="37">
        <v>12</v>
      </c>
      <c r="B25" s="16"/>
      <c r="C25" s="16"/>
      <c r="D25" s="16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7" t="str">
        <f t="shared" si="0"/>
        <v/>
      </c>
      <c r="AF25" s="37" t="str">
        <f t="shared" si="1"/>
        <v/>
      </c>
      <c r="AG25" s="45">
        <f t="shared" si="2"/>
        <v>0</v>
      </c>
      <c r="AH25" s="20"/>
    </row>
    <row r="26" spans="1:34" ht="27.75" customHeight="1">
      <c r="A26" s="37">
        <v>13</v>
      </c>
      <c r="B26" s="16"/>
      <c r="C26" s="16"/>
      <c r="D26" s="16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7" t="str">
        <f t="shared" si="0"/>
        <v/>
      </c>
      <c r="AF26" s="37" t="str">
        <f t="shared" si="1"/>
        <v/>
      </c>
      <c r="AG26" s="45">
        <f t="shared" si="2"/>
        <v>0</v>
      </c>
      <c r="AH26" s="20"/>
    </row>
    <row r="27" spans="1:34" ht="27.75" customHeight="1">
      <c r="A27" s="37">
        <v>14</v>
      </c>
      <c r="B27" s="16"/>
      <c r="C27" s="16"/>
      <c r="D27" s="16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7" t="str">
        <f t="shared" si="0"/>
        <v/>
      </c>
      <c r="AF27" s="37" t="str">
        <f t="shared" si="1"/>
        <v/>
      </c>
      <c r="AG27" s="45">
        <f t="shared" si="2"/>
        <v>0</v>
      </c>
      <c r="AH27" s="20"/>
    </row>
    <row r="28" spans="1:34" ht="27.75" customHeight="1">
      <c r="A28" s="37">
        <v>15</v>
      </c>
      <c r="B28" s="16"/>
      <c r="C28" s="16"/>
      <c r="D28" s="16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7" t="str">
        <f t="shared" si="0"/>
        <v/>
      </c>
      <c r="AF28" s="37" t="str">
        <f t="shared" si="1"/>
        <v/>
      </c>
      <c r="AG28" s="45">
        <f t="shared" si="2"/>
        <v>0</v>
      </c>
      <c r="AH28" s="20"/>
    </row>
    <row r="29" spans="1:34" ht="27.75" customHeight="1">
      <c r="A29" s="37">
        <v>16</v>
      </c>
      <c r="B29" s="16"/>
      <c r="C29" s="16"/>
      <c r="D29" s="16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7" t="str">
        <f t="shared" si="0"/>
        <v/>
      </c>
      <c r="AF29" s="37" t="str">
        <f t="shared" si="1"/>
        <v/>
      </c>
      <c r="AG29" s="45">
        <f t="shared" si="2"/>
        <v>0</v>
      </c>
      <c r="AH29" s="20"/>
    </row>
    <row r="30" spans="1:34" ht="27.75" customHeight="1">
      <c r="A30" s="37">
        <v>17</v>
      </c>
      <c r="B30" s="16"/>
      <c r="C30" s="16"/>
      <c r="D30" s="16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7" t="str">
        <f t="shared" si="0"/>
        <v/>
      </c>
      <c r="AF30" s="37" t="str">
        <f t="shared" si="1"/>
        <v/>
      </c>
      <c r="AG30" s="45">
        <f t="shared" si="2"/>
        <v>0</v>
      </c>
      <c r="AH30" s="20"/>
    </row>
    <row r="31" spans="1:34" ht="27.75" customHeight="1">
      <c r="A31" s="37">
        <v>18</v>
      </c>
      <c r="B31" s="16"/>
      <c r="C31" s="16"/>
      <c r="D31" s="16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7" t="str">
        <f t="shared" si="0"/>
        <v/>
      </c>
      <c r="AF31" s="37" t="str">
        <f t="shared" si="1"/>
        <v/>
      </c>
      <c r="AG31" s="45">
        <f t="shared" si="2"/>
        <v>0</v>
      </c>
      <c r="AH31" s="20"/>
    </row>
    <row r="32" spans="1:34" ht="27.75" customHeight="1">
      <c r="A32" s="37">
        <v>19</v>
      </c>
      <c r="B32" s="16"/>
      <c r="C32" s="16"/>
      <c r="D32" s="16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7" t="str">
        <f t="shared" si="0"/>
        <v/>
      </c>
      <c r="AF32" s="37" t="str">
        <f t="shared" si="1"/>
        <v/>
      </c>
      <c r="AG32" s="45">
        <f t="shared" si="2"/>
        <v>0</v>
      </c>
      <c r="AH32" s="20"/>
    </row>
    <row r="33" spans="1:34" ht="27.75" customHeight="1">
      <c r="A33" s="37">
        <v>20</v>
      </c>
      <c r="B33" s="16"/>
      <c r="C33" s="16"/>
      <c r="D33" s="16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7" t="str">
        <f t="shared" si="0"/>
        <v/>
      </c>
      <c r="AF33" s="37" t="str">
        <f t="shared" si="1"/>
        <v/>
      </c>
      <c r="AG33" s="45">
        <f t="shared" si="2"/>
        <v>0</v>
      </c>
      <c r="AH33" s="20"/>
    </row>
    <row r="34" spans="1:34" ht="27.75" customHeight="1">
      <c r="A34" s="37">
        <v>21</v>
      </c>
      <c r="B34" s="16"/>
      <c r="C34" s="16"/>
      <c r="D34" s="16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7" t="str">
        <f t="shared" si="0"/>
        <v/>
      </c>
      <c r="AF34" s="37" t="str">
        <f t="shared" si="1"/>
        <v/>
      </c>
      <c r="AG34" s="45">
        <f t="shared" si="2"/>
        <v>0</v>
      </c>
      <c r="AH34" s="20"/>
    </row>
    <row r="35" spans="1:34" ht="27.75" customHeight="1">
      <c r="A35" s="37">
        <v>22</v>
      </c>
      <c r="B35" s="16"/>
      <c r="C35" s="16"/>
      <c r="D35" s="16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7" t="str">
        <f t="shared" si="0"/>
        <v/>
      </c>
      <c r="AF35" s="37" t="str">
        <f t="shared" si="1"/>
        <v/>
      </c>
      <c r="AG35" s="45">
        <f t="shared" si="2"/>
        <v>0</v>
      </c>
      <c r="AH35" s="20"/>
    </row>
    <row r="36" spans="1:34" ht="27.75" customHeight="1">
      <c r="A36" s="37">
        <v>23</v>
      </c>
      <c r="B36" s="16"/>
      <c r="C36" s="16"/>
      <c r="D36" s="16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7" t="str">
        <f t="shared" si="0"/>
        <v/>
      </c>
      <c r="AF36" s="37" t="str">
        <f t="shared" si="1"/>
        <v/>
      </c>
      <c r="AG36" s="45">
        <f t="shared" si="2"/>
        <v>0</v>
      </c>
      <c r="AH36" s="20"/>
    </row>
    <row r="37" spans="1:34" ht="27.75" customHeight="1">
      <c r="A37" s="37">
        <v>24</v>
      </c>
      <c r="B37" s="16"/>
      <c r="C37" s="16"/>
      <c r="D37" s="16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7" t="str">
        <f t="shared" si="0"/>
        <v/>
      </c>
      <c r="AF37" s="37" t="str">
        <f t="shared" si="1"/>
        <v/>
      </c>
      <c r="AG37" s="45">
        <f t="shared" si="2"/>
        <v>0</v>
      </c>
      <c r="AH37" s="20"/>
    </row>
    <row r="38" spans="1:34" ht="27.75" customHeight="1">
      <c r="A38" s="37">
        <v>25</v>
      </c>
      <c r="B38" s="16"/>
      <c r="C38" s="16"/>
      <c r="D38" s="16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7" t="str">
        <f t="shared" si="0"/>
        <v/>
      </c>
      <c r="AF38" s="37" t="str">
        <f t="shared" si="1"/>
        <v/>
      </c>
      <c r="AG38" s="45">
        <f t="shared" si="2"/>
        <v>0</v>
      </c>
      <c r="AH38" s="20"/>
    </row>
    <row r="39" spans="1:34" ht="27.75" customHeight="1">
      <c r="A39" s="37">
        <v>26</v>
      </c>
      <c r="B39" s="16"/>
      <c r="C39" s="16"/>
      <c r="D39" s="16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7" t="str">
        <f t="shared" si="0"/>
        <v/>
      </c>
      <c r="AF39" s="37" t="str">
        <f t="shared" si="1"/>
        <v/>
      </c>
      <c r="AG39" s="45">
        <f t="shared" si="2"/>
        <v>0</v>
      </c>
      <c r="AH39" s="20"/>
    </row>
    <row r="40" spans="1:34" ht="27.75" customHeight="1">
      <c r="A40" s="37">
        <v>27</v>
      </c>
      <c r="B40" s="16"/>
      <c r="C40" s="16"/>
      <c r="D40" s="16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7" t="str">
        <f t="shared" si="0"/>
        <v/>
      </c>
      <c r="AF40" s="37" t="str">
        <f t="shared" si="1"/>
        <v/>
      </c>
      <c r="AG40" s="45">
        <f t="shared" si="2"/>
        <v>0</v>
      </c>
      <c r="AH40" s="20"/>
    </row>
    <row r="41" spans="1:34" ht="27.75" customHeight="1">
      <c r="A41" s="37">
        <v>28</v>
      </c>
      <c r="B41" s="16"/>
      <c r="C41" s="16"/>
      <c r="D41" s="16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7" t="str">
        <f t="shared" si="0"/>
        <v/>
      </c>
      <c r="AF41" s="37" t="str">
        <f t="shared" si="1"/>
        <v/>
      </c>
      <c r="AG41" s="45">
        <f t="shared" si="2"/>
        <v>0</v>
      </c>
      <c r="AH41" s="20"/>
    </row>
    <row r="42" spans="1:34" ht="27.75" customHeight="1">
      <c r="A42" s="37">
        <v>29</v>
      </c>
      <c r="B42" s="16"/>
      <c r="C42" s="16"/>
      <c r="D42" s="16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7" t="str">
        <f t="shared" si="0"/>
        <v/>
      </c>
      <c r="AF42" s="37" t="str">
        <f t="shared" si="1"/>
        <v/>
      </c>
      <c r="AG42" s="45">
        <f t="shared" si="2"/>
        <v>0</v>
      </c>
      <c r="AH42" s="20"/>
    </row>
    <row r="43" spans="1:34" ht="27.75" customHeight="1">
      <c r="A43" s="37">
        <v>30</v>
      </c>
      <c r="B43" s="16"/>
      <c r="C43" s="16"/>
      <c r="D43" s="16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7" t="str">
        <f t="shared" si="0"/>
        <v/>
      </c>
      <c r="AF43" s="37" t="str">
        <f t="shared" si="1"/>
        <v/>
      </c>
      <c r="AG43" s="45">
        <f t="shared" si="2"/>
        <v>0</v>
      </c>
      <c r="AH43" s="20"/>
    </row>
    <row r="44" spans="1:34" ht="27.75" customHeight="1">
      <c r="A44" s="37">
        <v>31</v>
      </c>
      <c r="B44" s="16"/>
      <c r="C44" s="16"/>
      <c r="D44" s="16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7" t="str">
        <f t="shared" si="0"/>
        <v/>
      </c>
      <c r="AF44" s="37" t="str">
        <f t="shared" si="1"/>
        <v/>
      </c>
      <c r="AG44" s="45">
        <f t="shared" si="2"/>
        <v>0</v>
      </c>
      <c r="AH44" s="20"/>
    </row>
    <row r="45" spans="1:34" ht="27.75" customHeight="1">
      <c r="A45" s="37">
        <v>32</v>
      </c>
      <c r="B45" s="16"/>
      <c r="C45" s="16"/>
      <c r="D45" s="16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7" t="str">
        <f t="shared" si="0"/>
        <v/>
      </c>
      <c r="AF45" s="37" t="str">
        <f t="shared" si="1"/>
        <v/>
      </c>
      <c r="AG45" s="45">
        <f t="shared" si="2"/>
        <v>0</v>
      </c>
      <c r="AH45" s="20"/>
    </row>
    <row r="46" spans="1:34" ht="27.75" customHeight="1">
      <c r="A46" s="37">
        <v>33</v>
      </c>
      <c r="B46" s="16"/>
      <c r="C46" s="16"/>
      <c r="D46" s="16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7" t="str">
        <f t="shared" ref="AE46:AE77" si="3">IF(AND(B46="",E46="",R46=""),"",IF(SUMPRODUCT(((E46:Q46&gt;=1)&lt;&gt;(R46:AD46&gt;=1))*1)=0,"○","✗"))</f>
        <v/>
      </c>
      <c r="AF46" s="37" t="str">
        <f t="shared" ref="AF46:AF77" si="4">IF(AE46="","",IF(AE46="✗","✗",IF(SUMPRODUCT((E46:Q46&lt;&gt;R46:AD46)*1)=0,"○","✗")))</f>
        <v/>
      </c>
      <c r="AG46" s="45">
        <f t="shared" ref="AG46:AG77" si="5">IF(AND(SUM(E46:Q46)=0,SUM(R46:AD46)=0),0,(SUM(E46:Q46)+SUM(R46:AD46))/2)</f>
        <v>0</v>
      </c>
      <c r="AH46" s="20"/>
    </row>
    <row r="47" spans="1:34" ht="27.75" customHeight="1">
      <c r="A47" s="37">
        <v>34</v>
      </c>
      <c r="B47" s="16"/>
      <c r="C47" s="16"/>
      <c r="D47" s="16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7" t="str">
        <f t="shared" si="3"/>
        <v/>
      </c>
      <c r="AF47" s="37" t="str">
        <f t="shared" si="4"/>
        <v/>
      </c>
      <c r="AG47" s="45">
        <f t="shared" si="5"/>
        <v>0</v>
      </c>
      <c r="AH47" s="20"/>
    </row>
    <row r="48" spans="1:34" ht="27.75" customHeight="1">
      <c r="A48" s="37">
        <v>35</v>
      </c>
      <c r="B48" s="16"/>
      <c r="C48" s="16"/>
      <c r="D48" s="16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7" t="str">
        <f t="shared" si="3"/>
        <v/>
      </c>
      <c r="AF48" s="37" t="str">
        <f t="shared" si="4"/>
        <v/>
      </c>
      <c r="AG48" s="45">
        <f t="shared" si="5"/>
        <v>0</v>
      </c>
      <c r="AH48" s="20"/>
    </row>
    <row r="49" spans="1:34" ht="27.75" customHeight="1">
      <c r="A49" s="37">
        <v>36</v>
      </c>
      <c r="B49" s="16"/>
      <c r="C49" s="16"/>
      <c r="D49" s="16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7" t="str">
        <f t="shared" si="3"/>
        <v/>
      </c>
      <c r="AF49" s="37" t="str">
        <f t="shared" si="4"/>
        <v/>
      </c>
      <c r="AG49" s="45">
        <f t="shared" si="5"/>
        <v>0</v>
      </c>
      <c r="AH49" s="20"/>
    </row>
    <row r="50" spans="1:34" ht="27.75" customHeight="1">
      <c r="A50" s="37">
        <v>37</v>
      </c>
      <c r="B50" s="16"/>
      <c r="C50" s="16"/>
      <c r="D50" s="16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7" t="str">
        <f t="shared" si="3"/>
        <v/>
      </c>
      <c r="AF50" s="37" t="str">
        <f t="shared" si="4"/>
        <v/>
      </c>
      <c r="AG50" s="45">
        <f t="shared" si="5"/>
        <v>0</v>
      </c>
      <c r="AH50" s="20"/>
    </row>
    <row r="51" spans="1:34" ht="27.75" customHeight="1">
      <c r="A51" s="37">
        <v>38</v>
      </c>
      <c r="B51" s="16"/>
      <c r="C51" s="16"/>
      <c r="D51" s="16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7" t="str">
        <f t="shared" si="3"/>
        <v/>
      </c>
      <c r="AF51" s="37" t="str">
        <f t="shared" si="4"/>
        <v/>
      </c>
      <c r="AG51" s="45">
        <f t="shared" si="5"/>
        <v>0</v>
      </c>
      <c r="AH51" s="20"/>
    </row>
    <row r="52" spans="1:34" ht="27.75" customHeight="1">
      <c r="A52" s="37">
        <v>39</v>
      </c>
      <c r="B52" s="16"/>
      <c r="C52" s="16"/>
      <c r="D52" s="16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7" t="str">
        <f t="shared" si="3"/>
        <v/>
      </c>
      <c r="AF52" s="37" t="str">
        <f t="shared" si="4"/>
        <v/>
      </c>
      <c r="AG52" s="45">
        <f t="shared" si="5"/>
        <v>0</v>
      </c>
      <c r="AH52" s="20"/>
    </row>
    <row r="53" spans="1:34" ht="27.75" customHeight="1">
      <c r="A53" s="37">
        <v>40</v>
      </c>
      <c r="B53" s="16"/>
      <c r="C53" s="16"/>
      <c r="D53" s="16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7" t="str">
        <f t="shared" si="3"/>
        <v/>
      </c>
      <c r="AF53" s="37" t="str">
        <f t="shared" si="4"/>
        <v/>
      </c>
      <c r="AG53" s="45">
        <f t="shared" si="5"/>
        <v>0</v>
      </c>
      <c r="AH53" s="20"/>
    </row>
    <row r="54" spans="1:34" ht="27.75" customHeight="1">
      <c r="A54" s="37">
        <v>41</v>
      </c>
      <c r="B54" s="16"/>
      <c r="C54" s="16"/>
      <c r="D54" s="16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7" t="str">
        <f t="shared" si="3"/>
        <v/>
      </c>
      <c r="AF54" s="37" t="str">
        <f t="shared" si="4"/>
        <v/>
      </c>
      <c r="AG54" s="45">
        <f t="shared" si="5"/>
        <v>0</v>
      </c>
      <c r="AH54" s="20"/>
    </row>
    <row r="55" spans="1:34" ht="27.75" customHeight="1">
      <c r="A55" s="37">
        <v>42</v>
      </c>
      <c r="B55" s="16"/>
      <c r="C55" s="16"/>
      <c r="D55" s="16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7" t="str">
        <f t="shared" si="3"/>
        <v/>
      </c>
      <c r="AF55" s="37" t="str">
        <f t="shared" si="4"/>
        <v/>
      </c>
      <c r="AG55" s="45">
        <f t="shared" si="5"/>
        <v>0</v>
      </c>
      <c r="AH55" s="20"/>
    </row>
    <row r="56" spans="1:34" ht="27.75" customHeight="1">
      <c r="A56" s="37">
        <v>43</v>
      </c>
      <c r="B56" s="16"/>
      <c r="C56" s="16"/>
      <c r="D56" s="16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7" t="str">
        <f t="shared" si="3"/>
        <v/>
      </c>
      <c r="AF56" s="37" t="str">
        <f t="shared" si="4"/>
        <v/>
      </c>
      <c r="AG56" s="45">
        <f t="shared" si="5"/>
        <v>0</v>
      </c>
      <c r="AH56" s="20"/>
    </row>
    <row r="57" spans="1:34" ht="27.75" customHeight="1">
      <c r="A57" s="37">
        <v>44</v>
      </c>
      <c r="B57" s="16"/>
      <c r="C57" s="16"/>
      <c r="D57" s="16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7" t="str">
        <f t="shared" si="3"/>
        <v/>
      </c>
      <c r="AF57" s="37" t="str">
        <f t="shared" si="4"/>
        <v/>
      </c>
      <c r="AG57" s="45">
        <f t="shared" si="5"/>
        <v>0</v>
      </c>
      <c r="AH57" s="20"/>
    </row>
    <row r="58" spans="1:34" ht="27.75" customHeight="1">
      <c r="A58" s="37">
        <v>45</v>
      </c>
      <c r="B58" s="16"/>
      <c r="C58" s="16"/>
      <c r="D58" s="16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7" t="str">
        <f t="shared" si="3"/>
        <v/>
      </c>
      <c r="AF58" s="37" t="str">
        <f t="shared" si="4"/>
        <v/>
      </c>
      <c r="AG58" s="45">
        <f t="shared" si="5"/>
        <v>0</v>
      </c>
      <c r="AH58" s="20"/>
    </row>
    <row r="59" spans="1:34" ht="27.75" customHeight="1">
      <c r="A59" s="37">
        <v>46</v>
      </c>
      <c r="B59" s="16"/>
      <c r="C59" s="16"/>
      <c r="D59" s="16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7" t="str">
        <f t="shared" si="3"/>
        <v/>
      </c>
      <c r="AF59" s="37" t="str">
        <f t="shared" si="4"/>
        <v/>
      </c>
      <c r="AG59" s="45">
        <f t="shared" si="5"/>
        <v>0</v>
      </c>
      <c r="AH59" s="20"/>
    </row>
    <row r="60" spans="1:34" ht="27.75" customHeight="1">
      <c r="A60" s="37">
        <v>47</v>
      </c>
      <c r="B60" s="16"/>
      <c r="C60" s="16"/>
      <c r="D60" s="16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7" t="str">
        <f t="shared" si="3"/>
        <v/>
      </c>
      <c r="AF60" s="37" t="str">
        <f t="shared" si="4"/>
        <v/>
      </c>
      <c r="AG60" s="45">
        <f t="shared" si="5"/>
        <v>0</v>
      </c>
      <c r="AH60" s="20"/>
    </row>
    <row r="61" spans="1:34" ht="27.75" customHeight="1">
      <c r="A61" s="37">
        <v>48</v>
      </c>
      <c r="B61" s="16"/>
      <c r="C61" s="16"/>
      <c r="D61" s="16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7" t="str">
        <f t="shared" si="3"/>
        <v/>
      </c>
      <c r="AF61" s="37" t="str">
        <f t="shared" si="4"/>
        <v/>
      </c>
      <c r="AG61" s="45">
        <f t="shared" si="5"/>
        <v>0</v>
      </c>
      <c r="AH61" s="20"/>
    </row>
    <row r="62" spans="1:34" ht="27.75" customHeight="1">
      <c r="A62" s="37">
        <v>49</v>
      </c>
      <c r="B62" s="16"/>
      <c r="C62" s="16"/>
      <c r="D62" s="16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7" t="str">
        <f t="shared" si="3"/>
        <v/>
      </c>
      <c r="AF62" s="37" t="str">
        <f t="shared" si="4"/>
        <v/>
      </c>
      <c r="AG62" s="45">
        <f t="shared" si="5"/>
        <v>0</v>
      </c>
      <c r="AH62" s="20"/>
    </row>
    <row r="63" spans="1:34" ht="27.75" customHeight="1">
      <c r="A63" s="37">
        <v>50</v>
      </c>
      <c r="B63" s="16"/>
      <c r="C63" s="16"/>
      <c r="D63" s="16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7" t="str">
        <f t="shared" si="3"/>
        <v/>
      </c>
      <c r="AF63" s="37" t="str">
        <f t="shared" si="4"/>
        <v/>
      </c>
      <c r="AG63" s="45">
        <f t="shared" si="5"/>
        <v>0</v>
      </c>
      <c r="AH63" s="20"/>
    </row>
    <row r="64" spans="1:34" ht="27.75" customHeight="1">
      <c r="A64" s="37">
        <v>51</v>
      </c>
      <c r="B64" s="16"/>
      <c r="C64" s="16"/>
      <c r="D64" s="16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7" t="str">
        <f t="shared" si="3"/>
        <v/>
      </c>
      <c r="AF64" s="37" t="str">
        <f t="shared" si="4"/>
        <v/>
      </c>
      <c r="AG64" s="45">
        <f t="shared" si="5"/>
        <v>0</v>
      </c>
      <c r="AH64" s="20"/>
    </row>
    <row r="65" spans="1:34" ht="27.75" customHeight="1">
      <c r="A65" s="37">
        <v>52</v>
      </c>
      <c r="B65" s="16"/>
      <c r="C65" s="16"/>
      <c r="D65" s="16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7" t="str">
        <f t="shared" si="3"/>
        <v/>
      </c>
      <c r="AF65" s="37" t="str">
        <f t="shared" si="4"/>
        <v/>
      </c>
      <c r="AG65" s="45">
        <f t="shared" si="5"/>
        <v>0</v>
      </c>
      <c r="AH65" s="20"/>
    </row>
    <row r="66" spans="1:34" ht="27.75" customHeight="1">
      <c r="A66" s="37">
        <v>53</v>
      </c>
      <c r="B66" s="16"/>
      <c r="C66" s="16"/>
      <c r="D66" s="16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7" t="str">
        <f t="shared" si="3"/>
        <v/>
      </c>
      <c r="AF66" s="37" t="str">
        <f t="shared" si="4"/>
        <v/>
      </c>
      <c r="AG66" s="45">
        <f t="shared" si="5"/>
        <v>0</v>
      </c>
      <c r="AH66" s="20"/>
    </row>
    <row r="67" spans="1:34" ht="27.75" customHeight="1">
      <c r="A67" s="37">
        <v>54</v>
      </c>
      <c r="B67" s="16"/>
      <c r="C67" s="16"/>
      <c r="D67" s="16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7" t="str">
        <f t="shared" si="3"/>
        <v/>
      </c>
      <c r="AF67" s="37" t="str">
        <f t="shared" si="4"/>
        <v/>
      </c>
      <c r="AG67" s="45">
        <f t="shared" si="5"/>
        <v>0</v>
      </c>
      <c r="AH67" s="20"/>
    </row>
    <row r="68" spans="1:34" ht="27.75" customHeight="1">
      <c r="A68" s="37">
        <v>55</v>
      </c>
      <c r="B68" s="16"/>
      <c r="C68" s="16"/>
      <c r="D68" s="16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7" t="str">
        <f t="shared" si="3"/>
        <v/>
      </c>
      <c r="AF68" s="37" t="str">
        <f t="shared" si="4"/>
        <v/>
      </c>
      <c r="AG68" s="45">
        <f t="shared" si="5"/>
        <v>0</v>
      </c>
      <c r="AH68" s="20"/>
    </row>
    <row r="69" spans="1:34" ht="27.75" customHeight="1">
      <c r="A69" s="37">
        <v>56</v>
      </c>
      <c r="B69" s="16"/>
      <c r="C69" s="16"/>
      <c r="D69" s="16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7" t="str">
        <f t="shared" si="3"/>
        <v/>
      </c>
      <c r="AF69" s="37" t="str">
        <f t="shared" si="4"/>
        <v/>
      </c>
      <c r="AG69" s="45">
        <f t="shared" si="5"/>
        <v>0</v>
      </c>
      <c r="AH69" s="20"/>
    </row>
    <row r="70" spans="1:34" ht="27.75" customHeight="1">
      <c r="A70" s="37">
        <v>57</v>
      </c>
      <c r="B70" s="16"/>
      <c r="C70" s="16"/>
      <c r="D70" s="16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7" t="str">
        <f t="shared" si="3"/>
        <v/>
      </c>
      <c r="AF70" s="37" t="str">
        <f t="shared" si="4"/>
        <v/>
      </c>
      <c r="AG70" s="45">
        <f t="shared" si="5"/>
        <v>0</v>
      </c>
      <c r="AH70" s="20"/>
    </row>
    <row r="71" spans="1:34" ht="27.75" customHeight="1">
      <c r="A71" s="37">
        <v>58</v>
      </c>
      <c r="B71" s="16"/>
      <c r="C71" s="16"/>
      <c r="D71" s="16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7" t="str">
        <f t="shared" si="3"/>
        <v/>
      </c>
      <c r="AF71" s="37" t="str">
        <f t="shared" si="4"/>
        <v/>
      </c>
      <c r="AG71" s="45">
        <f t="shared" si="5"/>
        <v>0</v>
      </c>
      <c r="AH71" s="20"/>
    </row>
    <row r="72" spans="1:34" ht="27.75" customHeight="1">
      <c r="A72" s="37">
        <v>59</v>
      </c>
      <c r="B72" s="16"/>
      <c r="C72" s="16"/>
      <c r="D72" s="16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7" t="str">
        <f t="shared" si="3"/>
        <v/>
      </c>
      <c r="AF72" s="37" t="str">
        <f t="shared" si="4"/>
        <v/>
      </c>
      <c r="AG72" s="45">
        <f t="shared" si="5"/>
        <v>0</v>
      </c>
      <c r="AH72" s="20"/>
    </row>
    <row r="73" spans="1:34" ht="27.75" customHeight="1">
      <c r="A73" s="37">
        <v>60</v>
      </c>
      <c r="B73" s="16"/>
      <c r="C73" s="16"/>
      <c r="D73" s="16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7" t="str">
        <f t="shared" si="3"/>
        <v/>
      </c>
      <c r="AF73" s="37" t="str">
        <f t="shared" si="4"/>
        <v/>
      </c>
      <c r="AG73" s="45">
        <f t="shared" si="5"/>
        <v>0</v>
      </c>
      <c r="AH73" s="20"/>
    </row>
    <row r="74" spans="1:34" ht="27.75" customHeight="1">
      <c r="A74" s="37">
        <v>61</v>
      </c>
      <c r="B74" s="16"/>
      <c r="C74" s="16"/>
      <c r="D74" s="16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7" t="str">
        <f t="shared" si="3"/>
        <v/>
      </c>
      <c r="AF74" s="37" t="str">
        <f t="shared" si="4"/>
        <v/>
      </c>
      <c r="AG74" s="45">
        <f t="shared" si="5"/>
        <v>0</v>
      </c>
      <c r="AH74" s="20"/>
    </row>
    <row r="75" spans="1:34" ht="27.75" customHeight="1">
      <c r="A75" s="37">
        <v>62</v>
      </c>
      <c r="B75" s="16"/>
      <c r="C75" s="16"/>
      <c r="D75" s="16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7" t="str">
        <f t="shared" si="3"/>
        <v/>
      </c>
      <c r="AF75" s="37" t="str">
        <f t="shared" si="4"/>
        <v/>
      </c>
      <c r="AG75" s="45">
        <f t="shared" si="5"/>
        <v>0</v>
      </c>
      <c r="AH75" s="20"/>
    </row>
    <row r="76" spans="1:34" ht="27.75" customHeight="1">
      <c r="A76" s="37">
        <v>63</v>
      </c>
      <c r="B76" s="16"/>
      <c r="C76" s="16"/>
      <c r="D76" s="16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7" t="str">
        <f t="shared" si="3"/>
        <v/>
      </c>
      <c r="AF76" s="37" t="str">
        <f t="shared" si="4"/>
        <v/>
      </c>
      <c r="AG76" s="45">
        <f t="shared" si="5"/>
        <v>0</v>
      </c>
      <c r="AH76" s="20"/>
    </row>
    <row r="77" spans="1:34" ht="27.75" customHeight="1">
      <c r="A77" s="37">
        <v>64</v>
      </c>
      <c r="B77" s="16"/>
      <c r="C77" s="16"/>
      <c r="D77" s="16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7" t="str">
        <f t="shared" si="3"/>
        <v/>
      </c>
      <c r="AF77" s="37" t="str">
        <f t="shared" si="4"/>
        <v/>
      </c>
      <c r="AG77" s="45">
        <f t="shared" si="5"/>
        <v>0</v>
      </c>
      <c r="AH77" s="20"/>
    </row>
    <row r="78" spans="1:34" ht="27.75" customHeight="1">
      <c r="A78" s="37">
        <v>65</v>
      </c>
      <c r="B78" s="16"/>
      <c r="C78" s="16"/>
      <c r="D78" s="16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7" t="str">
        <f t="shared" ref="AE78:AE109" si="6">IF(AND(B78="",E78="",R78=""),"",IF(SUMPRODUCT(((E78:Q78&gt;=1)&lt;&gt;(R78:AD78&gt;=1))*1)=0,"○","✗"))</f>
        <v/>
      </c>
      <c r="AF78" s="37" t="str">
        <f t="shared" ref="AF78:AF109" si="7">IF(AE78="","",IF(AE78="✗","✗",IF(SUMPRODUCT((E78:Q78&lt;&gt;R78:AD78)*1)=0,"○","✗")))</f>
        <v/>
      </c>
      <c r="AG78" s="45">
        <f t="shared" ref="AG78:AG109" si="8">IF(AND(SUM(E78:Q78)=0,SUM(R78:AD78)=0),0,(SUM(E78:Q78)+SUM(R78:AD78))/2)</f>
        <v>0</v>
      </c>
      <c r="AH78" s="20"/>
    </row>
    <row r="79" spans="1:34" ht="27.75" customHeight="1">
      <c r="A79" s="37">
        <v>66</v>
      </c>
      <c r="B79" s="16"/>
      <c r="C79" s="16"/>
      <c r="D79" s="16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7" t="str">
        <f t="shared" si="6"/>
        <v/>
      </c>
      <c r="AF79" s="37" t="str">
        <f t="shared" si="7"/>
        <v/>
      </c>
      <c r="AG79" s="45">
        <f t="shared" si="8"/>
        <v>0</v>
      </c>
      <c r="AH79" s="20"/>
    </row>
    <row r="80" spans="1:34" ht="27.75" customHeight="1">
      <c r="A80" s="37">
        <v>67</v>
      </c>
      <c r="B80" s="16"/>
      <c r="C80" s="16"/>
      <c r="D80" s="16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7" t="str">
        <f t="shared" si="6"/>
        <v/>
      </c>
      <c r="AF80" s="37" t="str">
        <f t="shared" si="7"/>
        <v/>
      </c>
      <c r="AG80" s="45">
        <f t="shared" si="8"/>
        <v>0</v>
      </c>
      <c r="AH80" s="20"/>
    </row>
    <row r="81" spans="1:34" ht="27.75" customHeight="1">
      <c r="A81" s="37">
        <v>68</v>
      </c>
      <c r="B81" s="16"/>
      <c r="C81" s="16"/>
      <c r="D81" s="16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7" t="str">
        <f t="shared" si="6"/>
        <v/>
      </c>
      <c r="AF81" s="37" t="str">
        <f t="shared" si="7"/>
        <v/>
      </c>
      <c r="AG81" s="45">
        <f t="shared" si="8"/>
        <v>0</v>
      </c>
      <c r="AH81" s="20"/>
    </row>
    <row r="82" spans="1:34" ht="27.75" customHeight="1">
      <c r="A82" s="37">
        <v>69</v>
      </c>
      <c r="B82" s="16"/>
      <c r="C82" s="16"/>
      <c r="D82" s="16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7" t="str">
        <f t="shared" si="6"/>
        <v/>
      </c>
      <c r="AF82" s="37" t="str">
        <f t="shared" si="7"/>
        <v/>
      </c>
      <c r="AG82" s="45">
        <f t="shared" si="8"/>
        <v>0</v>
      </c>
      <c r="AH82" s="20"/>
    </row>
    <row r="83" spans="1:34" ht="27.75" customHeight="1">
      <c r="A83" s="37">
        <v>70</v>
      </c>
      <c r="B83" s="16"/>
      <c r="C83" s="16"/>
      <c r="D83" s="16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7" t="str">
        <f t="shared" si="6"/>
        <v/>
      </c>
      <c r="AF83" s="37" t="str">
        <f t="shared" si="7"/>
        <v/>
      </c>
      <c r="AG83" s="45">
        <f t="shared" si="8"/>
        <v>0</v>
      </c>
      <c r="AH83" s="20"/>
    </row>
    <row r="84" spans="1:34" ht="27.75" customHeight="1">
      <c r="A84" s="37">
        <v>71</v>
      </c>
      <c r="B84" s="16"/>
      <c r="C84" s="16"/>
      <c r="D84" s="16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7" t="str">
        <f t="shared" si="6"/>
        <v/>
      </c>
      <c r="AF84" s="37" t="str">
        <f t="shared" si="7"/>
        <v/>
      </c>
      <c r="AG84" s="45">
        <f t="shared" si="8"/>
        <v>0</v>
      </c>
      <c r="AH84" s="20"/>
    </row>
    <row r="85" spans="1:34" ht="27.75" customHeight="1">
      <c r="A85" s="37">
        <v>72</v>
      </c>
      <c r="B85" s="16"/>
      <c r="C85" s="16"/>
      <c r="D85" s="16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7" t="str">
        <f t="shared" si="6"/>
        <v/>
      </c>
      <c r="AF85" s="37" t="str">
        <f t="shared" si="7"/>
        <v/>
      </c>
      <c r="AG85" s="45">
        <f t="shared" si="8"/>
        <v>0</v>
      </c>
      <c r="AH85" s="20"/>
    </row>
    <row r="86" spans="1:34" ht="27.75" customHeight="1">
      <c r="A86" s="37">
        <v>73</v>
      </c>
      <c r="B86" s="16"/>
      <c r="C86" s="16"/>
      <c r="D86" s="16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7" t="str">
        <f t="shared" si="6"/>
        <v/>
      </c>
      <c r="AF86" s="37" t="str">
        <f t="shared" si="7"/>
        <v/>
      </c>
      <c r="AG86" s="45">
        <f t="shared" si="8"/>
        <v>0</v>
      </c>
      <c r="AH86" s="20"/>
    </row>
    <row r="87" spans="1:34" ht="27.75" customHeight="1">
      <c r="A87" s="37">
        <v>74</v>
      </c>
      <c r="B87" s="16"/>
      <c r="C87" s="16"/>
      <c r="D87" s="16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7" t="str">
        <f t="shared" si="6"/>
        <v/>
      </c>
      <c r="AF87" s="37" t="str">
        <f t="shared" si="7"/>
        <v/>
      </c>
      <c r="AG87" s="45">
        <f t="shared" si="8"/>
        <v>0</v>
      </c>
      <c r="AH87" s="20"/>
    </row>
    <row r="88" spans="1:34" ht="27.75" customHeight="1">
      <c r="A88" s="37">
        <v>75</v>
      </c>
      <c r="B88" s="16"/>
      <c r="C88" s="16"/>
      <c r="D88" s="16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7" t="str">
        <f t="shared" si="6"/>
        <v/>
      </c>
      <c r="AF88" s="37" t="str">
        <f t="shared" si="7"/>
        <v/>
      </c>
      <c r="AG88" s="45">
        <f t="shared" si="8"/>
        <v>0</v>
      </c>
      <c r="AH88" s="20"/>
    </row>
    <row r="89" spans="1:34" ht="27.75" customHeight="1">
      <c r="A89" s="37">
        <v>76</v>
      </c>
      <c r="B89" s="16"/>
      <c r="C89" s="16"/>
      <c r="D89" s="16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7" t="str">
        <f t="shared" si="6"/>
        <v/>
      </c>
      <c r="AF89" s="37" t="str">
        <f t="shared" si="7"/>
        <v/>
      </c>
      <c r="AG89" s="45">
        <f t="shared" si="8"/>
        <v>0</v>
      </c>
      <c r="AH89" s="20"/>
    </row>
    <row r="90" spans="1:34" ht="27.75" customHeight="1">
      <c r="A90" s="37">
        <v>77</v>
      </c>
      <c r="B90" s="16"/>
      <c r="C90" s="16"/>
      <c r="D90" s="16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7" t="str">
        <f t="shared" si="6"/>
        <v/>
      </c>
      <c r="AF90" s="37" t="str">
        <f t="shared" si="7"/>
        <v/>
      </c>
      <c r="AG90" s="45">
        <f t="shared" si="8"/>
        <v>0</v>
      </c>
      <c r="AH90" s="20"/>
    </row>
    <row r="91" spans="1:34" ht="27.75" customHeight="1">
      <c r="A91" s="37">
        <v>78</v>
      </c>
      <c r="B91" s="16"/>
      <c r="C91" s="16"/>
      <c r="D91" s="16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7" t="str">
        <f t="shared" si="6"/>
        <v/>
      </c>
      <c r="AF91" s="37" t="str">
        <f t="shared" si="7"/>
        <v/>
      </c>
      <c r="AG91" s="45">
        <f t="shared" si="8"/>
        <v>0</v>
      </c>
      <c r="AH91" s="20"/>
    </row>
    <row r="92" spans="1:34" ht="27.75" customHeight="1">
      <c r="A92" s="37">
        <v>79</v>
      </c>
      <c r="B92" s="16"/>
      <c r="C92" s="16"/>
      <c r="D92" s="16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7" t="str">
        <f t="shared" si="6"/>
        <v/>
      </c>
      <c r="AF92" s="37" t="str">
        <f t="shared" si="7"/>
        <v/>
      </c>
      <c r="AG92" s="45">
        <f t="shared" si="8"/>
        <v>0</v>
      </c>
      <c r="AH92" s="20"/>
    </row>
    <row r="93" spans="1:34" ht="27.75" customHeight="1">
      <c r="A93" s="37">
        <v>80</v>
      </c>
      <c r="B93" s="16"/>
      <c r="C93" s="16"/>
      <c r="D93" s="16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7" t="str">
        <f t="shared" si="6"/>
        <v/>
      </c>
      <c r="AF93" s="37" t="str">
        <f t="shared" si="7"/>
        <v/>
      </c>
      <c r="AG93" s="45">
        <f t="shared" si="8"/>
        <v>0</v>
      </c>
      <c r="AH93" s="20"/>
    </row>
    <row r="94" spans="1:34" ht="27.75" customHeight="1">
      <c r="A94" s="37">
        <v>81</v>
      </c>
      <c r="B94" s="16"/>
      <c r="C94" s="16"/>
      <c r="D94" s="16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7" t="str">
        <f t="shared" si="6"/>
        <v/>
      </c>
      <c r="AF94" s="37" t="str">
        <f t="shared" si="7"/>
        <v/>
      </c>
      <c r="AG94" s="45">
        <f t="shared" si="8"/>
        <v>0</v>
      </c>
      <c r="AH94" s="20"/>
    </row>
    <row r="95" spans="1:34" ht="27.75" customHeight="1">
      <c r="A95" s="37">
        <v>82</v>
      </c>
      <c r="B95" s="16"/>
      <c r="C95" s="16"/>
      <c r="D95" s="16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7" t="str">
        <f t="shared" si="6"/>
        <v/>
      </c>
      <c r="AF95" s="37" t="str">
        <f t="shared" si="7"/>
        <v/>
      </c>
      <c r="AG95" s="45">
        <f t="shared" si="8"/>
        <v>0</v>
      </c>
      <c r="AH95" s="20"/>
    </row>
    <row r="96" spans="1:34" ht="27.75" customHeight="1">
      <c r="A96" s="37">
        <v>83</v>
      </c>
      <c r="B96" s="16"/>
      <c r="C96" s="16"/>
      <c r="D96" s="16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7" t="str">
        <f t="shared" si="6"/>
        <v/>
      </c>
      <c r="AF96" s="37" t="str">
        <f t="shared" si="7"/>
        <v/>
      </c>
      <c r="AG96" s="45">
        <f t="shared" si="8"/>
        <v>0</v>
      </c>
      <c r="AH96" s="20"/>
    </row>
    <row r="97" spans="1:34" ht="27.75" customHeight="1">
      <c r="A97" s="37">
        <v>84</v>
      </c>
      <c r="B97" s="16"/>
      <c r="C97" s="16"/>
      <c r="D97" s="16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7" t="str">
        <f t="shared" si="6"/>
        <v/>
      </c>
      <c r="AF97" s="37" t="str">
        <f t="shared" si="7"/>
        <v/>
      </c>
      <c r="AG97" s="45">
        <f t="shared" si="8"/>
        <v>0</v>
      </c>
      <c r="AH97" s="20"/>
    </row>
    <row r="98" spans="1:34" ht="27.75" customHeight="1">
      <c r="A98" s="37">
        <v>85</v>
      </c>
      <c r="B98" s="16"/>
      <c r="C98" s="16"/>
      <c r="D98" s="16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7" t="str">
        <f t="shared" si="6"/>
        <v/>
      </c>
      <c r="AF98" s="37" t="str">
        <f t="shared" si="7"/>
        <v/>
      </c>
      <c r="AG98" s="45">
        <f t="shared" si="8"/>
        <v>0</v>
      </c>
      <c r="AH98" s="20"/>
    </row>
    <row r="99" spans="1:34" ht="27.75" customHeight="1">
      <c r="A99" s="37">
        <v>86</v>
      </c>
      <c r="B99" s="16"/>
      <c r="C99" s="16"/>
      <c r="D99" s="16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7" t="str">
        <f t="shared" si="6"/>
        <v/>
      </c>
      <c r="AF99" s="37" t="str">
        <f t="shared" si="7"/>
        <v/>
      </c>
      <c r="AG99" s="45">
        <f t="shared" si="8"/>
        <v>0</v>
      </c>
      <c r="AH99" s="20"/>
    </row>
    <row r="100" spans="1:34" ht="27.75" customHeight="1">
      <c r="A100" s="37">
        <v>87</v>
      </c>
      <c r="B100" s="16"/>
      <c r="C100" s="16"/>
      <c r="D100" s="16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7" t="str">
        <f t="shared" si="6"/>
        <v/>
      </c>
      <c r="AF100" s="37" t="str">
        <f t="shared" si="7"/>
        <v/>
      </c>
      <c r="AG100" s="45">
        <f t="shared" si="8"/>
        <v>0</v>
      </c>
      <c r="AH100" s="20"/>
    </row>
    <row r="101" spans="1:34" ht="27.75" customHeight="1">
      <c r="A101" s="37">
        <v>88</v>
      </c>
      <c r="B101" s="16"/>
      <c r="C101" s="16"/>
      <c r="D101" s="16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7" t="str">
        <f t="shared" si="6"/>
        <v/>
      </c>
      <c r="AF101" s="37" t="str">
        <f t="shared" si="7"/>
        <v/>
      </c>
      <c r="AG101" s="45">
        <f t="shared" si="8"/>
        <v>0</v>
      </c>
      <c r="AH101" s="20"/>
    </row>
    <row r="102" spans="1:34" ht="27.75" customHeight="1">
      <c r="A102" s="37">
        <v>89</v>
      </c>
      <c r="B102" s="16"/>
      <c r="C102" s="16"/>
      <c r="D102" s="16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7" t="str">
        <f t="shared" si="6"/>
        <v/>
      </c>
      <c r="AF102" s="37" t="str">
        <f t="shared" si="7"/>
        <v/>
      </c>
      <c r="AG102" s="45">
        <f t="shared" si="8"/>
        <v>0</v>
      </c>
      <c r="AH102" s="20"/>
    </row>
    <row r="103" spans="1:34" ht="27.75" customHeight="1">
      <c r="A103" s="37">
        <v>90</v>
      </c>
      <c r="B103" s="16"/>
      <c r="C103" s="16"/>
      <c r="D103" s="16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7" t="str">
        <f t="shared" si="6"/>
        <v/>
      </c>
      <c r="AF103" s="37" t="str">
        <f t="shared" si="7"/>
        <v/>
      </c>
      <c r="AG103" s="45">
        <f t="shared" si="8"/>
        <v>0</v>
      </c>
      <c r="AH103" s="20"/>
    </row>
    <row r="104" spans="1:34" ht="27.75" customHeight="1">
      <c r="A104" s="37">
        <v>91</v>
      </c>
      <c r="B104" s="16"/>
      <c r="C104" s="16"/>
      <c r="D104" s="16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7" t="str">
        <f t="shared" si="6"/>
        <v/>
      </c>
      <c r="AF104" s="37" t="str">
        <f t="shared" si="7"/>
        <v/>
      </c>
      <c r="AG104" s="45">
        <f t="shared" si="8"/>
        <v>0</v>
      </c>
      <c r="AH104" s="20"/>
    </row>
    <row r="105" spans="1:34" ht="27.75" customHeight="1">
      <c r="A105" s="37">
        <v>92</v>
      </c>
      <c r="B105" s="16"/>
      <c r="C105" s="16"/>
      <c r="D105" s="16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7" t="str">
        <f t="shared" si="6"/>
        <v/>
      </c>
      <c r="AF105" s="37" t="str">
        <f t="shared" si="7"/>
        <v/>
      </c>
      <c r="AG105" s="45">
        <f t="shared" si="8"/>
        <v>0</v>
      </c>
      <c r="AH105" s="20"/>
    </row>
    <row r="106" spans="1:34" ht="27.75" customHeight="1">
      <c r="A106" s="37">
        <v>93</v>
      </c>
      <c r="B106" s="16"/>
      <c r="C106" s="16"/>
      <c r="D106" s="16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7" t="str">
        <f t="shared" si="6"/>
        <v/>
      </c>
      <c r="AF106" s="37" t="str">
        <f t="shared" si="7"/>
        <v/>
      </c>
      <c r="AG106" s="45">
        <f t="shared" si="8"/>
        <v>0</v>
      </c>
      <c r="AH106" s="20"/>
    </row>
    <row r="107" spans="1:34" ht="27.75" customHeight="1">
      <c r="A107" s="37">
        <v>94</v>
      </c>
      <c r="B107" s="16"/>
      <c r="C107" s="16"/>
      <c r="D107" s="16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7" t="str">
        <f t="shared" si="6"/>
        <v/>
      </c>
      <c r="AF107" s="37" t="str">
        <f t="shared" si="7"/>
        <v/>
      </c>
      <c r="AG107" s="45">
        <f t="shared" si="8"/>
        <v>0</v>
      </c>
      <c r="AH107" s="20"/>
    </row>
    <row r="108" spans="1:34" ht="27.75" customHeight="1">
      <c r="A108" s="37">
        <v>95</v>
      </c>
      <c r="B108" s="16"/>
      <c r="C108" s="16"/>
      <c r="D108" s="16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7" t="str">
        <f t="shared" si="6"/>
        <v/>
      </c>
      <c r="AF108" s="37" t="str">
        <f t="shared" si="7"/>
        <v/>
      </c>
      <c r="AG108" s="45">
        <f t="shared" si="8"/>
        <v>0</v>
      </c>
      <c r="AH108" s="20"/>
    </row>
    <row r="109" spans="1:34" ht="27.75" customHeight="1">
      <c r="A109" s="37">
        <v>96</v>
      </c>
      <c r="B109" s="16"/>
      <c r="C109" s="16"/>
      <c r="D109" s="16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7" t="str">
        <f t="shared" si="6"/>
        <v/>
      </c>
      <c r="AF109" s="37" t="str">
        <f t="shared" si="7"/>
        <v/>
      </c>
      <c r="AG109" s="45">
        <f t="shared" si="8"/>
        <v>0</v>
      </c>
      <c r="AH109" s="20"/>
    </row>
    <row r="110" spans="1:34" ht="27.75" customHeight="1">
      <c r="A110" s="37">
        <v>97</v>
      </c>
      <c r="B110" s="16"/>
      <c r="C110" s="16"/>
      <c r="D110" s="16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7" t="str">
        <f t="shared" ref="AE110:AE141" si="9">IF(AND(B110="",E110="",R110=""),"",IF(SUMPRODUCT(((E110:Q110&gt;=1)&lt;&gt;(R110:AD110&gt;=1))*1)=0,"○","✗"))</f>
        <v/>
      </c>
      <c r="AF110" s="37" t="str">
        <f t="shared" ref="AF110:AF141" si="10">IF(AE110="","",IF(AE110="✗","✗",IF(SUMPRODUCT((E110:Q110&lt;&gt;R110:AD110)*1)=0,"○","✗")))</f>
        <v/>
      </c>
      <c r="AG110" s="45">
        <f t="shared" ref="AG110:AG141" si="11">IF(AND(SUM(E110:Q110)=0,SUM(R110:AD110)=0),0,(SUM(E110:Q110)+SUM(R110:AD110))/2)</f>
        <v>0</v>
      </c>
      <c r="AH110" s="20"/>
    </row>
    <row r="111" spans="1:34" ht="27.75" customHeight="1">
      <c r="A111" s="37">
        <v>98</v>
      </c>
      <c r="B111" s="16"/>
      <c r="C111" s="16"/>
      <c r="D111" s="16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7" t="str">
        <f t="shared" si="9"/>
        <v/>
      </c>
      <c r="AF111" s="37" t="str">
        <f t="shared" si="10"/>
        <v/>
      </c>
      <c r="AG111" s="45">
        <f t="shared" si="11"/>
        <v>0</v>
      </c>
      <c r="AH111" s="20"/>
    </row>
    <row r="112" spans="1:34" ht="27.75" customHeight="1">
      <c r="A112" s="37">
        <v>99</v>
      </c>
      <c r="B112" s="16"/>
      <c r="C112" s="16"/>
      <c r="D112" s="16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7" t="str">
        <f t="shared" si="9"/>
        <v/>
      </c>
      <c r="AF112" s="37" t="str">
        <f t="shared" si="10"/>
        <v/>
      </c>
      <c r="AG112" s="45">
        <f t="shared" si="11"/>
        <v>0</v>
      </c>
      <c r="AH112" s="20"/>
    </row>
    <row r="113" spans="1:34" ht="27.75" customHeight="1">
      <c r="A113" s="37">
        <v>100</v>
      </c>
      <c r="B113" s="16"/>
      <c r="C113" s="16"/>
      <c r="D113" s="16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7" t="str">
        <f t="shared" si="9"/>
        <v/>
      </c>
      <c r="AF113" s="37" t="str">
        <f t="shared" si="10"/>
        <v/>
      </c>
      <c r="AG113" s="45">
        <f t="shared" si="11"/>
        <v>0</v>
      </c>
      <c r="AH113" s="20"/>
    </row>
    <row r="114" spans="1:34" ht="27.75" customHeight="1">
      <c r="A114" s="37">
        <v>101</v>
      </c>
      <c r="B114" s="16"/>
      <c r="C114" s="16"/>
      <c r="D114" s="16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7" t="str">
        <f t="shared" si="9"/>
        <v/>
      </c>
      <c r="AF114" s="37" t="str">
        <f t="shared" si="10"/>
        <v/>
      </c>
      <c r="AG114" s="45">
        <f t="shared" si="11"/>
        <v>0</v>
      </c>
      <c r="AH114" s="20"/>
    </row>
    <row r="115" spans="1:34" ht="27.75" customHeight="1">
      <c r="A115" s="37">
        <v>102</v>
      </c>
      <c r="B115" s="16"/>
      <c r="C115" s="16"/>
      <c r="D115" s="16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7" t="str">
        <f t="shared" si="9"/>
        <v/>
      </c>
      <c r="AF115" s="37" t="str">
        <f t="shared" si="10"/>
        <v/>
      </c>
      <c r="AG115" s="45">
        <f t="shared" si="11"/>
        <v>0</v>
      </c>
      <c r="AH115" s="20"/>
    </row>
    <row r="116" spans="1:34" ht="27.75" customHeight="1">
      <c r="A116" s="37">
        <v>103</v>
      </c>
      <c r="B116" s="16"/>
      <c r="C116" s="16"/>
      <c r="D116" s="16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7" t="str">
        <f t="shared" si="9"/>
        <v/>
      </c>
      <c r="AF116" s="37" t="str">
        <f t="shared" si="10"/>
        <v/>
      </c>
      <c r="AG116" s="45">
        <f t="shared" si="11"/>
        <v>0</v>
      </c>
      <c r="AH116" s="20"/>
    </row>
    <row r="117" spans="1:34" ht="27.75" customHeight="1">
      <c r="A117" s="37">
        <v>104</v>
      </c>
      <c r="B117" s="16"/>
      <c r="C117" s="16"/>
      <c r="D117" s="16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7" t="str">
        <f t="shared" si="9"/>
        <v/>
      </c>
      <c r="AF117" s="37" t="str">
        <f t="shared" si="10"/>
        <v/>
      </c>
      <c r="AG117" s="45">
        <f t="shared" si="11"/>
        <v>0</v>
      </c>
      <c r="AH117" s="20"/>
    </row>
    <row r="118" spans="1:34" ht="27.75" customHeight="1">
      <c r="A118" s="37">
        <v>105</v>
      </c>
      <c r="B118" s="16"/>
      <c r="C118" s="16"/>
      <c r="D118" s="16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7" t="str">
        <f t="shared" si="9"/>
        <v/>
      </c>
      <c r="AF118" s="37" t="str">
        <f t="shared" si="10"/>
        <v/>
      </c>
      <c r="AG118" s="45">
        <f t="shared" si="11"/>
        <v>0</v>
      </c>
      <c r="AH118" s="20"/>
    </row>
    <row r="119" spans="1:34" ht="27.75" customHeight="1">
      <c r="A119" s="37">
        <v>106</v>
      </c>
      <c r="B119" s="16"/>
      <c r="C119" s="16"/>
      <c r="D119" s="16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7" t="str">
        <f t="shared" si="9"/>
        <v/>
      </c>
      <c r="AF119" s="37" t="str">
        <f t="shared" si="10"/>
        <v/>
      </c>
      <c r="AG119" s="45">
        <f t="shared" si="11"/>
        <v>0</v>
      </c>
      <c r="AH119" s="20"/>
    </row>
    <row r="120" spans="1:34" ht="27.75" customHeight="1">
      <c r="A120" s="37">
        <v>107</v>
      </c>
      <c r="B120" s="16"/>
      <c r="C120" s="16"/>
      <c r="D120" s="16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7" t="str">
        <f t="shared" si="9"/>
        <v/>
      </c>
      <c r="AF120" s="37" t="str">
        <f t="shared" si="10"/>
        <v/>
      </c>
      <c r="AG120" s="45">
        <f t="shared" si="11"/>
        <v>0</v>
      </c>
      <c r="AH120" s="20"/>
    </row>
    <row r="121" spans="1:34" ht="27.75" customHeight="1">
      <c r="A121" s="37">
        <v>108</v>
      </c>
      <c r="B121" s="16"/>
      <c r="C121" s="16"/>
      <c r="D121" s="16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7" t="str">
        <f t="shared" si="9"/>
        <v/>
      </c>
      <c r="AF121" s="37" t="str">
        <f t="shared" si="10"/>
        <v/>
      </c>
      <c r="AG121" s="45">
        <f t="shared" si="11"/>
        <v>0</v>
      </c>
      <c r="AH121" s="20"/>
    </row>
    <row r="122" spans="1:34" ht="27.75" customHeight="1">
      <c r="A122" s="37">
        <v>109</v>
      </c>
      <c r="B122" s="16"/>
      <c r="C122" s="16"/>
      <c r="D122" s="16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7" t="str">
        <f t="shared" si="9"/>
        <v/>
      </c>
      <c r="AF122" s="37" t="str">
        <f t="shared" si="10"/>
        <v/>
      </c>
      <c r="AG122" s="45">
        <f t="shared" si="11"/>
        <v>0</v>
      </c>
      <c r="AH122" s="20"/>
    </row>
    <row r="123" spans="1:34" ht="27.75" customHeight="1">
      <c r="A123" s="37">
        <v>110</v>
      </c>
      <c r="B123" s="16"/>
      <c r="C123" s="16"/>
      <c r="D123" s="16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7" t="str">
        <f t="shared" si="9"/>
        <v/>
      </c>
      <c r="AF123" s="37" t="str">
        <f t="shared" si="10"/>
        <v/>
      </c>
      <c r="AG123" s="45">
        <f t="shared" si="11"/>
        <v>0</v>
      </c>
      <c r="AH123" s="20"/>
    </row>
    <row r="124" spans="1:34" ht="27.75" customHeight="1">
      <c r="A124" s="37">
        <v>111</v>
      </c>
      <c r="B124" s="16"/>
      <c r="C124" s="16"/>
      <c r="D124" s="16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7" t="str">
        <f t="shared" si="9"/>
        <v/>
      </c>
      <c r="AF124" s="37" t="str">
        <f t="shared" si="10"/>
        <v/>
      </c>
      <c r="AG124" s="45">
        <f t="shared" si="11"/>
        <v>0</v>
      </c>
      <c r="AH124" s="20"/>
    </row>
    <row r="125" spans="1:34" ht="27.75" customHeight="1">
      <c r="A125" s="37">
        <v>112</v>
      </c>
      <c r="B125" s="16"/>
      <c r="C125" s="16"/>
      <c r="D125" s="16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7" t="str">
        <f t="shared" si="9"/>
        <v/>
      </c>
      <c r="AF125" s="37" t="str">
        <f t="shared" si="10"/>
        <v/>
      </c>
      <c r="AG125" s="45">
        <f t="shared" si="11"/>
        <v>0</v>
      </c>
      <c r="AH125" s="20"/>
    </row>
    <row r="126" spans="1:34" ht="27.75" customHeight="1">
      <c r="A126" s="37">
        <v>113</v>
      </c>
      <c r="B126" s="16"/>
      <c r="C126" s="16"/>
      <c r="D126" s="16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7" t="str">
        <f t="shared" si="9"/>
        <v/>
      </c>
      <c r="AF126" s="37" t="str">
        <f t="shared" si="10"/>
        <v/>
      </c>
      <c r="AG126" s="45">
        <f t="shared" si="11"/>
        <v>0</v>
      </c>
      <c r="AH126" s="20"/>
    </row>
    <row r="127" spans="1:34" ht="27.75" customHeight="1">
      <c r="A127" s="37">
        <v>114</v>
      </c>
      <c r="B127" s="16"/>
      <c r="C127" s="16"/>
      <c r="D127" s="16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7" t="str">
        <f t="shared" si="9"/>
        <v/>
      </c>
      <c r="AF127" s="37" t="str">
        <f t="shared" si="10"/>
        <v/>
      </c>
      <c r="AG127" s="45">
        <f t="shared" si="11"/>
        <v>0</v>
      </c>
      <c r="AH127" s="20"/>
    </row>
    <row r="128" spans="1:34" ht="27.75" customHeight="1">
      <c r="A128" s="37">
        <v>115</v>
      </c>
      <c r="B128" s="16"/>
      <c r="C128" s="16"/>
      <c r="D128" s="16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7" t="str">
        <f t="shared" si="9"/>
        <v/>
      </c>
      <c r="AF128" s="37" t="str">
        <f t="shared" si="10"/>
        <v/>
      </c>
      <c r="AG128" s="45">
        <f t="shared" si="11"/>
        <v>0</v>
      </c>
      <c r="AH128" s="20"/>
    </row>
    <row r="129" spans="1:34" ht="27.75" customHeight="1">
      <c r="A129" s="37">
        <v>116</v>
      </c>
      <c r="B129" s="16"/>
      <c r="C129" s="16"/>
      <c r="D129" s="16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7" t="str">
        <f t="shared" si="9"/>
        <v/>
      </c>
      <c r="AF129" s="37" t="str">
        <f t="shared" si="10"/>
        <v/>
      </c>
      <c r="AG129" s="45">
        <f t="shared" si="11"/>
        <v>0</v>
      </c>
      <c r="AH129" s="20"/>
    </row>
    <row r="130" spans="1:34" ht="27.75" customHeight="1">
      <c r="A130" s="37">
        <v>117</v>
      </c>
      <c r="B130" s="16"/>
      <c r="C130" s="16"/>
      <c r="D130" s="16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7" t="str">
        <f t="shared" si="9"/>
        <v/>
      </c>
      <c r="AF130" s="37" t="str">
        <f t="shared" si="10"/>
        <v/>
      </c>
      <c r="AG130" s="45">
        <f t="shared" si="11"/>
        <v>0</v>
      </c>
      <c r="AH130" s="20"/>
    </row>
    <row r="131" spans="1:34" ht="27.75" customHeight="1">
      <c r="A131" s="37">
        <v>118</v>
      </c>
      <c r="B131" s="16"/>
      <c r="C131" s="16"/>
      <c r="D131" s="16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7" t="str">
        <f t="shared" si="9"/>
        <v/>
      </c>
      <c r="AF131" s="37" t="str">
        <f t="shared" si="10"/>
        <v/>
      </c>
      <c r="AG131" s="45">
        <f t="shared" si="11"/>
        <v>0</v>
      </c>
      <c r="AH131" s="20"/>
    </row>
    <row r="132" spans="1:34" ht="27.75" customHeight="1">
      <c r="A132" s="37">
        <v>119</v>
      </c>
      <c r="B132" s="16"/>
      <c r="C132" s="16"/>
      <c r="D132" s="16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7" t="str">
        <f t="shared" si="9"/>
        <v/>
      </c>
      <c r="AF132" s="37" t="str">
        <f t="shared" si="10"/>
        <v/>
      </c>
      <c r="AG132" s="45">
        <f t="shared" si="11"/>
        <v>0</v>
      </c>
      <c r="AH132" s="20"/>
    </row>
    <row r="133" spans="1:34" ht="27.75" customHeight="1">
      <c r="A133" s="37">
        <v>120</v>
      </c>
      <c r="B133" s="16"/>
      <c r="C133" s="16"/>
      <c r="D133" s="16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7" t="str">
        <f t="shared" si="9"/>
        <v/>
      </c>
      <c r="AF133" s="37" t="str">
        <f t="shared" si="10"/>
        <v/>
      </c>
      <c r="AG133" s="45">
        <f t="shared" si="11"/>
        <v>0</v>
      </c>
      <c r="AH133" s="20"/>
    </row>
    <row r="134" spans="1:34" ht="27.75" customHeight="1">
      <c r="A134" s="37">
        <v>121</v>
      </c>
      <c r="B134" s="16"/>
      <c r="C134" s="16"/>
      <c r="D134" s="16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7" t="str">
        <f t="shared" si="9"/>
        <v/>
      </c>
      <c r="AF134" s="37" t="str">
        <f t="shared" si="10"/>
        <v/>
      </c>
      <c r="AG134" s="45">
        <f t="shared" si="11"/>
        <v>0</v>
      </c>
      <c r="AH134" s="20"/>
    </row>
    <row r="135" spans="1:34" ht="27.75" customHeight="1">
      <c r="A135" s="37">
        <v>122</v>
      </c>
      <c r="B135" s="16"/>
      <c r="C135" s="16"/>
      <c r="D135" s="16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7" t="str">
        <f t="shared" si="9"/>
        <v/>
      </c>
      <c r="AF135" s="37" t="str">
        <f t="shared" si="10"/>
        <v/>
      </c>
      <c r="AG135" s="45">
        <f t="shared" si="11"/>
        <v>0</v>
      </c>
      <c r="AH135" s="20"/>
    </row>
    <row r="136" spans="1:34" ht="27.75" customHeight="1">
      <c r="A136" s="37">
        <v>123</v>
      </c>
      <c r="B136" s="16"/>
      <c r="C136" s="16"/>
      <c r="D136" s="16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7" t="str">
        <f t="shared" si="9"/>
        <v/>
      </c>
      <c r="AF136" s="37" t="str">
        <f t="shared" si="10"/>
        <v/>
      </c>
      <c r="AG136" s="45">
        <f t="shared" si="11"/>
        <v>0</v>
      </c>
      <c r="AH136" s="20"/>
    </row>
    <row r="137" spans="1:34" ht="27.75" customHeight="1">
      <c r="A137" s="37">
        <v>124</v>
      </c>
      <c r="B137" s="16"/>
      <c r="C137" s="16"/>
      <c r="D137" s="16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7" t="str">
        <f t="shared" si="9"/>
        <v/>
      </c>
      <c r="AF137" s="37" t="str">
        <f t="shared" si="10"/>
        <v/>
      </c>
      <c r="AG137" s="45">
        <f t="shared" si="11"/>
        <v>0</v>
      </c>
      <c r="AH137" s="20"/>
    </row>
    <row r="138" spans="1:34" ht="27.75" customHeight="1">
      <c r="A138" s="37">
        <v>125</v>
      </c>
      <c r="B138" s="16"/>
      <c r="C138" s="16"/>
      <c r="D138" s="16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7" t="str">
        <f t="shared" si="9"/>
        <v/>
      </c>
      <c r="AF138" s="37" t="str">
        <f t="shared" si="10"/>
        <v/>
      </c>
      <c r="AG138" s="45">
        <f t="shared" si="11"/>
        <v>0</v>
      </c>
      <c r="AH138" s="20"/>
    </row>
    <row r="139" spans="1:34" ht="27.75" customHeight="1">
      <c r="A139" s="37">
        <v>126</v>
      </c>
      <c r="B139" s="16"/>
      <c r="C139" s="16"/>
      <c r="D139" s="16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7" t="str">
        <f t="shared" si="9"/>
        <v/>
      </c>
      <c r="AF139" s="37" t="str">
        <f t="shared" si="10"/>
        <v/>
      </c>
      <c r="AG139" s="45">
        <f t="shared" si="11"/>
        <v>0</v>
      </c>
      <c r="AH139" s="20"/>
    </row>
    <row r="140" spans="1:34" ht="27.75" customHeight="1">
      <c r="A140" s="37">
        <v>127</v>
      </c>
      <c r="B140" s="16"/>
      <c r="C140" s="16"/>
      <c r="D140" s="16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7" t="str">
        <f t="shared" si="9"/>
        <v/>
      </c>
      <c r="AF140" s="37" t="str">
        <f t="shared" si="10"/>
        <v/>
      </c>
      <c r="AG140" s="45">
        <f t="shared" si="11"/>
        <v>0</v>
      </c>
      <c r="AH140" s="20"/>
    </row>
    <row r="141" spans="1:34" ht="27.75" customHeight="1">
      <c r="A141" s="37">
        <v>128</v>
      </c>
      <c r="B141" s="16"/>
      <c r="C141" s="16"/>
      <c r="D141" s="16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7" t="str">
        <f t="shared" si="9"/>
        <v/>
      </c>
      <c r="AF141" s="37" t="str">
        <f t="shared" si="10"/>
        <v/>
      </c>
      <c r="AG141" s="45">
        <f t="shared" si="11"/>
        <v>0</v>
      </c>
      <c r="AH141" s="20"/>
    </row>
    <row r="142" spans="1:34" ht="27.75" customHeight="1">
      <c r="A142" s="37">
        <v>129</v>
      </c>
      <c r="B142" s="16"/>
      <c r="C142" s="16"/>
      <c r="D142" s="16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7" t="str">
        <f t="shared" ref="AE142:AE173" si="12">IF(AND(B142="",E142="",R142=""),"",IF(SUMPRODUCT(((E142:Q142&gt;=1)&lt;&gt;(R142:AD142&gt;=1))*1)=0,"○","✗"))</f>
        <v/>
      </c>
      <c r="AF142" s="37" t="str">
        <f t="shared" ref="AF142:AF173" si="13">IF(AE142="","",IF(AE142="✗","✗",IF(SUMPRODUCT((E142:Q142&lt;&gt;R142:AD142)*1)=0,"○","✗")))</f>
        <v/>
      </c>
      <c r="AG142" s="45">
        <f t="shared" ref="AG142:AG173" si="14">IF(AND(SUM(E142:Q142)=0,SUM(R142:AD142)=0),0,(SUM(E142:Q142)+SUM(R142:AD142))/2)</f>
        <v>0</v>
      </c>
      <c r="AH142" s="20"/>
    </row>
    <row r="143" spans="1:34" ht="27.75" customHeight="1">
      <c r="A143" s="37">
        <v>130</v>
      </c>
      <c r="B143" s="16"/>
      <c r="C143" s="16"/>
      <c r="D143" s="16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7" t="str">
        <f t="shared" si="12"/>
        <v/>
      </c>
      <c r="AF143" s="37" t="str">
        <f t="shared" si="13"/>
        <v/>
      </c>
      <c r="AG143" s="45">
        <f t="shared" si="14"/>
        <v>0</v>
      </c>
      <c r="AH143" s="20"/>
    </row>
    <row r="144" spans="1:34" ht="27.75" customHeight="1">
      <c r="A144" s="37">
        <v>131</v>
      </c>
      <c r="B144" s="16"/>
      <c r="C144" s="16"/>
      <c r="D144" s="16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7" t="str">
        <f t="shared" si="12"/>
        <v/>
      </c>
      <c r="AF144" s="37" t="str">
        <f t="shared" si="13"/>
        <v/>
      </c>
      <c r="AG144" s="45">
        <f t="shared" si="14"/>
        <v>0</v>
      </c>
      <c r="AH144" s="20"/>
    </row>
    <row r="145" spans="1:34" ht="27.75" customHeight="1">
      <c r="A145" s="37">
        <v>132</v>
      </c>
      <c r="B145" s="16"/>
      <c r="C145" s="16"/>
      <c r="D145" s="16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7" t="str">
        <f t="shared" si="12"/>
        <v/>
      </c>
      <c r="AF145" s="37" t="str">
        <f t="shared" si="13"/>
        <v/>
      </c>
      <c r="AG145" s="45">
        <f t="shared" si="14"/>
        <v>0</v>
      </c>
      <c r="AH145" s="20"/>
    </row>
    <row r="146" spans="1:34" ht="27.75" customHeight="1">
      <c r="A146" s="37">
        <v>133</v>
      </c>
      <c r="B146" s="16"/>
      <c r="C146" s="16"/>
      <c r="D146" s="16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7" t="str">
        <f t="shared" si="12"/>
        <v/>
      </c>
      <c r="AF146" s="37" t="str">
        <f t="shared" si="13"/>
        <v/>
      </c>
      <c r="AG146" s="45">
        <f t="shared" si="14"/>
        <v>0</v>
      </c>
      <c r="AH146" s="20"/>
    </row>
    <row r="147" spans="1:34" ht="27.75" customHeight="1">
      <c r="A147" s="37">
        <v>134</v>
      </c>
      <c r="B147" s="16"/>
      <c r="C147" s="16"/>
      <c r="D147" s="16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7" t="str">
        <f t="shared" si="12"/>
        <v/>
      </c>
      <c r="AF147" s="37" t="str">
        <f t="shared" si="13"/>
        <v/>
      </c>
      <c r="AG147" s="45">
        <f t="shared" si="14"/>
        <v>0</v>
      </c>
      <c r="AH147" s="20"/>
    </row>
    <row r="148" spans="1:34" ht="27.75" customHeight="1">
      <c r="A148" s="37">
        <v>135</v>
      </c>
      <c r="B148" s="16"/>
      <c r="C148" s="16"/>
      <c r="D148" s="16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7" t="str">
        <f t="shared" si="12"/>
        <v/>
      </c>
      <c r="AF148" s="37" t="str">
        <f t="shared" si="13"/>
        <v/>
      </c>
      <c r="AG148" s="45">
        <f t="shared" si="14"/>
        <v>0</v>
      </c>
      <c r="AH148" s="20"/>
    </row>
    <row r="149" spans="1:34" ht="27.75" customHeight="1">
      <c r="A149" s="37">
        <v>136</v>
      </c>
      <c r="B149" s="16"/>
      <c r="C149" s="16"/>
      <c r="D149" s="16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7" t="str">
        <f t="shared" si="12"/>
        <v/>
      </c>
      <c r="AF149" s="37" t="str">
        <f t="shared" si="13"/>
        <v/>
      </c>
      <c r="AG149" s="45">
        <f t="shared" si="14"/>
        <v>0</v>
      </c>
      <c r="AH149" s="20"/>
    </row>
    <row r="150" spans="1:34" ht="27.75" customHeight="1">
      <c r="A150" s="37">
        <v>137</v>
      </c>
      <c r="B150" s="16"/>
      <c r="C150" s="16"/>
      <c r="D150" s="16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7" t="str">
        <f t="shared" si="12"/>
        <v/>
      </c>
      <c r="AF150" s="37" t="str">
        <f t="shared" si="13"/>
        <v/>
      </c>
      <c r="AG150" s="45">
        <f t="shared" si="14"/>
        <v>0</v>
      </c>
      <c r="AH150" s="20"/>
    </row>
    <row r="151" spans="1:34" ht="27.75" customHeight="1">
      <c r="A151" s="37">
        <v>138</v>
      </c>
      <c r="B151" s="16"/>
      <c r="C151" s="16"/>
      <c r="D151" s="16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7" t="str">
        <f t="shared" si="12"/>
        <v/>
      </c>
      <c r="AF151" s="37" t="str">
        <f t="shared" si="13"/>
        <v/>
      </c>
      <c r="AG151" s="45">
        <f t="shared" si="14"/>
        <v>0</v>
      </c>
      <c r="AH151" s="20"/>
    </row>
    <row r="152" spans="1:34" ht="27.75" customHeight="1">
      <c r="A152" s="37">
        <v>139</v>
      </c>
      <c r="B152" s="16"/>
      <c r="C152" s="16"/>
      <c r="D152" s="16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7" t="str">
        <f t="shared" si="12"/>
        <v/>
      </c>
      <c r="AF152" s="37" t="str">
        <f t="shared" si="13"/>
        <v/>
      </c>
      <c r="AG152" s="45">
        <f t="shared" si="14"/>
        <v>0</v>
      </c>
      <c r="AH152" s="20"/>
    </row>
    <row r="153" spans="1:34" ht="27.75" customHeight="1">
      <c r="A153" s="37">
        <v>140</v>
      </c>
      <c r="B153" s="16"/>
      <c r="C153" s="16"/>
      <c r="D153" s="16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7" t="str">
        <f t="shared" si="12"/>
        <v/>
      </c>
      <c r="AF153" s="37" t="str">
        <f t="shared" si="13"/>
        <v/>
      </c>
      <c r="AG153" s="45">
        <f t="shared" si="14"/>
        <v>0</v>
      </c>
      <c r="AH153" s="20"/>
    </row>
    <row r="154" spans="1:34" ht="27.75" customHeight="1">
      <c r="A154" s="37">
        <v>141</v>
      </c>
      <c r="B154" s="16"/>
      <c r="C154" s="16"/>
      <c r="D154" s="16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7" t="str">
        <f t="shared" si="12"/>
        <v/>
      </c>
      <c r="AF154" s="37" t="str">
        <f t="shared" si="13"/>
        <v/>
      </c>
      <c r="AG154" s="45">
        <f t="shared" si="14"/>
        <v>0</v>
      </c>
      <c r="AH154" s="20"/>
    </row>
    <row r="155" spans="1:34" ht="27.75" customHeight="1">
      <c r="A155" s="37">
        <v>142</v>
      </c>
      <c r="B155" s="16"/>
      <c r="C155" s="16"/>
      <c r="D155" s="16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7" t="str">
        <f t="shared" si="12"/>
        <v/>
      </c>
      <c r="AF155" s="37" t="str">
        <f t="shared" si="13"/>
        <v/>
      </c>
      <c r="AG155" s="45">
        <f t="shared" si="14"/>
        <v>0</v>
      </c>
      <c r="AH155" s="20"/>
    </row>
    <row r="156" spans="1:34" ht="27.75" customHeight="1">
      <c r="A156" s="37">
        <v>143</v>
      </c>
      <c r="B156" s="16"/>
      <c r="C156" s="16"/>
      <c r="D156" s="16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7" t="str">
        <f t="shared" si="12"/>
        <v/>
      </c>
      <c r="AF156" s="37" t="str">
        <f t="shared" si="13"/>
        <v/>
      </c>
      <c r="AG156" s="45">
        <f t="shared" si="14"/>
        <v>0</v>
      </c>
      <c r="AH156" s="20"/>
    </row>
    <row r="157" spans="1:34" ht="27.75" customHeight="1">
      <c r="A157" s="37">
        <v>144</v>
      </c>
      <c r="B157" s="16"/>
      <c r="C157" s="16"/>
      <c r="D157" s="16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7" t="str">
        <f t="shared" si="12"/>
        <v/>
      </c>
      <c r="AF157" s="37" t="str">
        <f t="shared" si="13"/>
        <v/>
      </c>
      <c r="AG157" s="45">
        <f t="shared" si="14"/>
        <v>0</v>
      </c>
      <c r="AH157" s="20"/>
    </row>
    <row r="158" spans="1:34" ht="27.75" customHeight="1">
      <c r="A158" s="37">
        <v>145</v>
      </c>
      <c r="B158" s="16"/>
      <c r="C158" s="16"/>
      <c r="D158" s="16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7" t="str">
        <f t="shared" si="12"/>
        <v/>
      </c>
      <c r="AF158" s="37" t="str">
        <f t="shared" si="13"/>
        <v/>
      </c>
      <c r="AG158" s="45">
        <f t="shared" si="14"/>
        <v>0</v>
      </c>
      <c r="AH158" s="20"/>
    </row>
    <row r="159" spans="1:34" ht="27.75" customHeight="1">
      <c r="A159" s="37">
        <v>146</v>
      </c>
      <c r="B159" s="16"/>
      <c r="C159" s="16"/>
      <c r="D159" s="16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7" t="str">
        <f t="shared" si="12"/>
        <v/>
      </c>
      <c r="AF159" s="37" t="str">
        <f t="shared" si="13"/>
        <v/>
      </c>
      <c r="AG159" s="45">
        <f t="shared" si="14"/>
        <v>0</v>
      </c>
      <c r="AH159" s="20"/>
    </row>
    <row r="160" spans="1:34" ht="27.75" customHeight="1">
      <c r="A160" s="37">
        <v>147</v>
      </c>
      <c r="B160" s="16"/>
      <c r="C160" s="16"/>
      <c r="D160" s="16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7" t="str">
        <f t="shared" si="12"/>
        <v/>
      </c>
      <c r="AF160" s="37" t="str">
        <f t="shared" si="13"/>
        <v/>
      </c>
      <c r="AG160" s="45">
        <f t="shared" si="14"/>
        <v>0</v>
      </c>
      <c r="AH160" s="20"/>
    </row>
    <row r="161" spans="1:34" ht="27.75" customHeight="1">
      <c r="A161" s="37">
        <v>148</v>
      </c>
      <c r="B161" s="16"/>
      <c r="C161" s="16"/>
      <c r="D161" s="16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7" t="str">
        <f t="shared" si="12"/>
        <v/>
      </c>
      <c r="AF161" s="37" t="str">
        <f t="shared" si="13"/>
        <v/>
      </c>
      <c r="AG161" s="45">
        <f t="shared" si="14"/>
        <v>0</v>
      </c>
      <c r="AH161" s="20"/>
    </row>
    <row r="162" spans="1:34" ht="27.75" customHeight="1">
      <c r="A162" s="37">
        <v>149</v>
      </c>
      <c r="B162" s="16"/>
      <c r="C162" s="16"/>
      <c r="D162" s="16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7" t="str">
        <f t="shared" si="12"/>
        <v/>
      </c>
      <c r="AF162" s="37" t="str">
        <f t="shared" si="13"/>
        <v/>
      </c>
      <c r="AG162" s="45">
        <f t="shared" si="14"/>
        <v>0</v>
      </c>
      <c r="AH162" s="20"/>
    </row>
    <row r="163" spans="1:34" ht="27.75" customHeight="1">
      <c r="A163" s="37">
        <v>150</v>
      </c>
      <c r="B163" s="16"/>
      <c r="C163" s="16"/>
      <c r="D163" s="16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7" t="str">
        <f t="shared" si="12"/>
        <v/>
      </c>
      <c r="AF163" s="37" t="str">
        <f t="shared" si="13"/>
        <v/>
      </c>
      <c r="AG163" s="45">
        <f t="shared" si="14"/>
        <v>0</v>
      </c>
      <c r="AH163" s="20"/>
    </row>
    <row r="164" spans="1:34" ht="27.75" customHeight="1">
      <c r="A164" s="37">
        <v>151</v>
      </c>
      <c r="B164" s="16"/>
      <c r="C164" s="16"/>
      <c r="D164" s="16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7" t="str">
        <f t="shared" si="12"/>
        <v/>
      </c>
      <c r="AF164" s="37" t="str">
        <f t="shared" si="13"/>
        <v/>
      </c>
      <c r="AG164" s="45">
        <f t="shared" si="14"/>
        <v>0</v>
      </c>
      <c r="AH164" s="20"/>
    </row>
    <row r="165" spans="1:34" ht="27.75" customHeight="1">
      <c r="A165" s="37">
        <v>152</v>
      </c>
      <c r="B165" s="16"/>
      <c r="C165" s="16"/>
      <c r="D165" s="16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7" t="str">
        <f t="shared" si="12"/>
        <v/>
      </c>
      <c r="AF165" s="37" t="str">
        <f t="shared" si="13"/>
        <v/>
      </c>
      <c r="AG165" s="45">
        <f t="shared" si="14"/>
        <v>0</v>
      </c>
      <c r="AH165" s="20"/>
    </row>
    <row r="166" spans="1:34" ht="27.75" customHeight="1">
      <c r="A166" s="37">
        <v>153</v>
      </c>
      <c r="B166" s="16"/>
      <c r="C166" s="16"/>
      <c r="D166" s="16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7" t="str">
        <f t="shared" si="12"/>
        <v/>
      </c>
      <c r="AF166" s="37" t="str">
        <f t="shared" si="13"/>
        <v/>
      </c>
      <c r="AG166" s="45">
        <f t="shared" si="14"/>
        <v>0</v>
      </c>
      <c r="AH166" s="20"/>
    </row>
    <row r="167" spans="1:34" ht="27.75" customHeight="1">
      <c r="A167" s="37">
        <v>154</v>
      </c>
      <c r="B167" s="16"/>
      <c r="C167" s="16"/>
      <c r="D167" s="16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7" t="str">
        <f t="shared" si="12"/>
        <v/>
      </c>
      <c r="AF167" s="37" t="str">
        <f t="shared" si="13"/>
        <v/>
      </c>
      <c r="AG167" s="45">
        <f t="shared" si="14"/>
        <v>0</v>
      </c>
      <c r="AH167" s="20"/>
    </row>
    <row r="168" spans="1:34" ht="27.75" customHeight="1">
      <c r="A168" s="37">
        <v>155</v>
      </c>
      <c r="B168" s="16"/>
      <c r="C168" s="16"/>
      <c r="D168" s="16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7" t="str">
        <f t="shared" si="12"/>
        <v/>
      </c>
      <c r="AF168" s="37" t="str">
        <f t="shared" si="13"/>
        <v/>
      </c>
      <c r="AG168" s="45">
        <f t="shared" si="14"/>
        <v>0</v>
      </c>
      <c r="AH168" s="20"/>
    </row>
    <row r="169" spans="1:34" ht="27.75" customHeight="1">
      <c r="A169" s="37">
        <v>156</v>
      </c>
      <c r="B169" s="16"/>
      <c r="C169" s="16"/>
      <c r="D169" s="16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7" t="str">
        <f t="shared" si="12"/>
        <v/>
      </c>
      <c r="AF169" s="37" t="str">
        <f t="shared" si="13"/>
        <v/>
      </c>
      <c r="AG169" s="45">
        <f t="shared" si="14"/>
        <v>0</v>
      </c>
      <c r="AH169" s="20"/>
    </row>
    <row r="170" spans="1:34" ht="27.75" customHeight="1">
      <c r="A170" s="37">
        <v>157</v>
      </c>
      <c r="B170" s="16"/>
      <c r="C170" s="16"/>
      <c r="D170" s="16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7" t="str">
        <f t="shared" si="12"/>
        <v/>
      </c>
      <c r="AF170" s="37" t="str">
        <f t="shared" si="13"/>
        <v/>
      </c>
      <c r="AG170" s="45">
        <f t="shared" si="14"/>
        <v>0</v>
      </c>
      <c r="AH170" s="20"/>
    </row>
    <row r="171" spans="1:34" ht="27.75" customHeight="1">
      <c r="A171" s="37">
        <v>158</v>
      </c>
      <c r="B171" s="16"/>
      <c r="C171" s="16"/>
      <c r="D171" s="16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7" t="str">
        <f t="shared" si="12"/>
        <v/>
      </c>
      <c r="AF171" s="37" t="str">
        <f t="shared" si="13"/>
        <v/>
      </c>
      <c r="AG171" s="45">
        <f t="shared" si="14"/>
        <v>0</v>
      </c>
      <c r="AH171" s="20"/>
    </row>
    <row r="172" spans="1:34" ht="27.75" customHeight="1">
      <c r="A172" s="37">
        <v>159</v>
      </c>
      <c r="B172" s="16"/>
      <c r="C172" s="16"/>
      <c r="D172" s="16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7" t="str">
        <f t="shared" si="12"/>
        <v/>
      </c>
      <c r="AF172" s="37" t="str">
        <f t="shared" si="13"/>
        <v/>
      </c>
      <c r="AG172" s="45">
        <f t="shared" si="14"/>
        <v>0</v>
      </c>
      <c r="AH172" s="20"/>
    </row>
    <row r="173" spans="1:34" ht="27.75" customHeight="1">
      <c r="A173" s="37">
        <v>160</v>
      </c>
      <c r="B173" s="16"/>
      <c r="C173" s="16"/>
      <c r="D173" s="16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7" t="str">
        <f t="shared" si="12"/>
        <v/>
      </c>
      <c r="AF173" s="37" t="str">
        <f t="shared" si="13"/>
        <v/>
      </c>
      <c r="AG173" s="45">
        <f t="shared" si="14"/>
        <v>0</v>
      </c>
      <c r="AH173" s="20"/>
    </row>
    <row r="174" spans="1:34" ht="27.75" customHeight="1">
      <c r="A174" s="37">
        <v>161</v>
      </c>
      <c r="B174" s="16"/>
      <c r="C174" s="16"/>
      <c r="D174" s="16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7" t="str">
        <f t="shared" ref="AE174:AE205" si="15">IF(AND(B174="",E174="",R174=""),"",IF(SUMPRODUCT(((E174:Q174&gt;=1)&lt;&gt;(R174:AD174&gt;=1))*1)=0,"○","✗"))</f>
        <v/>
      </c>
      <c r="AF174" s="37" t="str">
        <f t="shared" ref="AF174:AF205" si="16">IF(AE174="","",IF(AE174="✗","✗",IF(SUMPRODUCT((E174:Q174&lt;&gt;R174:AD174)*1)=0,"○","✗")))</f>
        <v/>
      </c>
      <c r="AG174" s="45">
        <f t="shared" ref="AG174:AG205" si="17">IF(AND(SUM(E174:Q174)=0,SUM(R174:AD174)=0),0,(SUM(E174:Q174)+SUM(R174:AD174))/2)</f>
        <v>0</v>
      </c>
      <c r="AH174" s="20"/>
    </row>
    <row r="175" spans="1:34" ht="27.75" customHeight="1">
      <c r="A175" s="37">
        <v>162</v>
      </c>
      <c r="B175" s="16"/>
      <c r="C175" s="16"/>
      <c r="D175" s="16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7" t="str">
        <f t="shared" si="15"/>
        <v/>
      </c>
      <c r="AF175" s="37" t="str">
        <f t="shared" si="16"/>
        <v/>
      </c>
      <c r="AG175" s="45">
        <f t="shared" si="17"/>
        <v>0</v>
      </c>
      <c r="AH175" s="20"/>
    </row>
    <row r="176" spans="1:34" ht="27.75" customHeight="1">
      <c r="A176" s="37">
        <v>163</v>
      </c>
      <c r="B176" s="16"/>
      <c r="C176" s="16"/>
      <c r="D176" s="16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7" t="str">
        <f t="shared" si="15"/>
        <v/>
      </c>
      <c r="AF176" s="37" t="str">
        <f t="shared" si="16"/>
        <v/>
      </c>
      <c r="AG176" s="45">
        <f t="shared" si="17"/>
        <v>0</v>
      </c>
      <c r="AH176" s="20"/>
    </row>
    <row r="177" spans="1:34" ht="27.75" customHeight="1">
      <c r="A177" s="37">
        <v>164</v>
      </c>
      <c r="B177" s="16"/>
      <c r="C177" s="16"/>
      <c r="D177" s="16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7" t="str">
        <f t="shared" si="15"/>
        <v/>
      </c>
      <c r="AF177" s="37" t="str">
        <f t="shared" si="16"/>
        <v/>
      </c>
      <c r="AG177" s="45">
        <f t="shared" si="17"/>
        <v>0</v>
      </c>
      <c r="AH177" s="20"/>
    </row>
    <row r="178" spans="1:34" ht="27.75" customHeight="1">
      <c r="A178" s="37">
        <v>165</v>
      </c>
      <c r="B178" s="16"/>
      <c r="C178" s="16"/>
      <c r="D178" s="16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7" t="str">
        <f t="shared" si="15"/>
        <v/>
      </c>
      <c r="AF178" s="37" t="str">
        <f t="shared" si="16"/>
        <v/>
      </c>
      <c r="AG178" s="45">
        <f t="shared" si="17"/>
        <v>0</v>
      </c>
      <c r="AH178" s="20"/>
    </row>
    <row r="179" spans="1:34" ht="27.75" customHeight="1">
      <c r="A179" s="37">
        <v>166</v>
      </c>
      <c r="B179" s="16"/>
      <c r="C179" s="16"/>
      <c r="D179" s="16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7" t="str">
        <f t="shared" si="15"/>
        <v/>
      </c>
      <c r="AF179" s="37" t="str">
        <f t="shared" si="16"/>
        <v/>
      </c>
      <c r="AG179" s="45">
        <f t="shared" si="17"/>
        <v>0</v>
      </c>
      <c r="AH179" s="20"/>
    </row>
    <row r="180" spans="1:34" ht="27.75" customHeight="1">
      <c r="A180" s="37">
        <v>167</v>
      </c>
      <c r="B180" s="16"/>
      <c r="C180" s="16"/>
      <c r="D180" s="16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7" t="str">
        <f t="shared" si="15"/>
        <v/>
      </c>
      <c r="AF180" s="37" t="str">
        <f t="shared" si="16"/>
        <v/>
      </c>
      <c r="AG180" s="45">
        <f t="shared" si="17"/>
        <v>0</v>
      </c>
      <c r="AH180" s="20"/>
    </row>
    <row r="181" spans="1:34" ht="27.75" customHeight="1">
      <c r="A181" s="37">
        <v>168</v>
      </c>
      <c r="B181" s="16"/>
      <c r="C181" s="16"/>
      <c r="D181" s="16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7" t="str">
        <f t="shared" si="15"/>
        <v/>
      </c>
      <c r="AF181" s="37" t="str">
        <f t="shared" si="16"/>
        <v/>
      </c>
      <c r="AG181" s="45">
        <f t="shared" si="17"/>
        <v>0</v>
      </c>
      <c r="AH181" s="20"/>
    </row>
    <row r="182" spans="1:34" ht="27.75" customHeight="1">
      <c r="A182" s="37">
        <v>169</v>
      </c>
      <c r="B182" s="16"/>
      <c r="C182" s="16"/>
      <c r="D182" s="16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7" t="str">
        <f t="shared" si="15"/>
        <v/>
      </c>
      <c r="AF182" s="37" t="str">
        <f t="shared" si="16"/>
        <v/>
      </c>
      <c r="AG182" s="45">
        <f t="shared" si="17"/>
        <v>0</v>
      </c>
      <c r="AH182" s="20"/>
    </row>
    <row r="183" spans="1:34" ht="27.75" customHeight="1">
      <c r="A183" s="37">
        <v>170</v>
      </c>
      <c r="B183" s="16"/>
      <c r="C183" s="16"/>
      <c r="D183" s="16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7" t="str">
        <f t="shared" si="15"/>
        <v/>
      </c>
      <c r="AF183" s="37" t="str">
        <f t="shared" si="16"/>
        <v/>
      </c>
      <c r="AG183" s="45">
        <f t="shared" si="17"/>
        <v>0</v>
      </c>
      <c r="AH183" s="20"/>
    </row>
    <row r="184" spans="1:34" ht="27.75" customHeight="1">
      <c r="A184" s="37">
        <v>171</v>
      </c>
      <c r="B184" s="16"/>
      <c r="C184" s="16"/>
      <c r="D184" s="16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7" t="str">
        <f t="shared" si="15"/>
        <v/>
      </c>
      <c r="AF184" s="37" t="str">
        <f t="shared" si="16"/>
        <v/>
      </c>
      <c r="AG184" s="45">
        <f t="shared" si="17"/>
        <v>0</v>
      </c>
      <c r="AH184" s="20"/>
    </row>
    <row r="185" spans="1:34" ht="27.75" customHeight="1">
      <c r="A185" s="37">
        <v>172</v>
      </c>
      <c r="B185" s="16"/>
      <c r="C185" s="16"/>
      <c r="D185" s="16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7" t="str">
        <f t="shared" si="15"/>
        <v/>
      </c>
      <c r="AF185" s="37" t="str">
        <f t="shared" si="16"/>
        <v/>
      </c>
      <c r="AG185" s="45">
        <f t="shared" si="17"/>
        <v>0</v>
      </c>
      <c r="AH185" s="20"/>
    </row>
    <row r="186" spans="1:34" ht="27.75" customHeight="1">
      <c r="A186" s="37">
        <v>173</v>
      </c>
      <c r="B186" s="16"/>
      <c r="C186" s="16"/>
      <c r="D186" s="16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7" t="str">
        <f t="shared" si="15"/>
        <v/>
      </c>
      <c r="AF186" s="37" t="str">
        <f t="shared" si="16"/>
        <v/>
      </c>
      <c r="AG186" s="45">
        <f t="shared" si="17"/>
        <v>0</v>
      </c>
      <c r="AH186" s="20"/>
    </row>
    <row r="187" spans="1:34" ht="27.75" customHeight="1">
      <c r="A187" s="37">
        <v>174</v>
      </c>
      <c r="B187" s="16"/>
      <c r="C187" s="16"/>
      <c r="D187" s="16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7" t="str">
        <f t="shared" si="15"/>
        <v/>
      </c>
      <c r="AF187" s="37" t="str">
        <f t="shared" si="16"/>
        <v/>
      </c>
      <c r="AG187" s="45">
        <f t="shared" si="17"/>
        <v>0</v>
      </c>
      <c r="AH187" s="20"/>
    </row>
    <row r="188" spans="1:34" ht="27.75" customHeight="1">
      <c r="A188" s="37">
        <v>175</v>
      </c>
      <c r="B188" s="16"/>
      <c r="C188" s="16"/>
      <c r="D188" s="16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7" t="str">
        <f t="shared" si="15"/>
        <v/>
      </c>
      <c r="AF188" s="37" t="str">
        <f t="shared" si="16"/>
        <v/>
      </c>
      <c r="AG188" s="45">
        <f t="shared" si="17"/>
        <v>0</v>
      </c>
      <c r="AH188" s="20"/>
    </row>
    <row r="189" spans="1:34" ht="27.75" customHeight="1">
      <c r="A189" s="37">
        <v>176</v>
      </c>
      <c r="B189" s="16"/>
      <c r="C189" s="16"/>
      <c r="D189" s="16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7" t="str">
        <f t="shared" si="15"/>
        <v/>
      </c>
      <c r="AF189" s="37" t="str">
        <f t="shared" si="16"/>
        <v/>
      </c>
      <c r="AG189" s="45">
        <f t="shared" si="17"/>
        <v>0</v>
      </c>
      <c r="AH189" s="20"/>
    </row>
    <row r="190" spans="1:34" ht="27.75" customHeight="1">
      <c r="A190" s="37">
        <v>177</v>
      </c>
      <c r="B190" s="16"/>
      <c r="C190" s="16"/>
      <c r="D190" s="16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7" t="str">
        <f t="shared" si="15"/>
        <v/>
      </c>
      <c r="AF190" s="37" t="str">
        <f t="shared" si="16"/>
        <v/>
      </c>
      <c r="AG190" s="45">
        <f t="shared" si="17"/>
        <v>0</v>
      </c>
      <c r="AH190" s="20"/>
    </row>
    <row r="191" spans="1:34" ht="27.75" customHeight="1">
      <c r="A191" s="37">
        <v>178</v>
      </c>
      <c r="B191" s="16"/>
      <c r="C191" s="16"/>
      <c r="D191" s="16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7" t="str">
        <f t="shared" si="15"/>
        <v/>
      </c>
      <c r="AF191" s="37" t="str">
        <f t="shared" si="16"/>
        <v/>
      </c>
      <c r="AG191" s="45">
        <f t="shared" si="17"/>
        <v>0</v>
      </c>
      <c r="AH191" s="20"/>
    </row>
    <row r="192" spans="1:34" ht="27.75" customHeight="1">
      <c r="A192" s="37">
        <v>179</v>
      </c>
      <c r="B192" s="16"/>
      <c r="C192" s="16"/>
      <c r="D192" s="16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7" t="str">
        <f t="shared" si="15"/>
        <v/>
      </c>
      <c r="AF192" s="37" t="str">
        <f t="shared" si="16"/>
        <v/>
      </c>
      <c r="AG192" s="45">
        <f t="shared" si="17"/>
        <v>0</v>
      </c>
      <c r="AH192" s="20"/>
    </row>
    <row r="193" spans="1:34" ht="27.75" customHeight="1">
      <c r="A193" s="37">
        <v>180</v>
      </c>
      <c r="B193" s="16"/>
      <c r="C193" s="16"/>
      <c r="D193" s="16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7" t="str">
        <f t="shared" si="15"/>
        <v/>
      </c>
      <c r="AF193" s="37" t="str">
        <f t="shared" si="16"/>
        <v/>
      </c>
      <c r="AG193" s="45">
        <f t="shared" si="17"/>
        <v>0</v>
      </c>
      <c r="AH193" s="20"/>
    </row>
    <row r="194" spans="1:34" ht="27.75" customHeight="1">
      <c r="A194" s="37">
        <v>181</v>
      </c>
      <c r="B194" s="16"/>
      <c r="C194" s="16"/>
      <c r="D194" s="16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7" t="str">
        <f t="shared" si="15"/>
        <v/>
      </c>
      <c r="AF194" s="37" t="str">
        <f t="shared" si="16"/>
        <v/>
      </c>
      <c r="AG194" s="45">
        <f t="shared" si="17"/>
        <v>0</v>
      </c>
      <c r="AH194" s="20"/>
    </row>
    <row r="195" spans="1:34" ht="27.75" customHeight="1">
      <c r="A195" s="37">
        <v>182</v>
      </c>
      <c r="B195" s="16"/>
      <c r="C195" s="16"/>
      <c r="D195" s="16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7" t="str">
        <f t="shared" si="15"/>
        <v/>
      </c>
      <c r="AF195" s="37" t="str">
        <f t="shared" si="16"/>
        <v/>
      </c>
      <c r="AG195" s="45">
        <f t="shared" si="17"/>
        <v>0</v>
      </c>
      <c r="AH195" s="20"/>
    </row>
    <row r="196" spans="1:34" ht="27.75" customHeight="1">
      <c r="A196" s="37">
        <v>183</v>
      </c>
      <c r="B196" s="16"/>
      <c r="C196" s="16"/>
      <c r="D196" s="16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7" t="str">
        <f t="shared" si="15"/>
        <v/>
      </c>
      <c r="AF196" s="37" t="str">
        <f t="shared" si="16"/>
        <v/>
      </c>
      <c r="AG196" s="45">
        <f t="shared" si="17"/>
        <v>0</v>
      </c>
      <c r="AH196" s="20"/>
    </row>
    <row r="197" spans="1:34" ht="27.75" customHeight="1">
      <c r="A197" s="37">
        <v>184</v>
      </c>
      <c r="B197" s="16"/>
      <c r="C197" s="16"/>
      <c r="D197" s="16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7" t="str">
        <f t="shared" si="15"/>
        <v/>
      </c>
      <c r="AF197" s="37" t="str">
        <f t="shared" si="16"/>
        <v/>
      </c>
      <c r="AG197" s="45">
        <f t="shared" si="17"/>
        <v>0</v>
      </c>
      <c r="AH197" s="20"/>
    </row>
    <row r="198" spans="1:34" ht="27.75" customHeight="1">
      <c r="A198" s="37">
        <v>185</v>
      </c>
      <c r="B198" s="16"/>
      <c r="C198" s="16"/>
      <c r="D198" s="16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7" t="str">
        <f t="shared" si="15"/>
        <v/>
      </c>
      <c r="AF198" s="37" t="str">
        <f t="shared" si="16"/>
        <v/>
      </c>
      <c r="AG198" s="45">
        <f t="shared" si="17"/>
        <v>0</v>
      </c>
      <c r="AH198" s="20"/>
    </row>
    <row r="199" spans="1:34" ht="27.75" customHeight="1">
      <c r="A199" s="37">
        <v>186</v>
      </c>
      <c r="B199" s="16"/>
      <c r="C199" s="16"/>
      <c r="D199" s="16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7" t="str">
        <f t="shared" si="15"/>
        <v/>
      </c>
      <c r="AF199" s="37" t="str">
        <f t="shared" si="16"/>
        <v/>
      </c>
      <c r="AG199" s="45">
        <f t="shared" si="17"/>
        <v>0</v>
      </c>
      <c r="AH199" s="20"/>
    </row>
    <row r="200" spans="1:34" ht="27.75" customHeight="1">
      <c r="A200" s="37">
        <v>187</v>
      </c>
      <c r="B200" s="16"/>
      <c r="C200" s="16"/>
      <c r="D200" s="16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7" t="str">
        <f t="shared" si="15"/>
        <v/>
      </c>
      <c r="AF200" s="37" t="str">
        <f t="shared" si="16"/>
        <v/>
      </c>
      <c r="AG200" s="45">
        <f t="shared" si="17"/>
        <v>0</v>
      </c>
      <c r="AH200" s="20"/>
    </row>
    <row r="201" spans="1:34" ht="27.75" customHeight="1">
      <c r="A201" s="37">
        <v>188</v>
      </c>
      <c r="B201" s="16"/>
      <c r="C201" s="16"/>
      <c r="D201" s="16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7" t="str">
        <f t="shared" si="15"/>
        <v/>
      </c>
      <c r="AF201" s="37" t="str">
        <f t="shared" si="16"/>
        <v/>
      </c>
      <c r="AG201" s="45">
        <f t="shared" si="17"/>
        <v>0</v>
      </c>
      <c r="AH201" s="20"/>
    </row>
    <row r="202" spans="1:34" ht="27.75" customHeight="1">
      <c r="A202" s="37">
        <v>189</v>
      </c>
      <c r="B202" s="16"/>
      <c r="C202" s="16"/>
      <c r="D202" s="16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7" t="str">
        <f t="shared" si="15"/>
        <v/>
      </c>
      <c r="AF202" s="37" t="str">
        <f t="shared" si="16"/>
        <v/>
      </c>
      <c r="AG202" s="45">
        <f t="shared" si="17"/>
        <v>0</v>
      </c>
      <c r="AH202" s="20"/>
    </row>
    <row r="203" spans="1:34" ht="27.75" customHeight="1">
      <c r="A203" s="37">
        <v>190</v>
      </c>
      <c r="B203" s="16"/>
      <c r="C203" s="16"/>
      <c r="D203" s="16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7" t="str">
        <f t="shared" si="15"/>
        <v/>
      </c>
      <c r="AF203" s="37" t="str">
        <f t="shared" si="16"/>
        <v/>
      </c>
      <c r="AG203" s="45">
        <f t="shared" si="17"/>
        <v>0</v>
      </c>
      <c r="AH203" s="20"/>
    </row>
    <row r="204" spans="1:34" ht="27.75" customHeight="1">
      <c r="A204" s="37">
        <v>191</v>
      </c>
      <c r="B204" s="16"/>
      <c r="C204" s="16"/>
      <c r="D204" s="16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7" t="str">
        <f t="shared" si="15"/>
        <v/>
      </c>
      <c r="AF204" s="37" t="str">
        <f t="shared" si="16"/>
        <v/>
      </c>
      <c r="AG204" s="45">
        <f t="shared" si="17"/>
        <v>0</v>
      </c>
      <c r="AH204" s="20"/>
    </row>
    <row r="205" spans="1:34" ht="27.75" customHeight="1">
      <c r="A205" s="37">
        <v>192</v>
      </c>
      <c r="B205" s="16"/>
      <c r="C205" s="16"/>
      <c r="D205" s="16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7" t="str">
        <f t="shared" si="15"/>
        <v/>
      </c>
      <c r="AF205" s="37" t="str">
        <f t="shared" si="16"/>
        <v/>
      </c>
      <c r="AG205" s="45">
        <f t="shared" si="17"/>
        <v>0</v>
      </c>
      <c r="AH205" s="20"/>
    </row>
    <row r="206" spans="1:34" ht="27.75" customHeight="1">
      <c r="A206" s="37">
        <v>193</v>
      </c>
      <c r="B206" s="16"/>
      <c r="C206" s="16"/>
      <c r="D206" s="16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7" t="str">
        <f t="shared" ref="AE206:AE213" si="18">IF(AND(B206="",E206="",R206=""),"",IF(SUMPRODUCT(((E206:Q206&gt;=1)&lt;&gt;(R206:AD206&gt;=1))*1)=0,"○","✗"))</f>
        <v/>
      </c>
      <c r="AF206" s="37" t="str">
        <f t="shared" ref="AF206:AF213" si="19">IF(AE206="","",IF(AE206="✗","✗",IF(SUMPRODUCT((E206:Q206&lt;&gt;R206:AD206)*1)=0,"○","✗")))</f>
        <v/>
      </c>
      <c r="AG206" s="45">
        <f t="shared" ref="AG206:AG213" si="20">IF(AND(SUM(E206:Q206)=0,SUM(R206:AD206)=0),0,(SUM(E206:Q206)+SUM(R206:AD206))/2)</f>
        <v>0</v>
      </c>
      <c r="AH206" s="20"/>
    </row>
    <row r="207" spans="1:34" ht="27.75" customHeight="1">
      <c r="A207" s="37">
        <v>194</v>
      </c>
      <c r="B207" s="16"/>
      <c r="C207" s="16"/>
      <c r="D207" s="16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7" t="str">
        <f t="shared" si="18"/>
        <v/>
      </c>
      <c r="AF207" s="37" t="str">
        <f t="shared" si="19"/>
        <v/>
      </c>
      <c r="AG207" s="45">
        <f t="shared" si="20"/>
        <v>0</v>
      </c>
      <c r="AH207" s="20"/>
    </row>
    <row r="208" spans="1:34" ht="27.75" customHeight="1">
      <c r="A208" s="37">
        <v>195</v>
      </c>
      <c r="B208" s="16"/>
      <c r="C208" s="16"/>
      <c r="D208" s="16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7" t="str">
        <f t="shared" si="18"/>
        <v/>
      </c>
      <c r="AF208" s="37" t="str">
        <f t="shared" si="19"/>
        <v/>
      </c>
      <c r="AG208" s="45">
        <f t="shared" si="20"/>
        <v>0</v>
      </c>
      <c r="AH208" s="20"/>
    </row>
    <row r="209" spans="1:34" ht="27.75" customHeight="1">
      <c r="A209" s="37">
        <v>196</v>
      </c>
      <c r="B209" s="16"/>
      <c r="C209" s="16"/>
      <c r="D209" s="16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7" t="str">
        <f t="shared" si="18"/>
        <v/>
      </c>
      <c r="AF209" s="37" t="str">
        <f t="shared" si="19"/>
        <v/>
      </c>
      <c r="AG209" s="45">
        <f t="shared" si="20"/>
        <v>0</v>
      </c>
      <c r="AH209" s="20"/>
    </row>
    <row r="210" spans="1:34" ht="27.75" customHeight="1">
      <c r="A210" s="37">
        <v>197</v>
      </c>
      <c r="B210" s="16"/>
      <c r="C210" s="16"/>
      <c r="D210" s="16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7" t="str">
        <f t="shared" si="18"/>
        <v/>
      </c>
      <c r="AF210" s="37" t="str">
        <f t="shared" si="19"/>
        <v/>
      </c>
      <c r="AG210" s="45">
        <f t="shared" si="20"/>
        <v>0</v>
      </c>
      <c r="AH210" s="20"/>
    </row>
    <row r="211" spans="1:34" ht="27.75" customHeight="1">
      <c r="A211" s="37">
        <v>198</v>
      </c>
      <c r="B211" s="16"/>
      <c r="C211" s="16"/>
      <c r="D211" s="16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7" t="str">
        <f t="shared" si="18"/>
        <v/>
      </c>
      <c r="AF211" s="37" t="str">
        <f t="shared" si="19"/>
        <v/>
      </c>
      <c r="AG211" s="45">
        <f t="shared" si="20"/>
        <v>0</v>
      </c>
      <c r="AH211" s="20"/>
    </row>
    <row r="212" spans="1:34" ht="27.75" customHeight="1">
      <c r="A212" s="37">
        <v>199</v>
      </c>
      <c r="B212" s="16"/>
      <c r="C212" s="16"/>
      <c r="D212" s="16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7" t="str">
        <f t="shared" si="18"/>
        <v/>
      </c>
      <c r="AF212" s="37" t="str">
        <f t="shared" si="19"/>
        <v/>
      </c>
      <c r="AG212" s="45">
        <f t="shared" si="20"/>
        <v>0</v>
      </c>
      <c r="AH212" s="20"/>
    </row>
    <row r="213" spans="1:34" ht="27.75" customHeight="1">
      <c r="A213" s="37">
        <v>200</v>
      </c>
      <c r="B213" s="16"/>
      <c r="C213" s="16"/>
      <c r="D213" s="16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7" t="str">
        <f t="shared" si="18"/>
        <v/>
      </c>
      <c r="AF213" s="37" t="str">
        <f t="shared" si="19"/>
        <v/>
      </c>
      <c r="AG213" s="45">
        <f t="shared" si="20"/>
        <v>0</v>
      </c>
      <c r="AH213" s="20"/>
    </row>
    <row r="215" spans="1:34" ht="21.75" customHeight="1">
      <c r="A215" s="91" t="s">
        <v>375</v>
      </c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</row>
    <row r="216" spans="1:34" ht="24" customHeight="1">
      <c r="A216" s="42" t="s">
        <v>321</v>
      </c>
      <c r="B216" s="42" t="s">
        <v>322</v>
      </c>
      <c r="C216" s="42" t="s">
        <v>250</v>
      </c>
      <c r="D216" s="42" t="s">
        <v>251</v>
      </c>
      <c r="E216" s="94" t="s">
        <v>323</v>
      </c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</row>
    <row r="217" spans="1:34" ht="44" customHeight="1">
      <c r="A217" s="46" t="s">
        <v>324</v>
      </c>
      <c r="B217" s="11" t="s">
        <v>376</v>
      </c>
      <c r="C217" s="47">
        <f>COUNTIF(AE14:AE213,"○")+COUNTIF(AE14:AE213,"✗")</f>
        <v>0</v>
      </c>
      <c r="D217" s="48" t="s">
        <v>326</v>
      </c>
      <c r="E217" s="92" t="s">
        <v>377</v>
      </c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</row>
    <row r="218" spans="1:34" ht="55.25" customHeight="1">
      <c r="A218" s="46" t="s">
        <v>378</v>
      </c>
      <c r="B218" s="11" t="s">
        <v>329</v>
      </c>
      <c r="C218" s="23">
        <f>IFERROR(COUNTIF(AE14:AE213,"○")/(COUNTIF(AE14:AE213,"○")+COUNTIF(AE14:AE213,"✗"))*100,0)</f>
        <v>0</v>
      </c>
      <c r="D218" s="48" t="str">
        <f>IF(C218="","",IF(C218&gt;=70,"✅ 1차 게이트 통과",IF(C218&gt;=50,"⚠ 데이터 신뢰도 부족","❌ 데이터 무효")))</f>
        <v>❌ 데이터 무효</v>
      </c>
      <c r="E218" s="92" t="s">
        <v>379</v>
      </c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</row>
    <row r="219" spans="1:34" ht="41" customHeight="1">
      <c r="A219" s="46" t="s">
        <v>380</v>
      </c>
      <c r="B219" s="11" t="s">
        <v>332</v>
      </c>
      <c r="C219" s="23">
        <f>IFERROR(COUNTIF(AF14:AF213,"○")/(COUNTIF(AF14:AF213,"○")+COUNTIF(AF14:AF213,"✗"))*100,0)</f>
        <v>0</v>
      </c>
      <c r="D219" s="48" t="str">
        <f>IF(C219="","",IF(C219&gt;=60,"✅ 충분","⚠ 강도 합의 부족"))</f>
        <v>⚠ 강도 합의 부족</v>
      </c>
      <c r="E219" s="92" t="s">
        <v>381</v>
      </c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</row>
    <row r="220" spans="1:34" ht="44" customHeight="1">
      <c r="A220" s="46" t="s">
        <v>382</v>
      </c>
      <c r="B220" s="49" t="s">
        <v>326</v>
      </c>
      <c r="C220" s="47">
        <f>COUNTIF(AE14:AE213,"✗")</f>
        <v>0</v>
      </c>
      <c r="D220" s="48" t="s">
        <v>383</v>
      </c>
      <c r="E220" s="92" t="s">
        <v>384</v>
      </c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</row>
    <row r="222" spans="1:34" ht="21.75" customHeight="1">
      <c r="A222" s="91" t="s">
        <v>385</v>
      </c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</row>
    <row r="223" spans="1:34" ht="18" customHeight="1">
      <c r="A223" s="90" t="s">
        <v>386</v>
      </c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</row>
    <row r="224" spans="1:34" ht="21.75" customHeight="1">
      <c r="A224" s="27" t="s">
        <v>86</v>
      </c>
      <c r="B224" s="42" t="s">
        <v>87</v>
      </c>
      <c r="C224" s="42" t="s">
        <v>387</v>
      </c>
      <c r="D224" s="42" t="s">
        <v>388</v>
      </c>
      <c r="E224" s="42" t="s">
        <v>389</v>
      </c>
      <c r="F224" s="42" t="s">
        <v>251</v>
      </c>
      <c r="G224" s="94" t="s">
        <v>210</v>
      </c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</row>
    <row r="225" spans="1:34" ht="21.75" customHeight="1">
      <c r="A225" s="11">
        <v>1</v>
      </c>
      <c r="B225" s="31" t="s">
        <v>338</v>
      </c>
      <c r="C225" s="37">
        <f>COUNTIF(E14:E213,"&gt;=1")</f>
        <v>0</v>
      </c>
      <c r="D225" s="37">
        <f>COUNTIF(R14:R213,"&gt;=1")</f>
        <v>0</v>
      </c>
      <c r="E225" s="37">
        <f t="shared" ref="E225:E237" si="21">ABS(C225-D225)</f>
        <v>0</v>
      </c>
      <c r="F225" s="37" t="str">
        <f t="shared" ref="F225:F237" si="22">IF(AND(C225=0,D225=0),"-",IF(E225/MAX(C225,D225,1)&gt;0.3,"⚠ 합의 부족","○"))</f>
        <v>-</v>
      </c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  <c r="AF225" s="98"/>
      <c r="AG225" s="98"/>
      <c r="AH225" s="98"/>
    </row>
    <row r="226" spans="1:34" ht="21.75" customHeight="1">
      <c r="A226" s="11">
        <v>2</v>
      </c>
      <c r="B226" s="31" t="s">
        <v>339</v>
      </c>
      <c r="C226" s="37">
        <f>COUNTIF(F14:F213,"&gt;=1")</f>
        <v>0</v>
      </c>
      <c r="D226" s="37">
        <f>COUNTIF(S14:S213,"&gt;=1")</f>
        <v>0</v>
      </c>
      <c r="E226" s="37">
        <f t="shared" si="21"/>
        <v>0</v>
      </c>
      <c r="F226" s="37" t="str">
        <f t="shared" si="22"/>
        <v>-</v>
      </c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  <c r="AF226" s="98"/>
      <c r="AG226" s="98"/>
      <c r="AH226" s="98"/>
    </row>
    <row r="227" spans="1:34" ht="21.75" customHeight="1">
      <c r="A227" s="11">
        <v>3</v>
      </c>
      <c r="B227" s="31" t="s">
        <v>340</v>
      </c>
      <c r="C227" s="37">
        <f>COUNTIF(G14:G213,"&gt;=1")</f>
        <v>0</v>
      </c>
      <c r="D227" s="37">
        <f>COUNTIF(T14:T213,"&gt;=1")</f>
        <v>0</v>
      </c>
      <c r="E227" s="37">
        <f t="shared" si="21"/>
        <v>0</v>
      </c>
      <c r="F227" s="37" t="str">
        <f t="shared" si="22"/>
        <v>-</v>
      </c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  <c r="AF227" s="98"/>
      <c r="AG227" s="98"/>
      <c r="AH227" s="98"/>
    </row>
    <row r="228" spans="1:34" ht="21.75" customHeight="1">
      <c r="A228" s="11">
        <v>4</v>
      </c>
      <c r="B228" s="31" t="s">
        <v>341</v>
      </c>
      <c r="C228" s="37">
        <f>COUNTIF(H14:H213,"&gt;=1")</f>
        <v>0</v>
      </c>
      <c r="D228" s="37">
        <f>COUNTIF(U14:U213,"&gt;=1")</f>
        <v>0</v>
      </c>
      <c r="E228" s="37">
        <f t="shared" si="21"/>
        <v>0</v>
      </c>
      <c r="F228" s="37" t="str">
        <f t="shared" si="22"/>
        <v>-</v>
      </c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  <c r="AF228" s="98"/>
      <c r="AG228" s="98"/>
      <c r="AH228" s="98"/>
    </row>
    <row r="229" spans="1:34" ht="21.75" customHeight="1">
      <c r="A229" s="11">
        <v>5</v>
      </c>
      <c r="B229" s="31" t="s">
        <v>342</v>
      </c>
      <c r="C229" s="37">
        <f>COUNTIF(I14:I213,"&gt;=1")</f>
        <v>0</v>
      </c>
      <c r="D229" s="37">
        <f>COUNTIF(V14:V213,"&gt;=1")</f>
        <v>0</v>
      </c>
      <c r="E229" s="37">
        <f t="shared" si="21"/>
        <v>0</v>
      </c>
      <c r="F229" s="37" t="str">
        <f t="shared" si="22"/>
        <v>-</v>
      </c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  <c r="AF229" s="98"/>
      <c r="AG229" s="98"/>
      <c r="AH229" s="98"/>
    </row>
    <row r="230" spans="1:34" ht="21.75" customHeight="1">
      <c r="A230" s="11">
        <v>6</v>
      </c>
      <c r="B230" s="31" t="s">
        <v>343</v>
      </c>
      <c r="C230" s="37">
        <f>COUNTIF(J14:J213,"&gt;=1")</f>
        <v>0</v>
      </c>
      <c r="D230" s="37">
        <f>COUNTIF(W14:W213,"&gt;=1")</f>
        <v>0</v>
      </c>
      <c r="E230" s="37">
        <f t="shared" si="21"/>
        <v>0</v>
      </c>
      <c r="F230" s="37" t="str">
        <f t="shared" si="22"/>
        <v>-</v>
      </c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  <c r="AE230" s="98"/>
      <c r="AF230" s="98"/>
      <c r="AG230" s="98"/>
      <c r="AH230" s="98"/>
    </row>
    <row r="231" spans="1:34" ht="21.75" customHeight="1">
      <c r="A231" s="11">
        <v>7</v>
      </c>
      <c r="B231" s="31" t="s">
        <v>344</v>
      </c>
      <c r="C231" s="37">
        <f>COUNTIF(K14:K213,"&gt;=1")</f>
        <v>0</v>
      </c>
      <c r="D231" s="37">
        <f>COUNTIF(X14:X213,"&gt;=1")</f>
        <v>0</v>
      </c>
      <c r="E231" s="37">
        <f t="shared" si="21"/>
        <v>0</v>
      </c>
      <c r="F231" s="37" t="str">
        <f t="shared" si="22"/>
        <v>-</v>
      </c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  <c r="AF231" s="98"/>
      <c r="AG231" s="98"/>
      <c r="AH231" s="98"/>
    </row>
    <row r="232" spans="1:34" ht="21.75" customHeight="1">
      <c r="A232" s="11">
        <v>8</v>
      </c>
      <c r="B232" s="31" t="s">
        <v>345</v>
      </c>
      <c r="C232" s="37">
        <f>COUNTIF(L14:L213,"&gt;=1")</f>
        <v>0</v>
      </c>
      <c r="D232" s="37">
        <f>COUNTIF(Y14:Y213,"&gt;=1")</f>
        <v>0</v>
      </c>
      <c r="E232" s="37">
        <f t="shared" si="21"/>
        <v>0</v>
      </c>
      <c r="F232" s="37" t="str">
        <f t="shared" si="22"/>
        <v>-</v>
      </c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  <c r="AF232" s="98"/>
      <c r="AG232" s="98"/>
      <c r="AH232" s="98"/>
    </row>
    <row r="233" spans="1:34" ht="21.75" customHeight="1">
      <c r="A233" s="11">
        <v>9</v>
      </c>
      <c r="B233" s="31" t="s">
        <v>346</v>
      </c>
      <c r="C233" s="37">
        <f>COUNTIF(M14:M213,"&gt;=1")</f>
        <v>0</v>
      </c>
      <c r="D233" s="37">
        <f>COUNTIF(Z14:Z213,"&gt;=1")</f>
        <v>0</v>
      </c>
      <c r="E233" s="37">
        <f t="shared" si="21"/>
        <v>0</v>
      </c>
      <c r="F233" s="37" t="str">
        <f t="shared" si="22"/>
        <v>-</v>
      </c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  <c r="AF233" s="98"/>
      <c r="AG233" s="98"/>
      <c r="AH233" s="98"/>
    </row>
    <row r="234" spans="1:34" ht="21.75" customHeight="1">
      <c r="A234" s="11">
        <v>10</v>
      </c>
      <c r="B234" s="31" t="s">
        <v>347</v>
      </c>
      <c r="C234" s="37">
        <f>COUNTIF(N14:N213,"&gt;=1")</f>
        <v>0</v>
      </c>
      <c r="D234" s="37">
        <f>COUNTIF(AA14:AA213,"&gt;=1")</f>
        <v>0</v>
      </c>
      <c r="E234" s="37">
        <f t="shared" si="21"/>
        <v>0</v>
      </c>
      <c r="F234" s="37" t="str">
        <f t="shared" si="22"/>
        <v>-</v>
      </c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  <c r="AF234" s="98"/>
      <c r="AG234" s="98"/>
      <c r="AH234" s="98"/>
    </row>
    <row r="235" spans="1:34" ht="21.75" customHeight="1">
      <c r="A235" s="11">
        <v>11</v>
      </c>
      <c r="B235" s="31" t="s">
        <v>348</v>
      </c>
      <c r="C235" s="37">
        <f>COUNTIF(O14:O213,"&gt;=1")</f>
        <v>0</v>
      </c>
      <c r="D235" s="37">
        <f>COUNTIF(AB14:AB213,"&gt;=1")</f>
        <v>0</v>
      </c>
      <c r="E235" s="37">
        <f t="shared" si="21"/>
        <v>0</v>
      </c>
      <c r="F235" s="37" t="str">
        <f t="shared" si="22"/>
        <v>-</v>
      </c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  <c r="AF235" s="98"/>
      <c r="AG235" s="98"/>
      <c r="AH235" s="98"/>
    </row>
    <row r="236" spans="1:34" ht="21.75" customHeight="1">
      <c r="A236" s="11">
        <v>12</v>
      </c>
      <c r="B236" s="31" t="s">
        <v>349</v>
      </c>
      <c r="C236" s="37">
        <f>COUNTIF(P14:P213,"&gt;=1")</f>
        <v>0</v>
      </c>
      <c r="D236" s="37">
        <f>COUNTIF(AC14:AC213,"&gt;=1")</f>
        <v>0</v>
      </c>
      <c r="E236" s="37">
        <f t="shared" si="21"/>
        <v>0</v>
      </c>
      <c r="F236" s="37" t="str">
        <f t="shared" si="22"/>
        <v>-</v>
      </c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  <c r="AE236" s="98"/>
      <c r="AF236" s="98"/>
      <c r="AG236" s="98"/>
      <c r="AH236" s="98"/>
    </row>
    <row r="237" spans="1:34" ht="21.75" customHeight="1">
      <c r="A237" s="11">
        <v>13</v>
      </c>
      <c r="B237" s="31" t="s">
        <v>350</v>
      </c>
      <c r="C237" s="37">
        <f>COUNTIF(Q14:Q213,"&gt;=1")</f>
        <v>0</v>
      </c>
      <c r="D237" s="37">
        <f>COUNTIF(AD14:AD213,"&gt;=1")</f>
        <v>0</v>
      </c>
      <c r="E237" s="37">
        <f t="shared" si="21"/>
        <v>0</v>
      </c>
      <c r="F237" s="37" t="str">
        <f t="shared" si="22"/>
        <v>-</v>
      </c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  <c r="AF237" s="98"/>
      <c r="AG237" s="98"/>
      <c r="AH237" s="98"/>
    </row>
    <row r="239" spans="1:34" ht="21.75" customHeight="1">
      <c r="A239" s="100" t="s">
        <v>390</v>
      </c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</row>
    <row r="240" spans="1:34" ht="39.75" customHeight="1">
      <c r="A240" s="77" t="s">
        <v>391</v>
      </c>
      <c r="B240" s="77"/>
      <c r="C240" s="77"/>
      <c r="D240" s="77"/>
      <c r="E240" s="77"/>
      <c r="F240" s="77"/>
      <c r="G240" s="77"/>
      <c r="H240" s="77"/>
      <c r="I240" s="72" t="s">
        <v>392</v>
      </c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</row>
    <row r="241" spans="1:34" ht="39.75" customHeight="1">
      <c r="A241" s="77" t="s">
        <v>393</v>
      </c>
      <c r="B241" s="77"/>
      <c r="C241" s="77"/>
      <c r="D241" s="77"/>
      <c r="E241" s="77"/>
      <c r="F241" s="77"/>
      <c r="G241" s="77"/>
      <c r="H241" s="77"/>
      <c r="I241" s="99" t="s">
        <v>394</v>
      </c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</row>
    <row r="242" spans="1:34" ht="39.75" customHeight="1">
      <c r="A242" s="77" t="s">
        <v>395</v>
      </c>
      <c r="B242" s="77"/>
      <c r="C242" s="77"/>
      <c r="D242" s="77"/>
      <c r="E242" s="77"/>
      <c r="F242" s="77"/>
      <c r="G242" s="77"/>
      <c r="H242" s="77"/>
      <c r="I242" s="99" t="s">
        <v>396</v>
      </c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</row>
  </sheetData>
  <mergeCells count="48">
    <mergeCell ref="A242:H242"/>
    <mergeCell ref="I242:AH242"/>
    <mergeCell ref="G237:AH237"/>
    <mergeCell ref="A239:AH239"/>
    <mergeCell ref="A240:H240"/>
    <mergeCell ref="I240:AH240"/>
    <mergeCell ref="A241:H241"/>
    <mergeCell ref="I241:AH241"/>
    <mergeCell ref="G232:AH232"/>
    <mergeCell ref="G233:AH233"/>
    <mergeCell ref="G234:AH234"/>
    <mergeCell ref="G235:AH235"/>
    <mergeCell ref="G236:AH236"/>
    <mergeCell ref="G227:AH227"/>
    <mergeCell ref="G228:AH228"/>
    <mergeCell ref="G229:AH229"/>
    <mergeCell ref="G230:AH230"/>
    <mergeCell ref="G231:AH231"/>
    <mergeCell ref="A222:AH222"/>
    <mergeCell ref="A223:AH223"/>
    <mergeCell ref="G224:AH224"/>
    <mergeCell ref="G225:AH225"/>
    <mergeCell ref="G226:AH226"/>
    <mergeCell ref="E216:AH216"/>
    <mergeCell ref="E217:AH217"/>
    <mergeCell ref="E218:AH218"/>
    <mergeCell ref="E219:AH219"/>
    <mergeCell ref="E220:AH220"/>
    <mergeCell ref="AE12:AE13"/>
    <mergeCell ref="AF12:AF13"/>
    <mergeCell ref="AG12:AG13"/>
    <mergeCell ref="AH12:AH13"/>
    <mergeCell ref="A215:AH215"/>
    <mergeCell ref="B7:AC7"/>
    <mergeCell ref="B8:AC8"/>
    <mergeCell ref="B9:AC9"/>
    <mergeCell ref="B10:AC10"/>
    <mergeCell ref="A12:A13"/>
    <mergeCell ref="B12:B13"/>
    <mergeCell ref="C12:C13"/>
    <mergeCell ref="D12:D13"/>
    <mergeCell ref="E12:Q12"/>
    <mergeCell ref="R12:AD12"/>
    <mergeCell ref="A1:AC1"/>
    <mergeCell ref="A2:AC2"/>
    <mergeCell ref="A4:AC4"/>
    <mergeCell ref="B5:AC5"/>
    <mergeCell ref="B6:AC6"/>
  </mergeCells>
  <phoneticPr fontId="25" type="noConversion"/>
  <conditionalFormatting sqref="D218">
    <cfRule type="cellIs" dxfId="9" priority="7" operator="equal">
      <formula>"✅ 1차 게이트 통과"</formula>
    </cfRule>
    <cfRule type="cellIs" dxfId="8" priority="8" operator="equal">
      <formula>"⚠ 데이터 신뢰도 부족"</formula>
    </cfRule>
    <cfRule type="cellIs" dxfId="7" priority="9" operator="equal">
      <formula>"❌ 데이터 무효"</formula>
    </cfRule>
  </conditionalFormatting>
  <conditionalFormatting sqref="E14:AD213">
    <cfRule type="cellIs" dxfId="6" priority="4" operator="equal">
      <formula>3</formula>
    </cfRule>
    <cfRule type="cellIs" dxfId="5" priority="5" operator="equal">
      <formula>2</formula>
    </cfRule>
    <cfRule type="cellIs" dxfId="4" priority="6" operator="equal">
      <formula>1</formula>
    </cfRule>
  </conditionalFormatting>
  <conditionalFormatting sqref="F225:F237">
    <cfRule type="cellIs" dxfId="3" priority="10" operator="equal">
      <formula>"⚠ 합의 부족"</formula>
    </cfRule>
    <cfRule type="cellIs" dxfId="2" priority="11" operator="equal">
      <formula>"○"</formula>
    </cfRule>
  </conditionalFormatting>
  <conditionalFormatting sqref="AE14:AF213">
    <cfRule type="cellIs" dxfId="1" priority="2" operator="equal">
      <formula>"○"</formula>
    </cfRule>
    <cfRule type="cellIs" dxfId="0" priority="3" operator="equal">
      <formula>"✗"</formula>
    </cfRule>
  </conditionalFormatting>
  <dataValidations count="1">
    <dataValidation type="list" allowBlank="1" errorTitle="강도 입력 오류" error="0~3 중 하나만 입력하세요" sqref="E14:AD213" xr:uid="{00000000-0002-0000-0800-000000000000}">
      <formula1>"0,1,2,3"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① 안내</vt:lpstr>
      <vt:lpstr>② 카테고리 정의</vt:lpstr>
      <vt:lpstr>③ 평가 입력</vt:lpstr>
      <vt:lpstr>④ 정성 평가</vt:lpstr>
      <vt:lpstr>⑤ 결과 대시보드</vt:lpstr>
      <vt:lpstr>⑥ 버전 비교</vt:lpstr>
      <vt:lpstr>⑦ 기타 사례 누적</vt:lpstr>
      <vt:lpstr>⑧ 평가자 일치율</vt:lpstr>
      <vt:lpstr>⑨ 본 평가 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최영주</cp:lastModifiedBy>
  <cp:revision>0</cp:revision>
  <dcterms:created xsi:type="dcterms:W3CDTF">2026-05-04T08:27:17Z</dcterms:created>
  <dcterms:modified xsi:type="dcterms:W3CDTF">2026-06-15T12:09:08Z</dcterms:modified>
  <dc:language>en-US</dc:language>
</cp:coreProperties>
</file>